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ÍNDICE" sheetId="1" r:id="rId4"/>
    <sheet state="visible" name="Educação Financeira" sheetId="2" r:id="rId5"/>
    <sheet state="visible" name="Práticas Experimentais" sheetId="3" r:id="rId6"/>
    <sheet state="visible" name="Projeto de Vida" sheetId="4" r:id="rId7"/>
    <sheet state="visible" name="Redação e Leitura" sheetId="5" r:id="rId8"/>
    <sheet state="visible" name="Robótica - PEI 9h" sheetId="6" r:id="rId9"/>
    <sheet state="visible" name="Tecnologia e Inovação" sheetId="7" r:id="rId10"/>
    <sheet state="visible" name="Matriz Socioemocional PV AF" sheetId="8" r:id="rId11"/>
    <sheet state="hidden" name="Gráfico" sheetId="9" r:id="rId12"/>
    <sheet state="hidden" name="LP 2025" sheetId="10" r:id="rId13"/>
    <sheet state="hidden" name="Planilha2" sheetId="11" r:id="rId14"/>
    <sheet state="hidden" name="Planilha1" sheetId="12" r:id="rId15"/>
    <sheet state="hidden" name="AF - Tecnologia e Inovação-remo" sheetId="13" r:id="rId16"/>
  </sheets>
  <definedNames>
    <definedName name="_Hlk189750054">#REF!</definedName>
    <definedName hidden="1" localSheetId="1" name="_xlnm._FilterDatabase">'Educação Financeira'!$A$1:$L$105</definedName>
    <definedName hidden="1" localSheetId="2" name="_xlnm._FilterDatabase">'Práticas Experimentais'!$A$1:$Z$49</definedName>
    <definedName hidden="1" localSheetId="3" name="_xlnm._FilterDatabase">'Projeto de Vida'!$A$1:$Y$105</definedName>
    <definedName hidden="1" localSheetId="5" name="_xlnm._FilterDatabase">'Robótica - PEI 9h'!$A$1:$K$113</definedName>
    <definedName hidden="1" localSheetId="6" name="_xlnm._FilterDatabase">'Tecnologia e Inovação'!$A$1:$Q$1</definedName>
    <definedName hidden="1" localSheetId="12" name="_xlnm._FilterDatabase">'AF - Tecnologia e Inovação-remo'!$B$2:$U$2</definedName>
  </definedNames>
  <calcPr/>
  <extLst>
    <ext uri="GoogleSheetsCustomDataVersion2">
      <go:sheetsCustomData xmlns:go="http://customooxmlschemas.google.com/" r:id="rId17" roundtripDataChecksum="pOvO0Y+dIeMx/qPep+GdAPkyN4e/p3Nb/lgW9fRdUl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Guia de Práticas de Sala de Aula
======</t>
      </text>
    </comment>
  </commentList>
</comments>
</file>

<file path=xl/sharedStrings.xml><?xml version="1.0" encoding="utf-8"?>
<sst xmlns="http://schemas.openxmlformats.org/spreadsheetml/2006/main" count="13175" uniqueCount="3530">
  <si>
    <t>COMPONENTES CURRICULARES ANOS FINAIS</t>
  </si>
  <si>
    <t>EDUCAÇÃO FINANCEIRA</t>
  </si>
  <si>
    <t>PRÁTICAS EXPERIMENTAIS</t>
  </si>
  <si>
    <t>PROJETO DE VIDA</t>
  </si>
  <si>
    <t>REDAÇÃO E LEITURA</t>
  </si>
  <si>
    <t>ROBÓTICA - PEI 9H</t>
  </si>
  <si>
    <t>TECNOLOGIA E INOVAÇÃO</t>
  </si>
  <si>
    <t>MATRIZ SOCIOEMOCIONAL PROJETO DE VIDA</t>
  </si>
  <si>
    <t>AULA COMPLEMENTAR</t>
  </si>
  <si>
    <t>CICLO</t>
  </si>
  <si>
    <t>ANO</t>
  </si>
  <si>
    <t>BIMESTRE</t>
  </si>
  <si>
    <t>AULA</t>
  </si>
  <si>
    <t>HABILIDADE - CÓDIGO</t>
  </si>
  <si>
    <t>HABILIDADE - TEXTO</t>
  </si>
  <si>
    <t>UNIDADE TEMÁTICA</t>
  </si>
  <si>
    <t>OBJETO DE CONHECIMENTO</t>
  </si>
  <si>
    <t>TÍTULO DA AULA</t>
  </si>
  <si>
    <t>CONTEÚDO</t>
  </si>
  <si>
    <t>OBJETIVOS</t>
  </si>
  <si>
    <t>Anos Finais</t>
  </si>
  <si>
    <t>7º</t>
  </si>
  <si>
    <t>1º</t>
  </si>
  <si>
    <t>- EF05CO10</t>
  </si>
  <si>
    <t>- Expressar-se crítica e criativamente na compreensão das mudanças tecnológicas no mundo do trabalho e sobre a evolução da sociedade.</t>
  </si>
  <si>
    <t>- Planejamento e gestão financeira.</t>
  </si>
  <si>
    <t>- Orçamento e controle financeiro.</t>
  </si>
  <si>
    <t>Como nos relacionamos com o dinheiro? ‒ Parte 1</t>
  </si>
  <si>
    <t>- Dinheiro no cotidiano.
- Relação pessoal com o dinheiro.</t>
  </si>
  <si>
    <t>- Reconhecer a presença do dinheiro no cotidiano.
- Refletir sobre sua relação pessoal com o dinheiro.
- Discutir sobre a importância da Educação Financeira nas suas escolhas.</t>
  </si>
  <si>
    <t>- EF04GE08</t>
  </si>
  <si>
    <t>- Descrever o processo de produção, circulação e consumo de diferentes produtos, reconhecendo as etapas da transformação da matéria-prima em produção de bens e alimentos e comparando a produção de resíduos, no seu município, Estado de São Paulo e em outras regiões do Brasil.</t>
  </si>
  <si>
    <t>Como nos relacionamos com o dinheiro? ‒ Parte 2</t>
  </si>
  <si>
    <t>- Necessidades.
- Desejos.
- Itens de consumo básico.
- Gastos do dia a dia.</t>
  </si>
  <si>
    <t>- Distinguir necessidades e desejos.
- Identificar o custo de itens básicos e supérfluos.
- Reconhecer a ideia de escolhas financeiras e suas consequências.</t>
  </si>
  <si>
    <t>- EF03GE08A
- EF06MA34</t>
  </si>
  <si>
    <t>- Associar consumo à produção de resíduos, reconhecendo que o consumo excessivo e o descarte inadequado acarretam problemas socioambientais, em diferentes lugares
- Interpretar e desenvolver fluxogramas simples, identificando as relações entre os objetos representados (por exemplo, posição de cidades considerando as estradas que as unem, hierarquia dos funcionários de uma empresa etc.).</t>
  </si>
  <si>
    <t>- Consumo, sustentabilidade e cidadania.</t>
  </si>
  <si>
    <t>- Consumo consciente e sustentável.</t>
  </si>
  <si>
    <t>Consumir com consciência: o que é e por que importa?</t>
  </si>
  <si>
    <t>- consumo consciente.
- consumo sustentável.</t>
  </si>
  <si>
    <t>- Diferenciar consumo consciente de consumo sustentável, reconhecendo a importância de ambos para as decisões financeiras e para o bem-estar coletivo.
- Representar esses conceitos por meio de um esquema visual.</t>
  </si>
  <si>
    <t>- EF06MA11</t>
  </si>
  <si>
    <t>- Resolver e elaborar problemas com números racionais positivos na representação decimal, envolvendo as quatro operações fundamentais e a potenciação, por meio de estratégias diversas, utilizando estimativas e arredondamentos para verificar a razoabilidade de respostas, com e sem uso de calculadora.</t>
  </si>
  <si>
    <t>- problemas com valores monetários.</t>
  </si>
  <si>
    <t>Consumo consciente no dia a dia: analisando nossos gastos ‒ Parte 1</t>
  </si>
  <si>
    <t>- Tipos de gastos.
- Rendas e despesas.
- Entradas e saídas em um orçamento.</t>
  </si>
  <si>
    <t>- Identificar e classificar seus gastos cotidianos.
- Reconhecer as noções básicas de renda e despesas.
- Analisar casos envolvendo gastos diários.</t>
  </si>
  <si>
    <t>Consumo consciente no dia a dia: analisando nossos gastos ‒ Parte 2</t>
  </si>
  <si>
    <t>- Resolver problemas envolvendo gastos diários.</t>
  </si>
  <si>
    <t>Consumo consciente no dia a dia: analisando nossos gastos ‒ Parte 3</t>
  </si>
  <si>
    <t>- Elaborar problemas envolvendo gastos diários.</t>
  </si>
  <si>
    <t>- EF06MA33</t>
  </si>
  <si>
    <t>- Planejar e coletar dados de pesquisa referente a práticas sociais escolhidas pelos alunos e fazer uso de planilhas eletrônicas para registro, representação e interpretação das informações, em tabelas, vários tipos de gráficos e texto.</t>
  </si>
  <si>
    <t>O que é poupar? ‒ Parte 1</t>
  </si>
  <si>
    <t>- conceito de poupar.</t>
  </si>
  <si>
    <t>- Definir o conceito de poupar.
- Reconhecer a poupança como uma ação para o futuro.</t>
  </si>
  <si>
    <t>O que é poupar? ‒ Parte 2</t>
  </si>
  <si>
    <t>- conceito de poupar.
- conceito de economizar.
- estratégias de economia.</t>
  </si>
  <si>
    <t>- Diferenciar os conceitos de poupar e economizar.</t>
  </si>
  <si>
    <t>Calculando economias e poupanças ‒ Parte 1</t>
  </si>
  <si>
    <t>- Cálculos com valores monetários.</t>
  </si>
  <si>
    <t>- Realizar cálculos simples para quantificar economias e poupanças, utilizando estratégias diversas e estimativas.</t>
  </si>
  <si>
    <t>- EF05MA06</t>
  </si>
  <si>
    <t>- Associar as representações 10%, 25%, 50%, 75% e 100% respectivamente à décima parte, quarta parte, metade, três quartos e um inteiro, para calcular porcentagens, utilizando estratégias pessoais, cálculo mental e calculadora, em contextos de educação financeira, entre outros.</t>
  </si>
  <si>
    <t>Calculando economias e poupanças ‒ Parte 2</t>
  </si>
  <si>
    <t>- EF07GE06</t>
  </si>
  <si>
    <t>- Analisar a apropriação dos recursos naturais pelas diferentes sociedades e discutir como os processos produtivos, a circulação e o consumo de mercadorias provocam impactos socioambientais e influem nas relações de trabalho e na distribuição de riquezas em diferentes lugares.</t>
  </si>
  <si>
    <t>Consumo sustentável: o impacto das nossas escolhas no bolso e no meio ambiente ‒ Parte 1</t>
  </si>
  <si>
    <t>- Decisões de consumo.
- Custo/benefício.
- Sustentabilidade.</t>
  </si>
  <si>
    <t>- Reconhecer o impacto das suas decisões de consumo no próprio orçamento, no meio ambiente e na sociedade.</t>
  </si>
  <si>
    <t>- EF03GE08A
- EF05CI04</t>
  </si>
  <si>
    <t>- Associar consumo à produção de resíduos, reconhecendo que o consumo excessivo e o descarte inadequado acarretam problemas socioambientais, em diferentes lugares
- Identificar os usos da água nas atividades cotidianas, do campo, no transporte, na indústria, no lazer e na geração de energia, para discutir e propor formas sustentáveis de utilização desse recurso.</t>
  </si>
  <si>
    <t>Consumo sustentável: o impacto das nossas escolhas no bolso e no meio ambiente ‒ Parte 2</t>
  </si>
  <si>
    <t>- Impacto do consumo.
- Política dos 7Rs.
- Sustentabilidade.
- Economia.</t>
  </si>
  <si>
    <t>- Relacionar o consumo excessivo e a produção de lixo.
- Propor estratégias de redução, reúso e reciclagem de materiais, visando a economia e o menor impacto.</t>
  </si>
  <si>
    <t>- EF05CI05</t>
  </si>
  <si>
    <t>- Construir proposta coletiva incentivando o consumo consciente e discutir soluções tecnológicas para o descarte adequado e a reutilização ou reciclagem de materiais consumidos na escola e nos demais espaços de vivência.</t>
  </si>
  <si>
    <t>Consumo consciente e sustentável em ação ‒ Parte 1</t>
  </si>
  <si>
    <t>- Planejar uma campanha de conscientização sobre a relação entre escolhas financeiras e impacto ambiental/social para a comunidade escolar.</t>
  </si>
  <si>
    <t>Consumo consciente e sustentável em ação ‒ Parte 2</t>
  </si>
  <si>
    <t>- Apresentar uma campanha de conscientização sobre a relação entre escolhas financeiras e impacto ambiental/social para a comunidade escolar.
- Refletir sobre sua capacidade de influenciar positivamente o ambiente escolar.</t>
  </si>
  <si>
    <t>8º</t>
  </si>
  <si>
    <t>Consumismo: o que é e como nos afeta?</t>
  </si>
  <si>
    <t>- consumo consciente.
- consumo sustentável.
- Consumismo.</t>
  </si>
  <si>
    <t>- Diferenciar consumismo de consumo consciente, reconhecendo os fatores que impulsionam o consumo excessivo.</t>
  </si>
  <si>
    <t>- EF04MA25</t>
  </si>
  <si>
    <t>- Resolver e elaborar problemas que envolvam situações de compra e venda e formas de pagamento, utilizando termos como troco e desconto, enfatizando o consumo ético, consciente e responsável.</t>
  </si>
  <si>
    <t>- Preço de produtos e serviços.</t>
  </si>
  <si>
    <t>Definição de preço e valor – Parte 1</t>
  </si>
  <si>
    <t>- Preço de produtos e serviços.
- Sistema monetário.
- Representação decimal.</t>
  </si>
  <si>
    <t>- Definir o preço de um produto ou serviço, identificando os elementos que o compõem.</t>
  </si>
  <si>
    <t>- EF04MA25
- EF07GE06</t>
  </si>
  <si>
    <t>- Resolver e elaborar problemas que envolvam situações de compra e venda e formas de pagamento, utilizando termos como troco e desconto, enfatizando o consumo ético, consciente e responsável.
- Analisar a apropriação dos recursos naturais pelas diferentes sociedades e discutir como os processos produtivos, a circulação e o consumo de mercadorias provocam impactos socioambientais e influem nas relações de trabalho e na distribuição de riquezas em diferentes lugares.</t>
  </si>
  <si>
    <t>- Preços de produtos e serviços.</t>
  </si>
  <si>
    <t>Definição de preço e valor – Parte 2</t>
  </si>
  <si>
    <t>- Preço de produtos e serviços.
- Definição de valor.</t>
  </si>
  <si>
    <t>- Diferenciar preço e valor de um serviço ou produto, compreendendo que valor é a utilidade percebida pelo indivíduo.</t>
  </si>
  <si>
    <t>- EF05MA25</t>
  </si>
  <si>
    <t>- Realizar pesquisa envolvendo variáveis categóricas e numéricas, organizar dados coletados por meio de tabelas, gráficos de colunas, pictóricos e de linhas, com e sem uso de tecnologias digitais, e apresentar texto escrito sobre a finalidade da pesquisa e a síntese dos resultados.</t>
  </si>
  <si>
    <t>- Preço e valor de produtos e serviços.</t>
  </si>
  <si>
    <t>Decisões de compra ‒ Parte 1</t>
  </si>
  <si>
    <t>- representação gráfica.
- pesquisa de preços.
- Comparação de preços.</t>
  </si>
  <si>
    <t>- Representar e interpretar a variação de preços de um produto ao longo do tempo em gráficos de linha.
- Calcular a diferença e a variação entre preços em diferentes períodos, analisando seu impacto no planejamento financeiro.</t>
  </si>
  <si>
    <t>- EF08MA25</t>
  </si>
  <si>
    <t>- Obter os valores de medidas de tendência central de uma pesquisa estatística (média, moda e mediana) com a compreensão de seus significados e relacioná-los com a dispersão de dados, indicada pela amplitude.</t>
  </si>
  <si>
    <t>Decisões de compra ‒ Parte 2</t>
  </si>
  <si>
    <t>- Média aritmética.
- Pesquisa de preços.
- Comparação de preços.</t>
  </si>
  <si>
    <t>- Calcular a média aritmética de preços para um mesmo produto em diferentes locais.
- Utilizar a média de preços como ferramenta para avaliar se o valor de um produto desejado está adequado, considerando fatores que justificam as diferenças.</t>
  </si>
  <si>
    <t>- EF69LP04
- EF67LP16</t>
  </si>
  <si>
    <t>- Identificar e analisar os efeitos de sentido que fortalecem a persuasão nos textos publicitários, relacionando as estratégias de persuasão e apelo ao consumo com os recursos linguístico-discursivos utilizados, como imagens, tempo verbal, jogos de palavras, figuras de linguagem etc., com vistas a fomentar práticas de consumo conscientes.
- Explorar e analisar espaços de reclamação de direitos e de envio de solicitações (tais como ouvidorias, SAC, canais ligados a órgãos públicos, plataformas do consumidor, plataformas de reclamação), bem como de textos pertencentes a gêneros que circulam nesses espaços, reclamação ou carta de reclamação, solicitação ou carta de solicitação, como forma de ampliar as possibilidades de produção desses textos em casos que remetam a reivindicações que envolvam a escola, a comunidade ou algum de seus membros como forma de se engajar na busca de solução de problemas pessoais, dos outros e coletivos.</t>
  </si>
  <si>
    <t>- Publicidade, marketing e educação midiática.</t>
  </si>
  <si>
    <t>Influências no consumo: introdução a promoções</t>
  </si>
  <si>
    <t>- Marketing e publicidade.
- Consumo.
- Direitos básicos do consumidor.</t>
  </si>
  <si>
    <t>- Identificar as principais táticas de marketing e armadilhas do consumo presentes no cotidiano.
- Reconhecer seus direitos básicos como consumidor, sabendo onde buscar ajuda em caso de problemas.</t>
  </si>
  <si>
    <t>- EF07MA02</t>
  </si>
  <si>
    <t>- Resolver e elaborar problemas que envolvam porcentagens, como os que lidam com acréscimos e decréscimos simples, utilizando estratégias pessoais, cálculo mental e calculadora, no contexto de educação financeira, entre outros.</t>
  </si>
  <si>
    <t>- Descontos e promoções.</t>
  </si>
  <si>
    <t>Descontos e percentuais: calculando a economia real ‒ Parte 1</t>
  </si>
  <si>
    <t>- conceito de Porcentagem.
- Cálculo de desconto simples.
- estratégias de cálculo.</t>
  </si>
  <si>
    <t>- Calcular o valor do desconto e o preço final de produtos utilizando porcentagens simples.
- Aplicar diferentes métodos de cálculo de porcentagem para resolver problemas de desconto de forma eficiente.</t>
  </si>
  <si>
    <t>- EF08MA04</t>
  </si>
  <si>
    <t>- Resolver e elaborar problemas, envolvendo cálculo de porcentagens, incluindo o uso de tecnologias digitais.</t>
  </si>
  <si>
    <t>Descontos e percentuais: calculando a economia real ‒ Parte 2</t>
  </si>
  <si>
    <t>- Descontos progressivos.
- Cálculo do desconto em Porcentagem.</t>
  </si>
  <si>
    <t>- Calcular o percentual de desconto real em promoções do tipo "Leve X Pague Y".
- Resolver problemas que envolvam descontos progressivos, determinando o preço final da compra.</t>
  </si>
  <si>
    <t>- EF07MA02
- EF08MA04</t>
  </si>
  <si>
    <t>- Resolver e elaborar problemas que envolvam porcentagens, como os que lidam com acréscimos e decréscimos simples, utilizando estratégias pessoais, cálculo mental e calculadora, no contexto de educação financeira, entre outros.
- Resolver e elaborar problemas, envolvendo cálculo de porcentagens, incluindo o uso de tecnologias digitais</t>
  </si>
  <si>
    <t>Descontos e percentuais: calculando a economia real ‒ Parte 3</t>
  </si>
  <si>
    <t>- Comparação de valores monetários.
- Cálculo de preço total.
- Cálculo de desconto.</t>
  </si>
  <si>
    <t>- Comparar diferentes ofertas de produtos, identificando a opção mais vantajosa através de cálculos.</t>
  </si>
  <si>
    <t>- EF06CO10
- EF07GE06</t>
  </si>
  <si>
    <t>- Analisar o consumo de tecnologia na sociedade, compreendendo criticamente o caminho da produção dos recursos bem como aspectos ligados à obsolescência e a sustentabilidade.
- Analisar a apropriação dos recursos naturais pelas diferentes sociedades e discutir como os processos produtivos, a circulação e o consumo de mercadorias provocam impactos socioambientais e influem nas relações de trabalho e na distribuição de riquezas em diferentes lugares.</t>
  </si>
  <si>
    <t>Obsolescência: quando o novo dura pouco</t>
  </si>
  <si>
    <t>- tipos de obsolescência.
- Obsolescência programada.
- Sustentabilidade.</t>
  </si>
  <si>
    <t>- Reconhecer o conceito de obsolescência, associado ao consumo, e seus diferentes tipos.</t>
  </si>
  <si>
    <t>- EF05MA19
- EF08MA13</t>
  </si>
  <si>
    <t>- Resolver e elaborar problemas envolvendo medidas das grandezas comprimento, área, massa, tempo, temperatura e capacidade, recorrendo a transformações entre as unidades mais usuais em contextos socioculturais.
- Resolver e elaborar problemas que envolvam grandezas diretamente ou inversamente proporcionais, por meio de estratégias variadas.</t>
  </si>
  <si>
    <t>Custo vs uso: calculando o custo-benefício</t>
  </si>
  <si>
    <t>- Cálculo de custo por uso.
- Comparação de produtos baseada em durabilidade e custo/uso.
- Economia a longo prazo vs. economia imediata.</t>
  </si>
  <si>
    <t>- Calcular o custo por uso de diferentes produtos, utilizando a fórmula apresentada.
- Comparar opções de compra, identificando a mais vantajosa financeiramente a longo prazo com base no custo por uso.</t>
  </si>
  <si>
    <t>- Construir proposta coletiva incentivando o consumo consciente e discutir soluções tecnológicas para o descarte adequado e a reutilização ou reciclagem de materiais consumidos na escola e nos demais espaços de vivência.EF07GE06) Analisar a apropriação dos recursos naturais pelas diferentes sociedades e discutir como os processos produtivos, a circulação e o consumo de mercadorias provocam impactos socioambientais e influem nas relações de trabalho e na distribuição de riquezas em diferentes lugares.</t>
  </si>
  <si>
    <t>O caminho do produto: do recurso ao descarte</t>
  </si>
  <si>
    <t>- Ciclo de vida do produto (produção, transporte, consumo, descarte).
- Impactos financeiros e ambientais.</t>
  </si>
  <si>
    <t>- Descrever o ciclo de vida de um produto, desde a extração da matéria-prima até o descarte.</t>
  </si>
  <si>
    <t>- EF07GE06
- EF08GE13</t>
  </si>
  <si>
    <t>- Analisar a apropriação dos recursos naturais pelas diferentes sociedades e discutir como os processos produtivos, a circulação e o consumo de mercadorias provocam impactos socioambientais e influem nas relações de trabalho e na distribuição de riquezas em diferentes lugares.
- Analisar a influência do desenvolvimento científico e tecnológico na caracterização dos tipos de trabalho e na economia dos espaços urbanos e rurais da América e da África.</t>
  </si>
  <si>
    <t>Analisando a Fast Fashion</t>
  </si>
  <si>
    <t>- Fast Fashion (modelo de negócios e características).
- Custos escondidos do fast fashion (ambientais, sociais/éticos, financeiros pessoais).
- Alternativas para um consumo de moda mais consciente.</t>
  </si>
  <si>
    <t>- Analisar o modelo de negócios do fast fashion e seus custos ocultos (ambientais, sociais e financeiros).
- Propor e discutir alternativas para um consumo de moda mais consciente e sustentável.</t>
  </si>
  <si>
    <t>Consumo consciente e sustentável em debate</t>
  </si>
  <si>
    <t>- Consumo consciente e sustentável.
- Análise de prós e contras.</t>
  </si>
  <si>
    <t>- Analisar criticamente diferentes cenários de consumo, identificando prós e contras de cada decisão.</t>
  </si>
  <si>
    <t>2º</t>
  </si>
  <si>
    <t>- Metas e planejamento de curto, médio e longo prazo.</t>
  </si>
  <si>
    <t>Definição de objetivos ‒ Parte 1</t>
  </si>
  <si>
    <t>- Objetivos pessoais.</t>
  </si>
  <si>
    <t>- Explicar o que são objetivos pessoais.</t>
  </si>
  <si>
    <t>Definição de objetivos ‒ Parte 2</t>
  </si>
  <si>
    <t>- Objetivos pessoais.
- Curto, médio, longo prazo.</t>
  </si>
  <si>
    <t>- Reconhecer os conceitos de curto, médio e longo prazos com base em situações cotidianas.
- Classificar objetivos pessoais de acordo com diferentes horizontes de tempo.</t>
  </si>
  <si>
    <t>Planejando para alcançar um objetivo ‒ Parte 1</t>
  </si>
  <si>
    <t>- Objetivos pessoais.
- Necessidades e desejos.
- Prazos e metas financeiras.
- Cálculos com valores monetários.</t>
  </si>
  <si>
    <t>- Estimar o custo financeiro de objetivos de curto, médio e longo prazos.
- Estabelecer objetivos financeiros claros, considerando desejos e necessidades.</t>
  </si>
  <si>
    <t>- EF05MA12
- EF05MA13</t>
  </si>
  <si>
    <t>- Resolver problemas que envolvam variação de proporcionalidade direta entre duas grandezas, para associar a quantidade de um produto ao valor a pagar, alterar as quantidades de ingredientes de receitas, ampliar ou reduzir escala em mapas, entre outros.
- Resolver problemas envolvendo a partilha de uma quantidade em duas partes desiguais, tais como dividir uma quantidade em duas partes, de modo que uma seja o dobro da outra, com compreensão da ideia de razão entre as partes e delas com o todo.</t>
  </si>
  <si>
    <t>Planejando para alcançar um objetivo ‒ Parte 2</t>
  </si>
  <si>
    <t>- estratégias de Planejamento financeiro.
- Cálculos com valores monetários.</t>
  </si>
  <si>
    <t>- Criar um plano de poupança para pequenas metas financeiras.
- Traçar estratégias para alcançar objetivos de curto prazo.</t>
  </si>
  <si>
    <t>- EF05CO10
- EF07GE05</t>
  </si>
  <si>
    <t>- Expressar-se crítica e criativamente na compreensão das mudanças tecnológicas no mundo do trabalho e sobre a evolução da sociedade.
- Analisar fatos e situações representativas das alterações ocorridas entre o período mercantilista e o advento do capitalismo.</t>
  </si>
  <si>
    <t>- Sistema financeiro e economia.</t>
  </si>
  <si>
    <t>- instituições Financeiras.</t>
  </si>
  <si>
    <t>Onde guardamos o dinheiro?</t>
  </si>
  <si>
    <t>- instituições Financeiras.
- Caderneta de poupança.</t>
  </si>
  <si>
    <t>- Reconhecer as instituições financeiras (bancos) como local de destino do dinheiro poupado.
- Analisar as vantagens e desvantagens de guardar dinheiro em casa versus no banco.</t>
  </si>
  <si>
    <t>- Riscos, direitos e responsabilidades financeiras.</t>
  </si>
  <si>
    <t>- Segurança financeira.</t>
  </si>
  <si>
    <t>Por que poupamos? ‒ Parte 1</t>
  </si>
  <si>
    <t>- reserva de Emergência.
- Imprevistos.
- Segurança financeira.</t>
  </si>
  <si>
    <t>- Explicar o que é uma reserva de emergência e sua importância.
- Relacionar a poupança à prevenção de problemas financeiros futuros.</t>
  </si>
  <si>
    <t>Por que poupamos? ‒ Parte 2</t>
  </si>
  <si>
    <t>- Tipos de poupança: para objetivos e para reserva.</t>
  </si>
  <si>
    <t>- Relacionar a poupança a diferentes situações de consumo e segurança nos prazos.
- Consolidar a importância da poupança como ferramenta para múltiplos objetivos.</t>
  </si>
  <si>
    <t>- EF04MA27</t>
  </si>
  <si>
    <t>- Analisar dados apresentados em tabelas simples ou de dupla entrada e em gráficos de colunas ou pictóricos, com base em informações das diferentes áreas do conhecimento, e produzir texto com a síntese de sua análise.</t>
  </si>
  <si>
    <t>- Orçamento compartilhado.</t>
  </si>
  <si>
    <t>Objetivos em família ou em grupo ‒ Parte 1</t>
  </si>
  <si>
    <t>- Gastos Individuais.
- Gastos em Grupo/Família.
- Orçamento Colaborativo.
- Representação em tabela ou lista.</t>
  </si>
  <si>
    <t>- Diferenciar gastos individuais de gastos em grupo ou em família em um orçamento.
- Reconhecer a existência de orçamentos compartilhados.</t>
  </si>
  <si>
    <t>- EF05MA12</t>
  </si>
  <si>
    <t>- Resolver problemas que envolvam variação de proporcionalidade direta entre duas grandezas, para associar a quantidade de um produto ao valor a pagar, alterar as quantidades de ingredientes de receitas, ampliar ou reduzir escala em mapas, entre outros.</t>
  </si>
  <si>
    <t>Objetivos em família ou em grupo ‒ Parte 2</t>
  </si>
  <si>
    <t>- Despesas comuns: água, energia, alimentação, transporte.
- Responsabilidade financeira.
- Proporcionalidade.</t>
  </si>
  <si>
    <t>- Analisar estratégias para economizar em despesas cotidianas compartilhadas.
- Calcular o impacto financeiro de pequenas economias no orçamento familiar.</t>
  </si>
  <si>
    <t>Aula Complementar -  Objetivos em família ou em grupo ‒ Parte 3</t>
  </si>
  <si>
    <t>- Objetivos de médio prazo.
- Orçamento Colaborativo.
- divisão em partes desiguais.
- Proporcionalidade.</t>
  </si>
  <si>
    <t>- Traçar estratégias colaborativas para alcançar objetivos de médio prazo em grupo.
- Calcular a contribuição individual para um objetivo financeiro coletivo.</t>
  </si>
  <si>
    <t>- EF06MA11
- EF06MA13</t>
  </si>
  <si>
    <t>- Resolver e elaborar problemas com números racionais positivos na representação decimal, envolvendo as quatro operações fundamentais e a potenciação, por meio de estratégias diversas, utilizando estimativas e arredondamentos para verificar a razoabilidade de respostas, com e sem uso de calculadora.
- Resolver e elaborar problemas que envolvam porcentagens, com base na ideia de proporcionalidade, sem fazer uso da “regra de três”, utilizando estratégias pessoais, cálculo mental e calculadora, em contextos de educação financeira, entre outros.</t>
  </si>
  <si>
    <t>O que é equilíbrio financeiro?</t>
  </si>
  <si>
    <t>- Equilíbrio financeiro.
- Rendas e despesas.
- Fontes de renda.</t>
  </si>
  <si>
    <t>- Analisar a priorização de gastos em um orçamento familiar consciente.</t>
  </si>
  <si>
    <t>- gráficos financeiros.</t>
  </si>
  <si>
    <t>Disciplina financeira e objetivos de longo prazo</t>
  </si>
  <si>
    <t>- Objetivos de longo prazo.
- representação gráfica.</t>
  </si>
  <si>
    <t>- Representar graficamente o acúmulo da poupança ao longo do tempo para objetivos de longo prazo.
- Identificar o papel das ferramentas visuais no acompanhamento e na motivação para a poupança de longo prazo.</t>
  </si>
  <si>
    <t>- EF69LP09</t>
  </si>
  <si>
    <t>- Planejar uma campanha publicitária sobre questões/problemas, temas, causas significativas para a escola e/ou comunidade, a partir de um levantamento de material sobre o tema ou evento, da definição do público-alvo, do texto ou peça a ser produzido – cartaz, banner, folheto, panfleto, anúncio impresso e para internet, spot, propaganda de rádio, TV etc. –, da ferramenta de edição de texto, áudio ou vídeo que será utilizada, do recorte e enfoque a ser dado, das estratégias de persuasão que serão utilizadas etc.</t>
  </si>
  <si>
    <t>- Hábitos de poupança e controle financeiro.</t>
  </si>
  <si>
    <t>Uma campanha de impacto ‒ Parte 1</t>
  </si>
  <si>
    <t>- Educação financeira.
- Comunicação.</t>
  </si>
  <si>
    <t>- Analisar a importância da educação financeira para a população em geral.
- Planejar uma cartilha sobre um tema relevante do bimestre, com foco na comunicação eficaz.</t>
  </si>
  <si>
    <t>Aula Complementar - Uma campanha de impacto ‒ Parte 2</t>
  </si>
  <si>
    <t>- Produzir uma cartilha criativa e informativa sobre educação financeira.</t>
  </si>
  <si>
    <t>- Resolver e elaborar problemas que envolvam cálculo de porcentagens, incluindo o uso de tecnologias digitais.</t>
  </si>
  <si>
    <t>- Porcentagens em situações Financeiras.</t>
  </si>
  <si>
    <t>Introdução às porcentagens no cotidiano</t>
  </si>
  <si>
    <t>- Aplicações da porcentagem no contexto financeiro.</t>
  </si>
  <si>
    <t>- Identificar o uso da porcentagem em situações financeiras ou contextos econômicos, no cotidiano e na mídia.</t>
  </si>
  <si>
    <t>- Resolver e elaborar problemas que envolvam cálculo de porcentagens, incluindo o uso de tecnologias digitais ou calculadoras.</t>
  </si>
  <si>
    <t>Tipos de promoções e estratégias de venda</t>
  </si>
  <si>
    <t>- Aplicações da porcentagem no contexto financeiro.
- Promoções.
- Consumismo.</t>
  </si>
  <si>
    <t>- Identificar diferentes tipos de promoções no dia a dia.</t>
  </si>
  <si>
    <t>Promoções e descontos ‒ Parte 1</t>
  </si>
  <si>
    <t>- Calcular descontos e acréscimos no contexto financeiro.</t>
  </si>
  <si>
    <t>Promoções e descontos ‒ Parte 2</t>
  </si>
  <si>
    <t>- Aplicações da porcentagem no contexto financeiro.
- Propagandas enganosas.</t>
  </si>
  <si>
    <t>- Analisar promoções de produtos ou serviços.</t>
  </si>
  <si>
    <t>Percentuais na mídia: analisando notícias ‒ Parte 1</t>
  </si>
  <si>
    <t>- dados socioeconômicos.
- Educação midiática.</t>
  </si>
  <si>
    <t>- Discutir dados referentes a finanças e contextos econômicos veiculados na mídia, em forma de porcentagem.</t>
  </si>
  <si>
    <t>Percentuais na mídia: analisando notícias ‒ Parte 2</t>
  </si>
  <si>
    <t>- Pesquisar e avaliar promoções reais.</t>
  </si>
  <si>
    <t>- EF08MA13</t>
  </si>
  <si>
    <t>- Resolver e elaborar problemas que envolvam grandezas diretamente ou inversamente proporcionais, por meio de estratégias variadas.</t>
  </si>
  <si>
    <t>- Sistema econômico e financeiro no Brasil.
- Porcentagens.</t>
  </si>
  <si>
    <t>O papel do governo na economia</t>
  </si>
  <si>
    <t>- Taxas de juros, inflação e política monetária.</t>
  </si>
  <si>
    <t>- Listar mudanças econômicas e seus impactos na sociedade.
- Reconhecer o conceito de inflação.</t>
  </si>
  <si>
    <t>Impacto das decisões econômicas em nossas vidas</t>
  </si>
  <si>
    <t>- Identificar impactos na vida cotidiana das decisões econômicas e taxas de juros nacionais.</t>
  </si>
  <si>
    <t>- EF08GE08</t>
  </si>
  <si>
    <t>- Analisar a situação do Brasil e de outros países da América Latina e da África, assim como da potência estadunidense na ordem mundial do pós-guerra.</t>
  </si>
  <si>
    <t>- Cenários econômicos no Brasil e no mundo.</t>
  </si>
  <si>
    <t>Introdução à análise de cenários econômicos ‒ Parte 1</t>
  </si>
  <si>
    <t>- Cenários econômicos.</t>
  </si>
  <si>
    <t>- Entender o conceito de cenário econômico.</t>
  </si>
  <si>
    <t>- EF08MA04
- EF08MA12</t>
  </si>
  <si>
    <t>- Resolver e elaborar problemas que envolvam cálculo de porcentagens, incluindo o uso de tecnologias digitais ou calculadoras.
- Identificar a natureza da variação de duas grandezas, diretamente, inversamente proporcionais ou não proporcionais, expressando a relação existente por meio de sentença algébrica e representá-la no plano cartesiano.</t>
  </si>
  <si>
    <t>Aula Complementar- Introdução à análise de cenários econômicos ‒ Parte 2</t>
  </si>
  <si>
    <t>- Esquematizar os cenários econômicos por meio de um estudo de caso.</t>
  </si>
  <si>
    <t>- EF08MA04
- EF08MA13</t>
  </si>
  <si>
    <t>- Resolver e elaborar problemas que envolvam cálculo de porcentagens, incluindo o uso de tecnologias digitais ou calculadoras.
- Resolver e elaborar problemas que envolvam grandezas diretamente ou inversamente proporcionais, por meio de estratégias variadas.</t>
  </si>
  <si>
    <t>Conhecendo diferentes cenários econômicos: como planejar uma viagem? ‒ Parte 1</t>
  </si>
  <si>
    <t>- Planejamento.
- Orçamento.</t>
  </si>
  <si>
    <t>- Elaborar um planejamento de viagem ou passeio local.</t>
  </si>
  <si>
    <t>Conhecendo diferentes cenários econômicos: como planejar uma viagem? ‒ Parte 2</t>
  </si>
  <si>
    <t>- Tomar decisões financeiras de acordo com diferentes cenários econômicos.</t>
  </si>
  <si>
    <t>Conhecendo diferentes cenários econômicos: como planejar uma viagem? ‒ Parte 3</t>
  </si>
  <si>
    <t>- Conversão de moedas.</t>
  </si>
  <si>
    <t>- Calcular conversões de moedas considerando diferentes taxas de câmbio.</t>
  </si>
  <si>
    <t>Aula Complementar -  Conhecendo diferentes cenários econômicos: como planejar uma viagem? ‒ Parte 4</t>
  </si>
  <si>
    <t>- Apresentar um planejamento de viagem local ou internacional.</t>
  </si>
  <si>
    <t>3º</t>
  </si>
  <si>
    <t>- EF07MA04</t>
  </si>
  <si>
    <t>- Resolver e elaborar problemas que envolvam operações com números inteiros.</t>
  </si>
  <si>
    <t>- Endividamento</t>
  </si>
  <si>
    <t>Retomando os imprevistos e as crises financeiras</t>
  </si>
  <si>
    <t>- Crise e imprevistos financeiros.
- Número negativo.</t>
  </si>
  <si>
    <t>- Analisar Exemplos de imprevistos Financeiros.
- Representar dívidas como números negativos.</t>
  </si>
  <si>
    <t>Endividamento e reserva financeira</t>
  </si>
  <si>
    <t>- Imprevistos.
- Reserva financeira</t>
  </si>
  <si>
    <t>- Reconhecer o conceito de Segurança financeira.
- Demonstrar a importância de ter uma reserva Financeira para situações inesperadas.</t>
  </si>
  <si>
    <t>Resolvendo problemas envolvendo dívidas</t>
  </si>
  <si>
    <t>- Resolução de problemas.
- Tomada de decisão.</t>
  </si>
  <si>
    <t>- Analisar situações financeiras envolvendo imprevistos.</t>
  </si>
  <si>
    <t>Elaborando problemas envolvendo dívidas</t>
  </si>
  <si>
    <t>- Elaboração de problemas.
- Tomada de decisão.</t>
  </si>
  <si>
    <t>- EF07GE21
- EF07CI06</t>
  </si>
  <si>
    <t>- Relacionar os processos produtivos sustentáveis com as práticas de consumo consciente e responsável e discutircaminhos para a construção de sociedades sustentáveis
- Discutir e avaliar mudanças econômicas, culturais esociais,tanto na vida cotidiana quanto no mundo do trabalho, decorrentes do desenvolvimento de novos materiais e tecnologias como automação e informatização.</t>
  </si>
  <si>
    <t>Sistema Financeiro e Economia</t>
  </si>
  <si>
    <t>- Sistema financeiro.</t>
  </si>
  <si>
    <t>O que é crédito? - Parte 1</t>
  </si>
  <si>
    <t>- Conceito de crédito.</t>
  </si>
  <si>
    <t>- Reconhecer o conceito de crédito.</t>
  </si>
  <si>
    <t>O que é crédito? - Parte 2</t>
  </si>
  <si>
    <t>- Diferenciar crédito e débito
- Identificar os diferentes serviços do sistema bancário.</t>
  </si>
  <si>
    <t>- EF07MA12</t>
  </si>
  <si>
    <t>- Resolver e elaborar problemas que envolvam as operações com números racionais</t>
  </si>
  <si>
    <t>Uma introdução aos juros - Parte 1</t>
  </si>
  <si>
    <t>- Juros
- Rendimento</t>
  </si>
  <si>
    <t>- Reconhecer o significado de rendimentos e juros em diferentes situações financeiras fictícias.</t>
  </si>
  <si>
    <t>Uma introdução aos juros - Parte 2</t>
  </si>
  <si>
    <t>- Calcular juros sem uso de fórmulas, com apoio de tabelas e/ou adições e subtrações sucessivas.</t>
  </si>
  <si>
    <t>- EF07MA10</t>
  </si>
  <si>
    <t>- Comparar e ordenar números racionais em diferentes contextos e associá-los a pontos da reta numérica.</t>
  </si>
  <si>
    <t>- Acréscimos e descontos.</t>
  </si>
  <si>
    <t>À vista ou a prazo? ‒ Parte 1.</t>
  </si>
  <si>
    <t>- Parcelamento.
- Crédito.
- Débito.</t>
  </si>
  <si>
    <t>- Diferenciar compras à vista e a prazo.</t>
  </si>
  <si>
    <t>- Resolver e elaborar problemas que envolvam as operações com números racionais.</t>
  </si>
  <si>
    <t>À vista ou a prazo? ‒ Parte 2.</t>
  </si>
  <si>
    <t>- Calcular o valor de parcelas, considerando acréscimos e descontos.</t>
  </si>
  <si>
    <t>- EF07MA02
- EF07MA12</t>
  </si>
  <si>
    <t>- Resolver e elaborar problemas que envolvam porcentagens, como os que lidam com acréscimos e decréscimos simples, utilizando estratégias pessoais, cálculo mental e calculadora, no contexto de educação financeira, entre outros.
- Resolver e elaborar problemas que envolvam as operações com números racionais</t>
  </si>
  <si>
    <t>Introdução aos investimentos.</t>
  </si>
  <si>
    <t>Simulando rendimentos ‒ Parte 1.</t>
  </si>
  <si>
    <t xml:space="preserve">- Juros.
- Números reacionais.
</t>
  </si>
  <si>
    <t>- Registrar as operações do jogo usando números racionais e tabelas.</t>
  </si>
  <si>
    <t>- Introdução aos investimentos.</t>
  </si>
  <si>
    <t>Simulando rendimentos ‒ Parte 2.</t>
  </si>
  <si>
    <t xml:space="preserve">- Juros
- Números racionais.
</t>
  </si>
  <si>
    <t>4º</t>
  </si>
  <si>
    <t>- EF06MA32</t>
  </si>
  <si>
    <t>Interpretar e resolver situações que envolvam dados de pesquisas sobre contextos ambientais, sustentabilidade, trânsito, consumo responsável, entre outros, apresentadas pela mídia em tabelas e em diferentes tipos de gráficos e redigir textos escritos com o objetivo de sintetizar conclusões.</t>
  </si>
  <si>
    <t>Renda, Empreendedorismo e Trabalho</t>
  </si>
  <si>
    <t>- Dados socioeconômicos.</t>
  </si>
  <si>
    <t>Introdução à renda ‒ Parte 1</t>
  </si>
  <si>
    <t>- Tipos de renda.
- Dados estatísticos socioeconômicos.</t>
  </si>
  <si>
    <t>- Diferenciar renda formal de renda informal.</t>
  </si>
  <si>
    <t>- EF07GE08</t>
  </si>
  <si>
    <t>- Estabelecer relações entre os processos de industrialização e inovação tecnológica com as transformações socioeconômicas do território brasileiro.</t>
  </si>
  <si>
    <t>Introdução à renda ‒ Parte 2</t>
  </si>
  <si>
    <t>- Ler gráficos estatísticos que representam informações sobre Renda da população.</t>
  </si>
  <si>
    <t>Quanto tem na conta?</t>
  </si>
  <si>
    <t>- Extrato da conta.</t>
  </si>
  <si>
    <t>- Analisar um extrato de uma conta fictícia identificando compras fixas, eventuais e taxas.</t>
  </si>
  <si>
    <t>Chegou a fatura. E agora?</t>
  </si>
  <si>
    <t>- Fatura de cartão de crédito.</t>
  </si>
  <si>
    <t>- Analisar uma fatura de cartão de crédito.</t>
  </si>
  <si>
    <t>- EF07CI06
- EF67LP16</t>
  </si>
  <si>
    <t>- Discutir e avaliar mudanças econômicas, culturais e sociais, tanto na vida cotidiana quanto no mundo do trabalho, decorrentes do desenvolvimento de novos materiais e tecnologias (como automação e informatização).
- Explorar e analisar espaços de reclamação de direitos e de envio de solicitações (ouvidorias, SAC, canais ligados a órgãos públicos, plataformas do consumidor, plataformas de reclamação),
reconhecendo-os como espaços para fazer reivindicações e se engajar na busca de soluções para problemas pessoais, dos outros e coletivos</t>
  </si>
  <si>
    <t>Consumo, Sustentabilidade e Cidadania</t>
  </si>
  <si>
    <t>Educação Fiscal</t>
  </si>
  <si>
    <t>Cupom fiscal: para que serve? ‒ Parte 1</t>
  </si>
  <si>
    <t>- Cupom fiscal.
- Taxas e índices.
'-Diferenciar cupom fiscal de nota fiscal</t>
  </si>
  <si>
    <t>- Reconhecer a estrutura de um cupom fiscal, sua importância e o papel dos órgãos de defesa do consumidor.</t>
  </si>
  <si>
    <t xml:space="preserve">- EF07CI06 
- EF67LP16
‘-EF07MA02
</t>
  </si>
  <si>
    <t xml:space="preserve">- Discutir e avaliar mudanças econômicas, culturais e sociais, tanto na vida cotidiana quanto no mundo do trabalho, decorrentes do desenvolvimento de novos materiais e tecnologias (como automação e informatização).
- Explorar e analisar espaços de reclamação de direitos e de envio de solicitações (ouvidorias, SAC, canais ligados a órgãos públicos, plataformas do consumidor, plataformas de reclamação),
reconhecendo-os como espaços para fazer reivindicações e se engajar na busca de soluções para problemas pessoais, dos outros e coletivos
´- Resolver e elaborar problemas que envolvam porcentagens, como os que lidam com acréscimos e decréscimos simples, utilizando estratégias pessoais, cálculo mental e calculadora, no contexto de educação financeira, entre outros.
</t>
  </si>
  <si>
    <t>Cupom fiscal: para que serve? ‒ Parte 2</t>
  </si>
  <si>
    <t>- Taxas e índices.
- Preço de produtos e serviços.</t>
  </si>
  <si>
    <t>- Calcular preço de produtos e serviços.</t>
  </si>
  <si>
    <t>- Resolver e elaborar problemas que envolvam porcentagens, como os que lidam com acréscimos e decréscimos simples, utilizando estratégias pessoais, cálculo mental e calculadora, no contexto de educação financeira, entre outros</t>
  </si>
  <si>
    <t>- Porcentagem.</t>
  </si>
  <si>
    <t>Porcentagem no dia a dia - Parte 1: na mídia</t>
  </si>
  <si>
    <t>- Dados econômicos.
- Porcentagem
- Propagandas.</t>
  </si>
  <si>
    <t>- Interpretar representações de porcentagem em notícias financeiras e propagandas.</t>
  </si>
  <si>
    <t>Porcentagem no dia a dia - Parte 2: descontos e acréscimos</t>
  </si>
  <si>
    <t>- Taxas e índices no dia a dia.
- Porcentagem</t>
  </si>
  <si>
    <t>- Aplicar porcentagem para calcular descontos (promoções) e acréscimos (juros, taxas) em situações de compra.
- Simular situações financeiras em que a porcentagem impacta a tomada de Decisão.</t>
  </si>
  <si>
    <t>Porcentagem no dia a dia - Parte 3: contas de consumo</t>
  </si>
  <si>
    <t>- Relacionar o conceito de porcentagem com contas de consumo (água, luz, mercado).</t>
  </si>
  <si>
    <t>- Representação gráfica.</t>
  </si>
  <si>
    <t>Porcentagem no dia a dia - Parte 4: metas e gráficos</t>
  </si>
  <si>
    <t>- Metas financeiras.
- Renda.
- Gráfico de setores.</t>
  </si>
  <si>
    <t>- Representar metas de economia e a distribuição do orçamento (gastos essenciais) usando Gráfico de Setores.</t>
  </si>
  <si>
    <t>- EF07MA37</t>
  </si>
  <si>
    <t>Ler, interpretar e analisar dados apresentados em gráfico de setores divulgados pela mídia e compreenderquando é possível ou conveniente sua utilização.</t>
  </si>
  <si>
    <t>Construindo gráficos financeiros – Parte 1</t>
  </si>
  <si>
    <t>- Gráfico de setores</t>
  </si>
  <si>
    <t>- Construir gráficos que representam situações financeiras.</t>
  </si>
  <si>
    <t>Construindo gráficos financeiros – Parte 2</t>
  </si>
  <si>
    <t>- Economia Doméstica.</t>
  </si>
  <si>
    <t>Entendendo a Economia Doméstica.</t>
  </si>
  <si>
    <t>- Conceito de economia doméstica.
- Receitas e despesas.
- Introdução ao orçamento familiar.</t>
  </si>
  <si>
    <t>- Analisar variações de receitas e despesas.
- Reconhecer a importância do planejamento financeiro no cotidiano familiar.</t>
  </si>
  <si>
    <t>Estrutura de um orçamento</t>
  </si>
  <si>
    <t>- Métodos de organização financeira: planilhas, aplicativos e agendas.</t>
  </si>
  <si>
    <t>- Explorar diferentes formas de organização financeira
- Identificar os principais campos de um orçamento familiar.</t>
  </si>
  <si>
    <t>Classificando e analisando as despesas de uma família - Parte 1</t>
  </si>
  <si>
    <t>- Despesas: Essenciais, Supérfluas, Fixas e Variáveis</t>
  </si>
  <si>
    <t>- Identificar e classificar gastos, propondo estratégias para gerenciá-los.
- Reconhecer os impactos das diferenças de renda sobre as escolhas de consumo e o bem-estar das pessoas.</t>
  </si>
  <si>
    <t>- EF07MA35</t>
  </si>
  <si>
    <t>- Compreender, em contextos significativos, o significado de média estatística como indicador da tendência de uma pesquisa, calcular seu valor e relacioná-lo, intuitivamente, com a amplitude do conjunto de dados.</t>
  </si>
  <si>
    <t>Classificando e analisando as despesas de uma família - Parte 2</t>
  </si>
  <si>
    <t>- Despesas variáveis
- Estratégias de estimativa</t>
  </si>
  <si>
    <t>- Estimar e planejar despesas variáveis, a partir da análise de um orçamento familiar.</t>
  </si>
  <si>
    <t>- EF08MA27</t>
  </si>
  <si>
    <t>- Planejar e executar pesquisa amostral, selecionando uma técnica de amostragem adequada, e escrever relatório que contenha os gráficos apropriados para representar os conjuntos de dados, destacando aspectos como as medidas de tendência central, a amplitude</t>
  </si>
  <si>
    <t>- Orçamento familia</t>
  </si>
  <si>
    <t>Analisando um Orçamento ‒ Parte 1</t>
  </si>
  <si>
    <t>- Orçamento familiar
- Tipos de Orçamento (Superavitário, Deficitário, Neutro)</t>
  </si>
  <si>
    <t>- Calcular o saldo final (Receitas - Despesas) de um orçamento.
- Determinar se um orçamento é superavitário, deficitário ou neutro.</t>
  </si>
  <si>
    <t>- Gestão de gastos.</t>
  </si>
  <si>
    <t>Analisando um Orçamento ‒ Parte 2</t>
  </si>
  <si>
    <t>- Orçamento familiar
- Estratégias de redução de custos</t>
  </si>
  <si>
    <t>- Analisar um orçamento deficitário, identificando despesas que podem ser diminuídas ou cortadas, com foco nas categorias supérfluas e variáveis, para reverter o saldo para positivo.</t>
  </si>
  <si>
    <t>Planejando uma reserva de Emergência - Parte 1</t>
  </si>
  <si>
    <t>- Conceito de reserva de emergência.
- Porcentagens aplicadas às finanças.</t>
  </si>
  <si>
    <t>- Reconhecer a importância de reservas financeiras para estabilidade e planejamento.
- Integrar o ato de poupar como um item fixo e prioritário no orçamento familiar.</t>
  </si>
  <si>
    <t>Planejando uma reserva de Emergência - Parte 2</t>
  </si>
  <si>
    <t>- Conceito de reserva de emergência.
- Análise orçamentária</t>
  </si>
  <si>
    <t>- Analisar um orçamento para garantir um saldo superavitário
- Calcular o tempo necessário para atingir o valor total da Reserva de Emergência, a partir de um orçamento com poupança</t>
  </si>
  <si>
    <t>- Metas financeiras.</t>
  </si>
  <si>
    <t>Definindo Metas Financeiras</t>
  </si>
  <si>
    <t>- Definição de metas financeiras.
- Curto, médio e longo prazo.
- Importância do planejamento financeiro.</t>
  </si>
  <si>
    <t>- Estabelecer metas financeiras para diferentes prazos e relacioná-las ao planejamento e controle do orçamento.</t>
  </si>
  <si>
    <t>- Planejamento e análise de orçamento.</t>
  </si>
  <si>
    <t>Criando uma Planilha de Orçamento ‒ Parte 1.</t>
  </si>
  <si>
    <t>Estrutura inicial da planilha de orçamento: categorias de receitas e despesas.
- Fórmulas básicas para cálculo automático.
- Organização dos dados.</t>
  </si>
  <si>
    <t>- Estruturar uma planilha de orçamento com campos e fórmulas básicas, estimulando o uso de ferramentas tecnológicas para análise financeira.
- Reconhecer que a categorização e a dupla classificação de gastos são fundamentais para a análise financeira.</t>
  </si>
  <si>
    <t>Criando uma Planilha de Orçamento ‒ Parte 2.</t>
  </si>
  <si>
    <t>- Refinamento da planilha: detalhamento dos cálculos e teste de funcionalidade.
- Ajustes baseados na aplicabilidade para um cenário fictício.</t>
  </si>
  <si>
    <t>- Refinar a estrutura da planilha, incorporando cálculos detalhados e validando sua funcionalidade para o orçamento familiar.</t>
  </si>
  <si>
    <t>- EF69LP41</t>
  </si>
  <si>
    <t>- Usar adequadamente ferramentas de apoio a apresentações orais, escolhendo e usando tipos e tamanhos de fontes que permitam boa visualização, topicalizando e/ou organizando o conteúdo em itens, inserindo de forma adequada imagens, gráficos, tabelas, formas e elementos gráficos, dimensionando a quantidade de texto (e imagem) por slide, usando progressivamente e de forma harmônica recursos mais sofisticados como efeitos de transição, slides mestres, layouts personalizados etc.</t>
  </si>
  <si>
    <t>Criando uma Planilha de Orçamento ‒ Parte 3.</t>
  </si>
  <si>
    <t>- Finalização e validação da planilha.
- Ajustes finais e apresentação inicial.</t>
  </si>
  <si>
    <t>- Apresentar uma planilha de orçamento, considerando suas funcionalidades e objetivos</t>
  </si>
  <si>
    <t>- Cidadania financeira.</t>
  </si>
  <si>
    <t>- Cidadania Financeira e o Papel da Sociedade.</t>
  </si>
  <si>
    <t>Cidadania Financeira: o que é e por que é importante?</t>
  </si>
  <si>
    <t xml:space="preserve"> - Conceito de cidadania financeira. 
 - Relação com o uso consciente do dinheiro.</t>
  </si>
  <si>
    <t>- Apresentar o conceito de cidadania financeira e seu impacto no dia a dia.</t>
  </si>
  <si>
    <t>Cidadania financeira</t>
  </si>
  <si>
    <t xml:space="preserve">- Práticas financeiras cidadãs.
</t>
  </si>
  <si>
    <t>- Relacionar cidadania financeira a responsabilidades sociais e coletivas.</t>
  </si>
  <si>
    <t>- EF08MA23</t>
  </si>
  <si>
    <t>- Avaliar A adequação de diferentes tipos de gráficos para representar um conjunto de dados de uma pesquisa.</t>
  </si>
  <si>
    <t>- Ética financeira.</t>
  </si>
  <si>
    <t>- Ética Financeira: Primeiros Passos.</t>
  </si>
  <si>
    <t>Ética financeira - Parte 1</t>
  </si>
  <si>
    <t xml:space="preserve"> '- O que é ética financeira.
 - Exemplos do cotidiano.</t>
  </si>
  <si>
    <t>- Reconhecer a importância da Ética nas decisões financeiras.</t>
  </si>
  <si>
    <t>- Ética Financeira: Dilemas e Reflexões.</t>
  </si>
  <si>
    <t>Ética financeira - Parte 2</t>
  </si>
  <si>
    <t>- Simulações e dilemas éticos em finanças.
- Impactos das decisões éticas.</t>
  </si>
  <si>
    <t>- Analisar como a ética influencia as decisões financeiras e suas consequências.</t>
  </si>
  <si>
    <t>- Segurança Financeira e o Uso da Tecnologia.</t>
  </si>
  <si>
    <t>Segurança financeira e tecnologia</t>
  </si>
  <si>
    <t>- Cuidados com compras online.
- Proteção de dados pessoais e bancários.</t>
  </si>
  <si>
    <t>- Discutir a importância de práticas seguras em transações financeiras digitais.</t>
  </si>
  <si>
    <t xml:space="preserve">(EF08CO08) 
 (EF08CO10) 
</t>
  </si>
  <si>
    <t xml:space="preserve">Distinguir os tipos de dados pessoais que são solicitados em espaços digitais e os riscos associados.
Discutir questões sobre segurança e privacidade relacionadas ao uso dos ambientes virtuais.
</t>
  </si>
  <si>
    <t>Segurança Financeira e o Uso da Tecnologia.</t>
  </si>
  <si>
    <t>Proteção de Dados e Privacidade Financeira.</t>
  </si>
  <si>
    <t>- Lei Geral de Proteção de Dados (LGPD).
- Exemplos práticos de proteção de dados.</t>
  </si>
  <si>
    <t>- Identificar boas práticas para proteger informações financeiras pessoais.</t>
  </si>
  <si>
    <t>- EF08MA06</t>
  </si>
  <si>
    <t>- Resolver e elaborar problemas que envolvam cálculo do valor numérico de expressões algébricas, utilizando as propriedades das operações.</t>
  </si>
  <si>
    <t>- Decisões de compra.</t>
  </si>
  <si>
    <t>-  Decisões de Compra</t>
  </si>
  <si>
    <t>Consumo consciente  - Parte 1</t>
  </si>
  <si>
    <t>- Publicidade, contexto emocional, e impulsos de consumo.</t>
  </si>
  <si>
    <t>- Analisar fatores emocionais e racionais que impactam as decisões de compra.</t>
  </si>
  <si>
    <t>- Decisões de Compra</t>
  </si>
  <si>
    <t>Consumo consciente  - Parte 2</t>
  </si>
  <si>
    <t>- Exemplos de decisões baseadas em emoção.
- Estratégias para decisões conscientes.</t>
  </si>
  <si>
    <t>- Diferenciar comprar imediatas necessárias de compras desejadas; - Identificar os impactos dos aspectos emocionais nas decisões de compra.</t>
  </si>
  <si>
    <t>- Planejamento de Compras</t>
  </si>
  <si>
    <t>Consumo consciente  - Parte 3</t>
  </si>
  <si>
    <t>- Organização e controle de gastos.
- Estabelecimento de prioridades financeiras.</t>
  </si>
  <si>
    <t>- Desenvolver estratégias para planejar e realizar compras de forma consciente.</t>
  </si>
  <si>
    <t>- Planejamento de compras</t>
  </si>
  <si>
    <t>Black Friday, preços ao longo do tempo e promoções relâmpago</t>
  </si>
  <si>
    <t>- Simulações envolvendo orçamento e prioridades.</t>
  </si>
  <si>
    <t>- Aplicar conceitos financeiros em situações reais de consumo.</t>
  </si>
  <si>
    <t>Usar adequadamente ferramentas de apoio a apresentações orais, escolhendo e usando tipos e tamanhos de fontes que permitam boa visualização, topicalizando e/ou organizando o conteúdo em itens, inserindo de forma adequada imagens, gráficos, tabelas, formas e elementos gráficos, dimensionando a quantidade de texto (e imagem) por slide, usando progressivamente e de forma harmônica recursos mais sofisticados como efeitos de transição, slides mestres, layouts personalizados etc.</t>
  </si>
  <si>
    <t>- Reflexão e fechamento.</t>
  </si>
  <si>
    <t xml:space="preserve">
Educação Financeira: Lições e Impactos.</t>
  </si>
  <si>
    <t xml:space="preserve">	Projeto final: construindo o Guia da Cidadania Financeira - Parte 1</t>
  </si>
  <si>
    <t xml:space="preserve">Revisão dos principais aprendizados do ano
</t>
  </si>
  <si>
    <t>Consolidar os aprendizados do ano e construir um guia de cidadania financeira.</t>
  </si>
  <si>
    <t>- Educação Financeira: Lições e Impactos.</t>
  </si>
  <si>
    <t xml:space="preserve">	Projeto final: apresentando o Guia da Cidadania Financeira - Parte 2</t>
  </si>
  <si>
    <t>Revisão dos principais aprendizados do ano
- Reflexão coletiva sobre cidadania financeira</t>
  </si>
  <si>
    <t>Apresentar o guia de cidadania financeira e refletir sobre a importância da educação financeira.</t>
  </si>
  <si>
    <t>HABILIDADE</t>
  </si>
  <si>
    <t>6º</t>
  </si>
  <si>
    <t>EF06CI14</t>
  </si>
  <si>
    <t>Forma, estrutura e movimento da Terra</t>
  </si>
  <si>
    <t>A dança da Terra</t>
  </si>
  <si>
    <t>Esfericidade da Terra.​</t>
  </si>
  <si>
    <t>Compreender o conceito de esfericidade da Terra e como isso influencia a incidência de luz solar.​</t>
  </si>
  <si>
    <t>EF06CI11</t>
  </si>
  <si>
    <t>Como o passado da Terra e o nosso cotidiano se conectam?​</t>
  </si>
  <si>
    <t>Tempo histórico, geológico e cronológico.</t>
  </si>
  <si>
    <t>Compreender o tempo para construir uma visão integrada sobre o desenvolvimento da Terra e das civilizações, relacionando ciência, história e o cotidiano.</t>
  </si>
  <si>
    <t>EF06CI14​</t>
  </si>
  <si>
    <t>Um objeto que cai</t>
  </si>
  <si>
    <t>Gravidade, aceleração e peso.​</t>
  </si>
  <si>
    <t>Identificar os principais conceitos relacionados à gravidade.​</t>
  </si>
  <si>
    <t>O ciclo da água e os estados físicos da matéria</t>
  </si>
  <si>
    <t>Principais estados físicos da matéria.</t>
  </si>
  <si>
    <t>Classificar os estados físicos da matéria a partir da análise das características de diferentes objetos.</t>
  </si>
  <si>
    <t>EF06CI01</t>
  </si>
  <si>
    <t>Separação de materiais</t>
  </si>
  <si>
    <t>Os métodos de separação de misturas</t>
  </si>
  <si>
    <t>- Misturas homogêneas e heterogêneas.
- Separação de misturas.</t>
  </si>
  <si>
    <t>Compreender os fênomenos envolvidos em diferentes técnicas de separação de misturas.</t>
  </si>
  <si>
    <t>EF06CI12</t>
  </si>
  <si>
    <t>O processo de fossilização</t>
  </si>
  <si>
    <t>O que são fósseis e como são formados.</t>
  </si>
  <si>
    <t>Simular o processo de fossilização.</t>
  </si>
  <si>
    <t>EF07CI02​</t>
  </si>
  <si>
    <t>Formas de propagação de calor</t>
  </si>
  <si>
    <t>Como o calor pode mover as máquinas?</t>
  </si>
  <si>
    <t>Calor e temperatura.</t>
  </si>
  <si>
    <t>Compreender os principais conceitos relacionados à temperatura, ao calor e à sensação térmica.​</t>
  </si>
  <si>
    <t>EF07CI01A​</t>
  </si>
  <si>
    <t>Máquinas simples</t>
  </si>
  <si>
    <t>A engenharia do dia a dia</t>
  </si>
  <si>
    <t>Máquinas simples.</t>
  </si>
  <si>
    <t>Identificar o papel do uso de máquinas simples no cotidiano.​</t>
  </si>
  <si>
    <t>EF07CI16​</t>
  </si>
  <si>
    <t>Placas tectônicas e deriva continental​</t>
  </si>
  <si>
    <t>O movimento das placas tectônicas</t>
  </si>
  <si>
    <t>- Placas tectônicas.
- Deriva continental.</t>
  </si>
  <si>
    <t>Simular os movimentos convergentes, divergentes e transformantes realizados pelas placas tectônicas.</t>
  </si>
  <si>
    <t>EF07CI13A</t>
  </si>
  <si>
    <t>Efeito estufa</t>
  </si>
  <si>
    <t>Simulando o efeito estufa</t>
  </si>
  <si>
    <t>Efeito estufa.</t>
  </si>
  <si>
    <t>Simular, em um sistema pequeno, as condições que levam ao agravamento do efeito estufa.</t>
  </si>
  <si>
    <t>EF07CI07</t>
  </si>
  <si>
    <t>Diversidade de ecossistemas</t>
  </si>
  <si>
    <t>Olhando as plantas de perto</t>
  </si>
  <si>
    <t>Plantas.</t>
  </si>
  <si>
    <t>Analisar as principais características dos grupos de plantas terrestres.</t>
  </si>
  <si>
    <t>EF07CI10A</t>
  </si>
  <si>
    <t>Programas e indicadores de saúde pública</t>
  </si>
  <si>
    <t>Diversidade da vida: microorganismos</t>
  </si>
  <si>
    <t>Microorganismos.</t>
  </si>
  <si>
    <t>Explorar a presença de micorganismos em diferentes amostras de solo e de água.</t>
  </si>
  <si>
    <t>EF08CI07</t>
  </si>
  <si>
    <t>Processos reprodutivos</t>
  </si>
  <si>
    <t>Como as plantas garantem a próxima geração: a reprodução vegetal</t>
  </si>
  <si>
    <t>Reprodução vegetal.</t>
  </si>
  <si>
    <t>Analisar as diferenças e as semelhanças entre os processos reprodutivos das plantas.</t>
  </si>
  <si>
    <t>EF08CI8B​</t>
  </si>
  <si>
    <t>Hormônios em ação: como o nosso corpo responde aos​ estímulos?</t>
  </si>
  <si>
    <t>- Sistema endócrino.​
- Sistema nervoso.​
- Hormônios.</t>
  </si>
  <si>
    <t>Compreender como os sistemas nervoso e endócrino interagem para controlar as respostas do corpo.​</t>
  </si>
  <si>
    <t>Tabagismo e alcoolismo: os efeitos no organismo​</t>
  </si>
  <si>
    <t>- Efeitos do cigarro no pulmão.​
- Efeitos do álcool no fígado.</t>
  </si>
  <si>
    <t>Simular os efeitos do álcool e do tabaco no fígado e no pulmão.</t>
  </si>
  <si>
    <t>EF08CI8B</t>
  </si>
  <si>
    <t>Saúde</t>
  </si>
  <si>
    <t>Como é o ar que eu respiro?</t>
  </si>
  <si>
    <t>Saúde do sistema respiratório.</t>
  </si>
  <si>
    <t>Identificar as características físico-químicas que afetam a qualidade do ar atmosférico; Analisar a qualidade do ar da região.</t>
  </si>
  <si>
    <t>Integração entre os sistemas digestório, respiratório e circulatório</t>
  </si>
  <si>
    <t>Decifrando a pressão arterial</t>
  </si>
  <si>
    <t>Pressão arterial.</t>
  </si>
  <si>
    <t>Comprender o que é a pressão arterial e a sua função no organismo humano.</t>
  </si>
  <si>
    <t>Como os meus pulmões se enchem?</t>
  </si>
  <si>
    <t>Movimentos de expiração e inspiração.</t>
  </si>
  <si>
    <t>Compreender como são realizados os movimentos de expiração e inspiração.</t>
  </si>
  <si>
    <t>9º</t>
  </si>
  <si>
    <t>EF09CI07</t>
  </si>
  <si>
    <t>Radiações e suas aplicações na saúde</t>
  </si>
  <si>
    <t>Radiação na Medicina</t>
  </si>
  <si>
    <t>Raios-X.</t>
  </si>
  <si>
    <t>Identificar como a radiação é utilizada em exames e tratamentos médicos.​</t>
  </si>
  <si>
    <t>EF09CI01</t>
  </si>
  <si>
    <t>Estrutura da matéria</t>
  </si>
  <si>
    <t>Substâncias puras e misturas: os comportamentos térmicos</t>
  </si>
  <si>
    <t>Mudança dos estados físicos da matéria.​</t>
  </si>
  <si>
    <t>Investigar as mudanças de estado físico em substâncias puras e misturas.​</t>
  </si>
  <si>
    <t>EF09CI02​</t>
  </si>
  <si>
    <t>Aspectos quantitativos das transformações químicas​</t>
  </si>
  <si>
    <t>Identificando os reagentes e os produtos</t>
  </si>
  <si>
    <t>Reações químicas.​</t>
  </si>
  <si>
    <t>Reconhecer os componentes de uma reação química (reagentes e produtos).​</t>
  </si>
  <si>
    <t>EF09CI09</t>
  </si>
  <si>
    <t>Hereditariedade</t>
  </si>
  <si>
    <t>Herdamos essa característica de quem?</t>
  </si>
  <si>
    <t>- Genética.
- Hereditariedade.
- Primeira lei de Mendel.</t>
  </si>
  <si>
    <t>Compreender os mecanismos da hereditariedade propostos pela primeira lei de Mendel.</t>
  </si>
  <si>
    <t>EF09CI08</t>
  </si>
  <si>
    <t>Divisão celular</t>
  </si>
  <si>
    <t>Divisão celular: mitose</t>
  </si>
  <si>
    <t>Divisão celular.</t>
  </si>
  <si>
    <t>Representar por modelo físico as diferentes etapas da mitose.</t>
  </si>
  <si>
    <t>EF09CI11</t>
  </si>
  <si>
    <t>Taxonomia</t>
  </si>
  <si>
    <t>Interpretação de cladogramas</t>
  </si>
  <si>
    <t>Cladograma.</t>
  </si>
  <si>
    <t>Representar a classificação de seres vivos com a construção de cladogramas.</t>
  </si>
  <si>
    <t>EF06CI05</t>
  </si>
  <si>
    <t>Níveis de organização dos seres vivos</t>
  </si>
  <si>
    <t>O que faz um microscópio?</t>
  </si>
  <si>
    <t>- Funcionamento do microscópio.
- Aplicação da microscopia no cotidiano.</t>
  </si>
  <si>
    <t>Compreender o funcionamento de um microscópio ao observar objetos pequenos.</t>
  </si>
  <si>
    <t>A fotossíntese ao vivo</t>
  </si>
  <si>
    <t>- Fotossíntese.
- Biologia celular dos vegetais.</t>
  </si>
  <si>
    <t>Observar o processo de fotossíntese sendo realizado em uma planta.</t>
  </si>
  <si>
    <t>Cultivando bactérias</t>
  </si>
  <si>
    <t>Classificação das bactérias.</t>
  </si>
  <si>
    <t>Produzir um meio de cultura com bactérias e analisar as características das culturas.</t>
  </si>
  <si>
    <t>EF06CI08</t>
  </si>
  <si>
    <t>Lentes corretivas</t>
  </si>
  <si>
    <t>Luz e cor</t>
  </si>
  <si>
    <t>- Conceito de luz e de cor.
- Formação das cores a partir de diferentes tipos de luz.</t>
  </si>
  <si>
    <t>Investigar a composição das cores por meio da sobreposição de luzes coloridas.</t>
  </si>
  <si>
    <t>EF06CI07</t>
  </si>
  <si>
    <t>Interação entre sistema muscular e nervoso</t>
  </si>
  <si>
    <t>Audição e equilíbrio</t>
  </si>
  <si>
    <t>Integração entre sistema auditivo, equilíbrio e sistema nervoso.</t>
  </si>
  <si>
    <t>Correlacionar o sistema auditivo com nossa percepção de equilíbrio.</t>
  </si>
  <si>
    <t>Tato</t>
  </si>
  <si>
    <t>Tato e acessibilidade.</t>
  </si>
  <si>
    <t>- Experenciar a situação de mobilidade com visão reduzida.
- Recriar pinturas com modelos táteis.
- Refletir sobre o sistema tátil e a sua importância para a acessibilidade de pessoas com deficiência visual.</t>
  </si>
  <si>
    <t>Ecossistemas aquáticos</t>
  </si>
  <si>
    <t>Ecossistemas aquáticos: componentes e biodiversidade.</t>
  </si>
  <si>
    <t>Construir um ecossistema aquático e analisar os seus principais componentes.</t>
  </si>
  <si>
    <t>EF07CI08</t>
  </si>
  <si>
    <t>Fenômenos naturais e impactos ambientais</t>
  </si>
  <si>
    <t>Agricultura: impactos ambientais e uso do solo</t>
  </si>
  <si>
    <t>Impactos da monocultura ao solo e à biodiversidade.</t>
  </si>
  <si>
    <t>Analisar as condições que provocam a erosão do solo.</t>
  </si>
  <si>
    <t>Agricultura: importância na produção de alimentos</t>
  </si>
  <si>
    <t>Agricultura e produção de alimentos.</t>
  </si>
  <si>
    <t>Analisar a germinação de uma semente em meio hidropônico.</t>
  </si>
  <si>
    <t>As bactérias</t>
  </si>
  <si>
    <t>Bactérias e estruturas.</t>
  </si>
  <si>
    <t>- Explicar a constituição geral das bactérias e as suas principais características.
- Elaborar um modelo de célula bacteriana.</t>
  </si>
  <si>
    <t>EF07CI10B</t>
  </si>
  <si>
    <t>Sistema imune humano</t>
  </si>
  <si>
    <t>Atitudes que ajudam na manutenção da saúde (cuidados com a higiene pessoal e dos alimentos e com o consumo de água).</t>
  </si>
  <si>
    <t>Analisar a eficácia de diferentes formas de higienização.</t>
  </si>
  <si>
    <t>EF07CI09</t>
  </si>
  <si>
    <t>O que são vacinas?</t>
  </si>
  <si>
    <t>Etapas envolvidas na produção de vacinas.</t>
  </si>
  <si>
    <t>Identificar os materiais que compõem as vacinas de antígeno.</t>
  </si>
  <si>
    <t>EF08CI13</t>
  </si>
  <si>
    <t>Clima</t>
  </si>
  <si>
    <t>Estações do ano</t>
  </si>
  <si>
    <t>- Eixo de inclinação terrestre.
- Relação entre inclinação da Terra e ocorrência das estações do ano.</t>
  </si>
  <si>
    <t>Relacionar as mudanças na inclinação da Terra em relação ao Sol e às estações do ano.</t>
  </si>
  <si>
    <t>EF08CI14</t>
  </si>
  <si>
    <t>Circulação atmosférica</t>
  </si>
  <si>
    <t>- Fatores climáticos.
- Circulação atmosférica.</t>
  </si>
  <si>
    <t>Observar a direção e o sentido do vento como parte dos fenômenos que compõem a circulação atmosférica.</t>
  </si>
  <si>
    <t>Circulação oceânica</t>
  </si>
  <si>
    <t>- Fatores climáticos.
- Circulação oceânica.</t>
  </si>
  <si>
    <t>- Analisar os fatores climáticos que caracterizam a circulação oceânica.
- Simular a circulação oceânica.​</t>
  </si>
  <si>
    <t>EF08CI18</t>
  </si>
  <si>
    <t>Fontes e tipos de energia</t>
  </si>
  <si>
    <t>Magnetismo</t>
  </si>
  <si>
    <t>- Magnetismo.
- Campo magnético.</t>
  </si>
  <si>
    <t>Analisar interações de campos magnéticos com diferentes materiais.</t>
  </si>
  <si>
    <t>Cargas elétricas e eletrização</t>
  </si>
  <si>
    <t>Eletrização por atrito.</t>
  </si>
  <si>
    <t>Realizar a eletrização por atrito em diferentes materiais.</t>
  </si>
  <si>
    <t>Circuitos elétricos</t>
  </si>
  <si>
    <t>Condutores e isolantes</t>
  </si>
  <si>
    <t>Condutores e isolantes elétricos.</t>
  </si>
  <si>
    <t>Identificar materiais condutores e isolantes elétricos.</t>
  </si>
  <si>
    <t>Preservação da biodiversidade</t>
  </si>
  <si>
    <t>Biodiversidade</t>
  </si>
  <si>
    <t>- Biodiversidade.
- Evolução.</t>
  </si>
  <si>
    <t>- Identificar diferentes espécies de seres vivos na escola.
- Relacionar os processos evolutivos à biodiversidade.</t>
  </si>
  <si>
    <t>EF09CI12B</t>
  </si>
  <si>
    <t>Tratamento da água</t>
  </si>
  <si>
    <t>- Tratamento da água.
- Filtração.</t>
  </si>
  <si>
    <t>- Relacionar as etapas de tratamento de água com suas finalidades.
- Simular o processo de filtração da água.</t>
  </si>
  <si>
    <t>Destinação do lixo</t>
  </si>
  <si>
    <t>- Gestão dos resíduos sólidos.
- Funcionamento de uma composteira.</t>
  </si>
  <si>
    <t>Investigar a dinâmica e os produtos de uma composteira.</t>
  </si>
  <si>
    <t>EF09CI14</t>
  </si>
  <si>
    <t>Composição, estrutura e localização do Sistema Solar no Universo</t>
  </si>
  <si>
    <t>Introdução à cinemática</t>
  </si>
  <si>
    <t>- Conceitos fundamentais de cinemática.
- Primeira lei de Newton.</t>
  </si>
  <si>
    <t>Analisar experimentalmente odeslocamento, o tempo e a velocidade média em movimentos retilíneos de objetos.</t>
  </si>
  <si>
    <t>Aceleração</t>
  </si>
  <si>
    <t>- Aceleração escalar média.
- Equação para o cálculo de aceleração média.</t>
  </si>
  <si>
    <t>Calcular a aceleração média de objetos em um plano inclinado a partir de medidas de tempo e deslocamento.</t>
  </si>
  <si>
    <t>Planetas rochosos</t>
  </si>
  <si>
    <t>Planetas rochosos do Sistema Solar.</t>
  </si>
  <si>
    <t>Elaborar maquete dos planetas rochosos do Sistema Solar.</t>
  </si>
  <si>
    <t>TEMA</t>
  </si>
  <si>
    <t>DIMENSÃO EM FOCO</t>
  </si>
  <si>
    <t>COMPREENSÃO</t>
  </si>
  <si>
    <t>CONTEXTO DA AULA</t>
  </si>
  <si>
    <t>QUESTÃO ESSENCIAL</t>
  </si>
  <si>
    <t>ATITUDE</t>
  </si>
  <si>
    <t>PRÁTICA</t>
  </si>
  <si>
    <t>O início dos Anos Finais é mais do que mudar de turma e professores — é atravessar uma ponte entre ser criança e tornar-se adolescente. Neste projeto, os estudantes vão investigar quem são e quem estão se tornando, construindo um retrato vivo de sua identidade, motivações e escolhas. Ao longo das aulas, eles irão conectar autoconhecimento, convivência, tomada de decisão, planejamento e engajamento, culminando em um produto coletivo que representa sua chegada ao 6º ano.
Ao final do projeto, os estudantes terão produzido um “Livro da Transição” (individual ou coletivo), reunindo registros de autoconhecimento, perfis acadêmicos, mapas de afinidades, dilemas de decisão, metas de curto prazo e estratégias de motivação. Esse material servirá como marco simbólico da chegada ao 6º ano e referência para sua jornada no Ensino Fundamental - Anos Finais.</t>
  </si>
  <si>
    <t>Autoconhecimento</t>
  </si>
  <si>
    <t>Assumir e valorizar quem somos é o primeiro passo para nos tornar quem desejamos ser.</t>
  </si>
  <si>
    <t>Somos diferentes e habitamos o mesmo mundo. Qual será o resultado disso?
Esta aula abre o projeto convidando os estudantes a olhar para si mesmos e a compartilhar como se veem. Propõe uma conexão entre família e escola, valorizando percepções mútuas como ponto de partida para a transição.
ENTREGA: Livro da Transição: registro inicial de identidade e percepções pessoais/familiares.</t>
  </si>
  <si>
    <t>- Quais são as características sem as quais eu deixaria de ser quem sou?
- O que me torna eu mesmo(a)?
- O que minha família diria que são minhas principais características? E eu, o que vejo em mim?</t>
  </si>
  <si>
    <t>Autoconexão</t>
  </si>
  <si>
    <t>Reconhecer</t>
  </si>
  <si>
    <t>AC.6.1 Reconhecer as próprias características físicas e psicológicas.</t>
  </si>
  <si>
    <t>Somos diferentes e habitamos o mesmo mundo. Qual será o resultado disso?
Nesta aula, os estudantes iniciam a construção de seu Livro da Transição, criando seu perfil acadêmico a partir da observação de interesses e resultados, integrando-se com a narrativa pessoal da aula 1.
ENTREGA: Inclusão do perfil acadêmico no Livro da Transição.</t>
  </si>
  <si>
    <t>- Quais são as características sem as quais eu deixaria de ser quem sou?
- Quem eu sou como estudante?
- O que eu já sei sobre mim e meu jeito de aprender?</t>
  </si>
  <si>
    <t>- Autoconexão
- Compromisso consigo mesmo</t>
  </si>
  <si>
    <t>- Reconhecer
- Observar-se</t>
  </si>
  <si>
    <t>AC.6.1 Reconhecer as próprias características físicas e psicológicas.
P.6.1 Criar seu perfil acadêmico com base na observação de interesses e resultados.</t>
  </si>
  <si>
    <t>Convivência</t>
  </si>
  <si>
    <t>Aprender a se expressar com respeito, sem abrir mão da autenticidade, construindo relações de confiança com os demais.</t>
  </si>
  <si>
    <t>Na escola e na vida, convivemos com pessoas diferentes — mas com algumas, criamos conexões mais fortes. Quem são essas pessoas? O que temos em comum? Como podemos estar juntos de forma positiva e criativa?
Dando continuidade ao Livro da Transição, os estudantes exploram afinidades com os colegas, reconhecendo como seus interesses se conectam e constroem pertencimento no novo ciclo.
ENTREGA: Mapa de afinidades ou caderno coletivo de interesses no Livro da Transição.</t>
  </si>
  <si>
    <t>- Quem são as pessoas com as quais eu tenho afinidades?
- Com quem eu gosto de estar junto na escola? Por quê?</t>
  </si>
  <si>
    <t>Abertura para o encontro</t>
  </si>
  <si>
    <t>Acolher</t>
  </si>
  <si>
    <t>C.6.1 Formar grupos de interesse com colegas.</t>
  </si>
  <si>
    <t>Tomada de decisão</t>
  </si>
  <si>
    <t>Testar possibilidades de decisão em diferentes cenários e com a participação de diferentes atores.</t>
  </si>
  <si>
    <t>Escolher entre ir ou não, contar ou esconder, ajudar ou ignorar, se posicionar ou ficar quieto… Todos os dias tomamos decisões. Mas nem sempre é fácil. Por quê? O que torna uma escolha difícil?
No Livro da Transição, os estudantes registram dilemas e decisões significativas, discutindo como fatores pessoais e sociais influenciam suas escolhas.
ENTREGA: Registro de dilemas e escolhas no Livro da Transição.</t>
  </si>
  <si>
    <t>É fácil tomar decisões?
Por que, na escola, tomar decisões às vezes é difícil?</t>
  </si>
  <si>
    <t>Coragem para decidir</t>
  </si>
  <si>
    <t>Refletir</t>
  </si>
  <si>
    <t>TD.6.1 Compreender porque pode ser difícil tomar decisões.</t>
  </si>
  <si>
    <t>Planejamento</t>
  </si>
  <si>
    <t>Estabelecer objetivos de curto prazo para organizar os estudos e conquistar metas pessoais na escola.</t>
  </si>
  <si>
    <t>Cada estudante tem uma forma de aprender, se concentrar e se organizar. Descobrir o seu próprio jeito pode ser o primeiro passo para conquistar seus objetivos na escola. Mas o que será que já sabemos sobre nós mesmos como aprendizes?
Os estudantes transformam seus perfis e dilemas em metas concretas, registradas como compromissos pessoais no Livro da Transição.
ENTREGA: Metas de curto prazo no Livro da Transição.</t>
  </si>
  <si>
    <t>- Quem eu sou como estudante?
- Como eu me organizo para aprender coisas novas?</t>
  </si>
  <si>
    <t>Compromisso consigo mesmo</t>
  </si>
  <si>
    <t>Observar-se</t>
  </si>
  <si>
    <t>P.6.1 Criar seu perfil acadêmico com base na observação de interesses e resultados.</t>
  </si>
  <si>
    <t>Engajamento</t>
  </si>
  <si>
    <t>Manter a motivação necessária para realizar e concluir tarefas com autonomia e empenho pessoal.</t>
  </si>
  <si>
    <t>Às vezes acordamos animados para realizar nossas tarefas; em outras, parece que nada faz sentido. Identificar o que influencia nossa motivação é um passo importante para aprender a lidar com os altos e baixos e manter o foco mesmo nos dias difíceis.
Encerrando o Livro da Transição, os estudantes identificam fatores que influenciam sua motivação e elaboram estratégias pessoais de resiliência.
ENTREGA: Diário de ânimo e estratégias de motivação no Livro da Transição.</t>
  </si>
  <si>
    <t>- Como me sinto quando estou motivado? E demotivado?
- O que me dá vontade de aprender? O que me desanima?</t>
  </si>
  <si>
    <t>Consciência emocional</t>
  </si>
  <si>
    <t>E.6.1 Diferenciar estados de ânimo motivadores e desmotivadores.</t>
  </si>
  <si>
    <t>Às vezes acordamos animados para realizar nossas tarefas; em outras, parece que nada faz sentido. Identificar o que influencia nossa motivação é um passo importante para aprender a lidar com os altos e baixos e manter o foco mesmo nos dias difíceis.
Conclusão do Livro da Transição: os estudantes refletem sobre como emoções e decisões se entrelaçam em sua vida escolar, registrando compromissos para o 6º ano.
ENTREGA: Síntese final do Livro da Transição, com compromissos para o novo ciclo.</t>
  </si>
  <si>
    <t>- Como me sinto quando estou motivado? E demotivado?
- É fácil tomar decisões?
- Como eu me sinto quando preciso tomar decisões importantes na escola?</t>
  </si>
  <si>
    <t>- Consciência emocional
- Coragem para decidir</t>
  </si>
  <si>
    <t>- Observar-se
- Refletir</t>
  </si>
  <si>
    <t>E.6.1 Diferenciar estados de ânimo motivadores e desmotivadores.
TD.6.1 Compreender porque pode ser difícil tomar decisões.</t>
  </si>
  <si>
    <t>Cada pessoa tem seus próprios interesses, formas de se comunicar, decisões a tomar e planos para o futuro. No 7º ano, os estudantes estão em uma fase de transição: seus gostos mudam, suas opiniões ganham força e suas responsabilidades aumentam. Nesse contexto, este projeto convida os alunos a investigarem como seus interesses evoluíram, como se comunicam, como tomam decisões e como podem definir metas em diferentes áreas da vida. Ao final, os estudantes criarão um painel de transformações do 7º ano (individual ou coletivo), reunindo registros de seus interesses em mudança, reflexões sobre comunicação e empatia, mapas de decisões, metas pessoais e propostas de engajamento. Esse painel culminará em uma apresentação multimodal que responde à pergunta: “Quem estou me tornando?”.</t>
  </si>
  <si>
    <t>Escolher o que nos interessa é também escolher quem estamos nos tornando.</t>
  </si>
  <si>
    <t>Os interesses mudam com o tempo — o que gostávamos na infância pode já não fazer sentido hoje. E alguns gostos nos acompanham desde sempre. O que será que isso revela sobre nossa história e sobre quem estamos nos tornando?
Esta aula abre o projeto, convidando os estudantes a mapear suas transformações de interesses ao longo da vida. O contexto conecta infância e presente, preparando terreno para relacionar mudanças pessoais a futuras escolhas.
ENTREGA: Linha do Tempo dos Interesses – registro inicial no “painel de transformações do 7º ano”.</t>
  </si>
  <si>
    <t>O que mudou e o que permaneceu nos meus interesses até agora?</t>
  </si>
  <si>
    <t>Autenticidade</t>
  </si>
  <si>
    <t>AC.7.1 Analisar as transformações que ocorreram em seus interesses ao longo dos anos.</t>
  </si>
  <si>
    <t>Os interesses mudam com o tempo — o que gostávamos na infância pode já não fazer sentido hoje. E alguns gostos nos acompanham desde sempre. O que será que isso revela sobre nossa história e sobre quem estamos nos tornando?
Os registros se transformam em narrativas ou símbolos que evidenciam o que mudou e o que permaneceu. Assim, ampliam o painel de transformações.
ENTREGA: Painel Individual ou Coletivo de Interesses.</t>
  </si>
  <si>
    <t>Utilizar os princípios da comunicação não violenta para expressar-se com respeito, empatia e assertividade.</t>
  </si>
  <si>
    <t>Às vezes, o jeito como a gente fala pode machucar, ajudar ou confundir. Outras vezes, o silêncio fala mais do que as palavras. Será que sabemos como nossas palavras afetam os outros? E como a forma de escutar também faz diferença?
Nesta aula, os estudantes registram, no Painel, reflexões sobre como se comunicam e como a CNV pode ajudar a evitar conflitos (incluindo bullying e exclusão).
ENTREGA: Registro CNV no Painel: mural de “Palavras que constroem”.</t>
  </si>
  <si>
    <t>O que acontece quando eu sei me comunicar bem com os outros?</t>
  </si>
  <si>
    <t>Consciência comunicativa</t>
  </si>
  <si>
    <t>Escutar</t>
  </si>
  <si>
    <t>C.7.1 Refletir sobre os efeitos de diferentes formas de se comunicar em contextos escolares, familiares e comunitários.</t>
  </si>
  <si>
    <t>Tomada de Decisão</t>
  </si>
  <si>
    <t>Tomar decisões baseadas na análise das causas e consequências das situações.</t>
  </si>
  <si>
    <t>Muitas vezes a gente decide porque algo acontece, alguém fala, ou uma situação muda. Mas e quando isso acontece com pessoas que tomam decisões que afetam o mundo? O que provoca essas decisões? E o que provoca as nossas?
Os estudantes comparam decisões pessoais e históricas, registrando no Painel o que perceberam como causas mais relevantes, aproximando suas escolhas das de grandes marcos.
ENTREGA: Mapa das Causas – seção do Painel dedicada às decisões.</t>
  </si>
  <si>
    <t>O que causa a necessidade de tomar uma decisão?</t>
  </si>
  <si>
    <t>Curiosidade investigativa</t>
  </si>
  <si>
    <t>TD.7.1 Analisar causas de decisões pessoais e históricas.</t>
  </si>
  <si>
    <t>Formular objetivos de curto a médio prazo para diferentes áreas da vida e usar ferramentas para conquistá-los.</t>
  </si>
  <si>
    <t>Todo mundo tem sonhos, planos e desejos. Mas quais deles podem se tornar realidade em pouco tempo? E o que pode levar um pouco mais? Reconhecer essas metas e pensar em como conquistá-las é uma forma de cuidar da própria vida.
A partir da Roda da Vida, os estudantes definem metas, ligando interesses e decisões anteriores. Registram compromissos concretos para diferentes áreas da vida.
ENTREGA: Cartões de Metas no Painel.</t>
  </si>
  <si>
    <t>O que eu quero conquistar a curto e médio prazo?</t>
  </si>
  <si>
    <t>Intencionalidade</t>
  </si>
  <si>
    <t>Nomear</t>
  </si>
  <si>
    <t>P.7.1 Criar uma lista de objetivos de curto e médio prazo para diversas áreas da vida.</t>
  </si>
  <si>
    <t>Estar atento e comprometido com as necessidades e demandas do seu entorno.</t>
  </si>
  <si>
    <t>Vivemos em comunidade. Na escola, em casa e em outros espaços, existem necessidades que nem sempre são ditas. Perceber essas demandas é o primeiro passo para colaborar e se engajar em soluções que fazem a diferença.
Os estudantes investigam necessidades na escola, família e comunidade. No Painel, registram propostas coletivas para atendê-las.
ENTREGA: Mapa das Necessidades no Painel.</t>
  </si>
  <si>
    <t>O que as pessoas à minha volta necessitam?</t>
  </si>
  <si>
    <t>Empatia</t>
  </si>
  <si>
    <t>E.7.1 Perceber e analisar as necessidades e demandas de sua escola, família e comunidade, propondo formas coletivas de atendê-las.</t>
  </si>
  <si>
    <t>Escolher o que nos interessa é também escolher quem estamos nos tornando. (Síntese do projeto)</t>
  </si>
  <si>
    <t>Os interesses mudam com o tempo — o que gostávamos na infância pode já não fazer sentido hoje. E alguns gostos nos acompanham desde sempre. O que será que isso revela sobre nossa história e sobre quem estamos nos tornando?
Encerram o painel de transformações conectando interesses, decisões, metas e engajamento. A síntese pode ser multimodal (texto, imagens, áudio, vídeo).
ENTREGA: Apresentação Multimodal do painel de transformações.</t>
  </si>
  <si>
    <t>- Autenticidade
- Intencionalidade</t>
  </si>
  <si>
    <t>- Refletir
- Nomear</t>
  </si>
  <si>
    <t>AC.7.1 Analisar as transformações que ocorreram em seus interesses ao longo dos anos.
P.7.1 Criar uma lista de objetivos de curto e médio prazo para diversas áreas da vida.</t>
  </si>
  <si>
    <t>Nos pequenos e grandes momentos da vida, lidamos com imprevistos, diferenças, decisões difíceis e o desafio de entender o que é certo ou justo. Ao mesmo tempo, desenvolvemos habilidades únicas, cultivadas pela humanidade ao longo de milênios — imaginar, cuidar, criar, escutar. Neste projeto, os estudantes serão convidados a investigar essas habilidades, a praticar a empatia, a analisar dilemas éticos e a planejar formas de enfrentar frustrações. Ao final, irão elaborar uma Proposta de Ação Pessoal para responder: “Como posso me desenvolver e agir de forma consciente no mundo em que vivo?”. Nesta proposta, deverão reunir reflexões sobre habilidades humanas, empatia, ética, frustrações e engajamento social. Essa proposta será apresentada em formato multimodal (texto, vídeo, painel ou apresentação oral) como marco de sua transição para um papel mais ativo e consciente na sociedade.</t>
  </si>
  <si>
    <t>Cultivar habilidades que conectem quem somos hoje com quem desejamos ser no futuro.</t>
  </si>
  <si>
    <t>Desde que existimos, os seres humanos inventam, aprendem, cuidam, narram, dançam, constroem e sentem. O que será que essas habilidades dizem sobre o que é ser humano? E como elas continuam vivas em nós hoje?
A aula inaugura o projeto, levando os estudantes a identificar e valorizar habilidades humanas que os conectam ao passado e ao futuro. Os registros alimentam o início da Proposta de Ação Pessoal.
ENTREGA: Mapa das Habilidades Humanas como capítulo inicial da Proposta de Ação Pessoal.</t>
  </si>
  <si>
    <t>Quais habilidades foram desenvolvidas pela humanidade?</t>
  </si>
  <si>
    <t>Admiração pelo humano</t>
  </si>
  <si>
    <t>AC.8.1 Conhecer habilidades humanas de diversas naturezas.</t>
  </si>
  <si>
    <t>Agir com empatia, sendo capaz de compreender as perspectivas e os sentimentos dos outros.</t>
  </si>
  <si>
    <t>Nem sempre as pessoas pensam como a gente. Às vezes, elas reagem de formas que não entendemos. Mas será que conseguimos enxergar as situações pelos olhos dos outros? Entender como os outros pensam pode mudar nossas relações — e até nossas decisões.
Os estudantes exploram a empatia como prática diária, registrando no projeto percepções sobre como enxergar pelos olhos dos outros pode mudar relações e decisões.
ENTREGA: Cartas de Perspectiva ou Painel de Múltiplas Vozes integrados à Proposta de Ação Pessoal.</t>
  </si>
  <si>
    <t>O que os outros estão pensando?</t>
  </si>
  <si>
    <t>Curiosidade empática</t>
  </si>
  <si>
    <t>C.8.1 Conhecer a perspectiva dos outros em diferentes situações.</t>
  </si>
  <si>
    <t>Usar valores éticos como critérios para a tomada de decisão.</t>
  </si>
  <si>
    <t>Às vezes, a gente faz algo que parece certo, mas depois percebe que pode ter ferido alguém. Outras vezes, somos pressionados a fazer o que todo mundo faz, mesmo que pareça errado. Como saber o que é ético em cada situação? Existe um jeito justo de decidir?
Com dilemas éticos reais e fictícios, os estudantes testam ferramentas para avaliar escolhas justas e responsáveis, registrando aprendizados em sua proposta.
ENTREGA: Roteiro de Decisão Ética incorporado à Proposta de Ação Pessoal.</t>
  </si>
  <si>
    <t>Como saber se uma decisão é ética ou não?</t>
  </si>
  <si>
    <t>Compromisso com o que é justo</t>
  </si>
  <si>
    <t>TD.8.1 Avaliar as implicações éticas de diferentes decisões em contextos pessoais, familiares e sociais.</t>
  </si>
  <si>
    <t>Elaborar planos alternativos para lidar com imprevistos e frustrações sem perder de vista seus objetivos.</t>
  </si>
  <si>
    <t>Nem tudo sai como o planejado. Às vezes, a internet cai, um compromisso atrasa ou simplesmente o cansaço aparece. Como você reage nesses momentos? O que você faz quando algo frustrante acontece e atrapalha seus planos?
Por meio de simulações e reflexões, os estudantes elaboram estratégias de enfrentamento, fortalecendo a dimensão prática de sua Proposta de Ação Pessoal.
ENTREGA: Kit de Enfrentamento ou Diário do Inesperado integrado à proposta.</t>
  </si>
  <si>
    <t>Como eu lido com imprevistos e frustrações?</t>
  </si>
  <si>
    <t>Flexibilidade</t>
  </si>
  <si>
    <t>P.8.1 Avaliar como costuma lidar com imprevistos e frustrações.</t>
  </si>
  <si>
    <t>Compreender seu papel na sociedade e as formas pelas quais pode contribuir para sua melhoria.</t>
  </si>
  <si>
    <t>A sociedade em que vivemos é feita por pessoas e instituições. Em meio aos seus avanços e problemas, podemos aprender a enxergar o que merece ser valorizado e o que precisa ser transformado. Essa consciência é o primeiro passo para o engajamento social.
Os estudantes analisam avanços e desafios da sociedade, produzindo críticas e elogios fundamentados, que ampliam sua visão de engajamento.
ENTREGA: Painel O que Funciona e o que Não Funciona como parte da proposta.</t>
  </si>
  <si>
    <t>O que há de bom e de ruim na sociedade?</t>
  </si>
  <si>
    <t>Senso crítico</t>
  </si>
  <si>
    <t>Argumentar</t>
  </si>
  <si>
    <t>E.8.1 Criticar e elogiar características da sociedade, incluindo percepções familiares e comunitárias.</t>
  </si>
  <si>
    <t>Desde que existimos, os seres humanos inventam, aprendem, cuidam, narram, dançam, constroem e sentem. O que será que essas habilidades dizem sobre o que é ser humano? E como elas continuam vivas em nós hoje?
Os registros de habilidades e dilemas se transformam em narrativas pessoais sobre ética e humanidade, integrando-se à proposta final.
ENTREGA: Galeria de Pessoas Sábias + Linha Ética da Vida Real na proposta.</t>
  </si>
  <si>
    <t>- Quais habilidades foram desenvolvidas pela humanidade?
- Como saber se uma decisão é ética ou não?</t>
  </si>
  <si>
    <t>- Admiração pelo humano
- Compromisso com o que é justo</t>
  </si>
  <si>
    <t>- Nomear
- Refletir</t>
  </si>
  <si>
    <t>AC.8.1 Conhecer habilidades humanas de diversas naturezas.
TD.8.1 Avaliar as implicações éticas de diferentes decisões em contextos pessoais, familiares e sociais.</t>
  </si>
  <si>
    <t>A sociedade em que vivemos é feita por pessoas e instituições. Em meio aos seus avanços e problemas, podemos aprender a enxergar o que merece ser valorizado e o que precisa ser transformado. Essa consciência é o primeiro passo para o engajamento social.
Os estudantes finalizam sua Proposta de Ação Pessoal, conectando suas reflexões e estratégias para se desenvolver e agir no mundo.
ENTREGA: Apresentação multimodal da Proposta de Ação Pessoal.</t>
  </si>
  <si>
    <t>- O que há de bom e de ruim na sociedade?
- Como eu lido com imprevistos e frustrações?</t>
  </si>
  <si>
    <t>- Senso crítico
- Flexibilidade</t>
  </si>
  <si>
    <t>- Argumentar
- Reconhecer</t>
  </si>
  <si>
    <t>E.8.1 Criticar e elogiar características da sociedade, incluindo percepções familiares e comunitárias.
P.8.1 Avaliar como costuma lidar com imprevistos e frustrações.</t>
  </si>
  <si>
    <t>Iniciar o último ano do Ensino Fundamental é um momento de balanço e de escolhas. Este projeto convida os estudantes a olhar para suas forças e fragilidades, refletir sobre convivência e bem-estar, avaliar decisões e planejar formas de lidar com imprevistos e frustrações. Ao final, irão propor pequenas melhorias para si mesmos, para a escola e para a comunidade, construindo um retrato coletivo de quem são hoje e de como desejam impactar o mundo ao seu redor. Essa proposta se concretizará por meio de um portfólio coletivo e individual, reunindo autorretratos simbólicos, recursos de força, guias de convivência, mapas de conselheiros, diários do inesperado e propostas de ação no entorno. Esse dossiê marca o início do 9º ano e será compartilhado em uma roda de síntese com colegas e familiares.</t>
  </si>
  <si>
    <t>Compreender as fragilidades como parte da identidade, buscando formas saudáveis de lidar com elas e caminhos possíveis de superação.</t>
  </si>
  <si>
    <t>Todos nós temos partes fortes e partes frágeis. Mas nem sempre olhamos com cuidado para aquilo que nos faz sentir inseguros, com medo ou expostos. Reconhecer essas partes pode nos tornar mais humanos, mais verdadeiros — e mais capazes de crescer.
A aula abre o projeto convidando os estudantes a criar um autorretrato simbólico, registrando forças e fragilidades que marcam quem são hoje.
ENTREGA: Autorretrato simbólico no dossiê.</t>
  </si>
  <si>
    <t>Quais partes de mim fazem com que eu me sinta frágil ou vulnerável?</t>
  </si>
  <si>
    <t>Coragem emocional</t>
  </si>
  <si>
    <t>Revelar-se</t>
  </si>
  <si>
    <t>AC.9.1 Reconhecer as próprias fragilidades.</t>
  </si>
  <si>
    <t>Todos nós temos partes fortes e partes frágeis. Mas nem sempre olhamos com cuidado para aquilo que nos faz sentir inseguros, com medo ou expostos. Reconhecer essas partes pode nos tornar mais humanos, mais verdadeiros — e mais capazes de crescer.
Em dinâmicas de reflexão e partilha, os estudantes registram no dossiê estratégias de autocuidado e superação.
ENTREGA: Página “Meus Recursos de Força”.</t>
  </si>
  <si>
    <t>Agir com responsabilidade, considerando o impacto das próprias decisões no bem-estar físico e psicológico dos outros.</t>
  </si>
  <si>
    <t>Às vezes, pequenos gestos mudam o dia de alguém. Outras vezes, atitudes comuns podem machucar — mesmo sem intenção. O que realmente faz alguém se sentir bem? Como podemos aprender a reconhecer essas necessidades nas outras pessoas?
Construção coletiva de um Guia do Bem-Estar, reunindo atitudes que fortalecem a convivência e o cuidado mútuo.
ENTREGA: Guia do Bem-Estar no dossiê.</t>
  </si>
  <si>
    <t>O que faz com que as pessoas se sintam bem?</t>
  </si>
  <si>
    <t>Cuidado com o outro</t>
  </si>
  <si>
    <t>C.9.1 Conhecer o que gera bem-estar físico e psicológico para os outros.</t>
  </si>
  <si>
    <t>Compreender o papel que outras pessoas podem ter no processo de tomada de decisão dos estudantes.</t>
  </si>
  <si>
    <t>Em muitas situações importantes, temos que decidir sozinhos — mas isso não significa que precisamos estar sozinhos. Pedir ajuda pode parecer sinal de fraqueza, mas e se for inteligência emocional? Como saber quando é hora de contar com alguém? E quem são essas pessoas?
Criação de um Mapa de Pessoas-Conselheiras, com registros de quando e como pedir apoio em decisões.
ENTREGA: Mapa de Conselheiros no dossiê.</t>
  </si>
  <si>
    <t>É mais fácil tomar decisões sozinho ou com ajuda de outras pessoas?</t>
  </si>
  <si>
    <t>Disposição para buscar apoio</t>
  </si>
  <si>
    <t>TD.9.1 Investigar e praticar estratégias de colaboração, pedindo ajuda e oferecendo apoio em processos de tomada de decisão coletiva.</t>
  </si>
  <si>
    <t>Planejar a transição para o Ensino Médio com base em quem desejam ser e no que desejam conquistar nessa nova etapa.</t>
  </si>
  <si>
    <t>Ao final do Ensino Fundamental, muitas mudanças se aproximam: novos desafios, mais responsabilidades e outras formas de viver a escola e a vida. Imaginar como será essa próxima etapa e reconhecer os sentimentos que ela desperta pode nos ajudar a criar caminhos mais seguros e saudáveis para o futuro. E, acima de tudo, nos permite desenvolver estratégias para lidar com os imprevistos e cultivar a confiança em nossa capacidade de superação.
A partir de estudos de caso, elaboram o Diário do Inesperado, com estratégias para enfrentar contratempos.
ENTREGA: Diário do Inesperado no dossiê.</t>
  </si>
  <si>
    <t>O que posso fazer para me preparar melhor para os desafios inesperados do dia a dia?</t>
  </si>
  <si>
    <t>Visão de futuro</t>
  </si>
  <si>
    <t>P.9.1 Criar um cenário sobre como imagina sua vida, seus pensamentos e sentimentos em uma próxima etapa da vida, planejando estratégias de resiliência para enfrentar desafios e contratempos.</t>
  </si>
  <si>
    <t>Ao final do Ensino Fundamental, muitas mudanças se aproximam: novos desafios, mais responsabilidades e outras formas de viver a escola e a vida. Imaginar como será essa próxima etapa e reconhecer os sentimentos que ela desperta pode nos ajudar a criar caminhos mais seguros e saudáveis para o futuro. E, acima de tudo, nos permite desenvolver estratégias para lidar com os imprevistos e cultivar a confiança em nossa capacidade de superação.
Aprofundando o Diário do Inesperado, os estudantes constroem um Kit de Resiliência (com frases, hábitos, técnicas e recursos simbólicos), registrando como pretendem lidar com desafios no 9º ano.
ENTREGA: Kit de Resiliência no dossiê.</t>
  </si>
  <si>
    <t>Comprometer-se com ações éticas e conscientes no presente, que contribuam para a construção de futuros melhores para si e para os outros.</t>
  </si>
  <si>
    <t>Melhorar a própria vida é um movimento que exige autoconhecimento, escolhas conscientes e ação contínua. Quando os jovens se colocam em movimento, eles expandem sua agência e sua capacidade de transformar também o entorno.
Em grupos, os estudantes propõem pequenas ações de melhoria na escola, família ou comunidade. Finalizam o Dossiê Retrato do Presente, apresentando-o em uma roda de partilha que celebra conquistas e compromissos.
ENTREGA: Proposta de Ação Coletiva + Dossiê completo.</t>
  </si>
  <si>
    <t>Como posso melhorar a minha vida?</t>
  </si>
  <si>
    <t>Autonomia</t>
  </si>
  <si>
    <t>Decidir</t>
  </si>
  <si>
    <t>E.9.1 Realizar melhorias na vida pessoal.</t>
  </si>
  <si>
    <t>Minha Voz Conta: conversas difíceis, escolhas importantes
Depois de inaugurar o 6º ano olhando para dentro, este bimestre coloca em foco como nos expressamos e decidimos em situações reais de convivência. O projeto convida os estudantes a transformarem a voz individual em voz coletiva. Na aula 1, cada estudante investiga a própria autenticidade (AC.6.2) e redige uma frase-guia sobre como deseja se expressar. Na aula 2, essa voz se torna prática ao treinar fala e escuta respeitosas (C.6.2), gerando frases-modelo que alimentarão um anexo da futura Carta de Convivência. Na aula 3, a turma escolhe um dilema real da convivência escolar e escreve a minuta da Carta (C.6.2). A aula 4 converte o dilema em mapas de decisão (TD.6.2), que na aula 5 são validados em Círculo de Convivência, quando a turma decide coletivamente e finaliza a Carta e o Mapa de Decisão Coletivo (TD.6.2). Para sustentar mudanças reais, a aula 6 aciona o planejamento de microajustes (P.6.2) e prepara a Mostra (convites/cartaz). A aula 7 fecha com autoavaliação de motivação (E.6.2) e a celebração pública: a Mostra “Minha Voz Conta”, em que os combinados são apresentados à comunidade escolar.
Assim, cada aula retoma, aprofunda e encaminha o que veio antes, de modo que produto e percurso se constroem juntos: o que sou e como falo (A1–A2) fundamenta o que combinamos (A3), que orienta como decidimos (A4–A5), que gera como vamos manter (A6–A7).
Produto: O Material Impresso funciona como caderno de trabalho do projeto; o produto final do bimestre é público e coletivo: a Carta de Convivência da Turma e a Mostra ‘Minha Voz Conta’ com o Mapa de Decisão Coletivo.
Roadmap das entregas
A1 → “Minha voz”: Frase-guia + lista de características (MI) → alimenta A2/A3. (sem entrega formal)
A2 → “Prática de voz”: Frases-modelo (MI) → anexo da Carta na A3. (sem entrega formal)
A3 → “Minuta da Carta” (C.6.2): ENTREGA formal (bloco 1) — regras + anexo com frases-modelo. → prepara A4.
A4 → “Mapas de decisão” (TD.6.2): rascunhos individuais (MI) → insumo para A5. (sem entrega formal)
A5 → “Deliberação e consolidação” (TD.6.2): ENTREGA formal (bloco 2) — Carta final + Mapa de Decisão Coletivo. → prepara A6.
A6 → “Sustentação” (P.6.2): ENTREGA formal — Plano 7 dias + preparo visual da Mostra (convites/cartaz). → prepara A7.
A7 → “Mostra &amp; celebração” (E.6.2): apresentação pública da Carta e do Mapa + autoavaliação e compromissos. (entrega formal)</t>
  </si>
  <si>
    <t>Quem sou quando estou comigo?
A aula propõe um percurso de autorobservação breve para diferenciar “eu íntimo” e “eu público” e tornar explícito o sentido de autenticidade (coerência entre valores, pensamentos, sentimentos, palavras e ações, com respeito e limites). Para mobilizar a atividade AC.6.2, os estudantes serão convidados a identificar traços que consideram autênticos, selecionar evidências pessoais e registrar uma lista curta de características, discernindo o que compartilhar e o que preservar.
A aula abre o projeto definindo voz pessoal que será praticada na A2 e servirá de frase-guia na Carta (borda/citações). Produto em construção: frase-guia + lista de características (registro no MI). (sem entrega formal)</t>
  </si>
  <si>
    <t>Como eu sou quando estou só comigo mesmo?</t>
  </si>
  <si>
    <t>AC.6.2 Identificar quais características pessoais promovem a autenticidade.</t>
  </si>
  <si>
    <t>Opiniões diferentes, respeito igual
A aula propõe um percurso de simulação de divergências e treino de fala/escuta respeitosas para praticar “autenticidade com responsabilidade” (não é sincericídio). Para mobilizar a atividade C.6.2, os estudantes serão convidados a usar eu‑mensagem, paráfrase e pedidos claros, nomeando gatilhos e reparos que preservam a coerência pessoal sem ferir o outro.
A aula propõe o uso da frase-guia da A1 para compor frases-modelo que embasarão a minuta da Carta (A3). Produto em construção: frases-modelo (Anexo da Carta). (sem entrega formal)</t>
  </si>
  <si>
    <t>Como eu posso falar o que penso de forma respeitosa?</t>
  </si>
  <si>
    <t>Respeito às diferenças</t>
  </si>
  <si>
    <t>C.6.2 Expor seu ponto de vista de modo respeitoso em grupos com opiniões diversas.</t>
  </si>
  <si>
    <t>Preparando nosso círculo
A aula propõe um percurso de curadoria de dilemas reais e coescrita de regras de fala que protegem a autenticidade (coerência na expressão) e os limites (segurança/privacidade), vinculando os combinados ao cuidado com os espaços da escola. Para mobilizar a atividade C.6.2, os estudantes serão convidados a propor dilemas, votar prioridades, definir tempos e papéis (mediador/secretário) e ensaiar abertura e réplica com linguagem alinhada a valores e respeito.
A proposta deste encontro é a escolha de um dilema que será analisado na A4 e deliberado na A5. Produto em construção: Minuta da Carta de Convivência (regras + anexo de frases-modelo). ENTREGA formal (bloco 1)</t>
  </si>
  <si>
    <t>X</t>
  </si>
  <si>
    <t>4 - Aula complementar</t>
  </si>
  <si>
    <t>Tomada de decisão - Aula complementar</t>
  </si>
  <si>
    <t>Antes de decidir, olhe em volta
A aula propõe um percurso de leitura de contexto, mapeamento de atores/interesses e previsão de consequências. Para mobilizar a atividade TD.6.2, os estudantes serão convidados a preencher um mapa de decisão com opções possíveis, efeitos prováveis e pessoas a consultar antes de escolher.
Este encontro deverá ser dedicado à produção dos rascunhos de mapas que serão base para a decisão coletiva na A5. Produto em construção: Mapas de decisão individuais (MI) → síntese coletiva na A5. (sem entrega formal)</t>
  </si>
  <si>
    <t>O que é preciso fazer para tomar decisões?</t>
  </si>
  <si>
    <t>Atenção ao contexto</t>
  </si>
  <si>
    <t>TD.6.2 Analisar a influência dos contextos na tomada de decisões.</t>
  </si>
  <si>
    <t>Círculo de Convivência (decidir juntos)
A aula propõe um percurso de diálogo estruturado em Círculo de Convivência para decidir coletivamente, explicitando “decisões autênticas” como aquelas que alinham valores pessoais à análise de contexto e aos efeitos sobre os outros. Para mobilizar a atividade TD.6.2, os estudantes serão convidados a realizar rodadas de fala com paráfrase obrigatória, registrar propostas/justificativas e pactuar combinados finais, revisando quando necessário (mudei/por quê).
Nesta aula está prevista a finalização da Carta (versão final) e a consolidação do Mapa de Decisão Coletivo (para a Mostra). Produto em construção: Carta final + Mapa coletivo. ENTREGA formal (bloco 2)</t>
  </si>
  <si>
    <t>Pequenas mudanças fazem diferença
A aula propõe um percurso de avaliação do perfil acadêmico com foco em microajustes praticáveis. Para mobilizar a atividade P.6.2, os estudantes serão convidados a escolher 1–2 mudanças (espaço/rotina/estratégia), definir gatilhos de ação e registrar um microcompromisso de 7 dias com indicadores de verificação.
Esta aula conecta Carta/Mapa a hábitos que garantam sua aplicação e organiza convites/cartaz da Mostra. Produto em construção: Plano 7 dias (P.6.2) e preparo da Mostra (visual). ENTREGA formal</t>
  </si>
  <si>
    <t>Como posso me tornar um estudante melhor?</t>
  </si>
  <si>
    <t>Disponibilidade</t>
  </si>
  <si>
    <t>Transformar</t>
  </si>
  <si>
    <t>P.6.2 Avaliar as mudanças que gostaria de fazer para melhorar seu perfil acadêmico</t>
  </si>
  <si>
    <t>Altos e baixos do meu ânimo (pré-férias) — Mostra &amp; celebração
A aula propõe um percurso de autoavaliação afetiva do bimestre e preparação para o recesso. Para mobilizar a atividade E.6.2, os estudantes serão convidados a construir uma linha do tempo de ânimo, identificar gatilhos de motivação/desmotivação e desenhar um plano leve de férias para manter rotinas saudáveis.
Esta aula apresenta Carta e Mapa coletivo e pactua compromissos para o retorno, conectando motivação e constância. Produto concluído: Mostra “Minha Voz Conta” + leitura pública. (entrega formal – celebração/síntese)</t>
  </si>
  <si>
    <t>Quais os efeitos da motivação e da desmotivação na minha vida?</t>
  </si>
  <si>
    <t>Responsabilidade emocional</t>
  </si>
  <si>
    <t>E.6.2 Reconhecer os efeitos da motivação e da desmotivação na vida pessoal</t>
  </si>
  <si>
    <t>Minha voz protege: Rotas de Apoio
Quando a palavra encontra cuidado, a escola respira melhor. Depois de revisitarem quem são e o que desejam manter em sua vida, os estudantes são convidados a transformar interesses éticos e saudáveis em direção e coragem para falar com respeito, escutar com atenção e agir quando for preciso. Este projeto nasce do eu (o que escolho cultivar) e se abre para o nós (como nos tratamos), atravessando a leitura de consequências do bullying, a organização de um plano e a realização de Rotas de Apoio – sinais de incentivo comportamental, visíveis e simples, que tornam fácil fazer o certo. As rotas orientam: “se você viu/soube/sofreu, o que fazer agora?” (no pátio, corredor, sala, redes).
Sequência em cinco movimentos encadeados
1) Autoconhecimento (A1): “o que quero manter/desenvolver” sustenta atitudes de respeito (lista pessoal de interesses éticos e saudáveis).
2) Convivência (A2): prática de Comunicação Não Violenta (CNV) conectada aos interesses da A1, aplicada a micro‑situações presenciais e on‑line.
3) Tomada de decisão (A3): análise de consequências do bullying e do “não agir” para vítima, autor, testemunhas e clima escolar.
4) Planejamento (A4) + Engajamento (A5): plano das Rotas de Apoio e articulação com a escola (validação de locais, linguagem, canais).
5) Convivência + Engajamento (A6) e Síntese (A7): produção, teste e lançamento das Rotas de Apoio; autoavaliação do percurso e compromissos de continuidade.
Produto do bimestre
Rotas de Apoio da escola (sinais de incentivo comportamental): placas/cartazes discretos e objetivos, posicionados em pontos‑chave (corredores, pátio, biblioteca, banheiros, sala), com passos simples (“viu/soube/sofreu?
1) pare e respire;
2) procure X;
3) registre Y;
4) não compartilhe;
5) peça ajuda”) e contatos/canais de escuta protegida definidos com a escola. Onde a infraestrutura permitir, adicionar QR para guia/escuta; onde não, manter apenas rotas visuais. O Material Impresso é utilizado como caderno consumível ao longo das aulas (mapas, roteiros, checklists, registros)."</t>
  </si>
  <si>
    <t>Interesses que sustentam o respeito
A aula propõe um percurso de mapeamento e priorização de interesses éticos e saudáveis e sua conexão com atitudes antibullying (incluir, ajudar, não compartilhar humilhações). Para mobilizar AC.7.2, os estudantes serão convidados a listar e selecionar interesses que ‘fazem a vida ser melhor’, registrando exemplos de comportamentos coerentes com esses interesses (na escola e nas redes). Este encontro deverá ser dedicado à seleção do top 3 e ao vínculo com atitudes de respeito que embasarão a comunicação das Rotas de Apoio.</t>
  </si>
  <si>
    <t>Eu me interesso por coisas que fazem a minha vida ser melhor?</t>
  </si>
  <si>
    <t>Responsabilidade pessoal</t>
  </si>
  <si>
    <t>AC.7.2 Fazer uma lista pessoal de interesses éticos e saudáveis para manter e/ou desenvolver.</t>
  </si>
  <si>
    <t>2 - complementar</t>
  </si>
  <si>
    <t>Convivência - complementar</t>
  </si>
  <si>
    <t>Falar com respeito, agir com cooperação (CNV em ação)
A aula propõe um percurso de treino de CNV, conectado ao Top 3 da A1, aplicado a micro‑situações de bullying (exclusão, apelidos, prints). Para mobilizar C.7.2, as equipes assumem papéis (mediador, porta‑voz, observador CNV) e escrevem roteiros breves (eu‑mensagem, pedidos claros, acordos). Este encontro deverá ser dedicado à produção dos cartões ‘Eu digo / Eu escuto / Eu peço’ e aos ensaios curtos com rubrica de respeito e clareza.</t>
  </si>
  <si>
    <t>A forma como eu falo com os outros me ajuda ou me atrapalha?</t>
  </si>
  <si>
    <t>Auto-observação</t>
  </si>
  <si>
    <t>C.7.2 Avaliar e ampliar as formas de comunicação, assumindo papéis ativos em grupos e propondo estratégias de cooperação.</t>
  </si>
  <si>
    <t>Se a gente não faz nada… (analisando consequências)
A aula propõe um percurso de análise das consequências do bullying e do ‘não agir’ para vítima, autor, testemunhas e clima escolar (presencial e nas redes). Para mobilizar TD.7.2, os estudantes comparam alternativas de resposta (intervir, procurar ajuda, registrar evidências) e preveem efeitos de curto/médio prazo. Este encontro deverá ser dedicado à produção dos Mapas de Consequências que orientarão o plano das Rotas.</t>
  </si>
  <si>
    <t>Que tipo de consequências uma decisão pode ter?</t>
  </si>
  <si>
    <t>Responsabilidade pelas consequências</t>
  </si>
  <si>
    <t>TD.7.2 Analisar consequências de decisões pessoais e históricas.</t>
  </si>
  <si>
    <t>Definir objetivos de curto e médio prazo em diferentes áreas da vida, utilizando estratégias e ferramentas para alcançá-los.</t>
  </si>
  <si>
    <t>Do papel à parede: Plano das Rotas de Apoio
A aula propõe um percurso de planejamento das Rotas de Apoio: meta (clareza e acolhimento), locais estratégicos (pátio, corredor, sala, banheiros), mensagens simples (passos ‘viu/soube/sofreu’), contatos/canais, responsáveis e cronograma. Para mobilizar P.7.2, a turma define evidências de sucesso (alcance, compreensão, acesso a apoio). Este encontro deverá ser dedicado à finalização do Plano das Rotas.</t>
  </si>
  <si>
    <t>Como posso me organizar para realizar de fato meus objetivos?</t>
  </si>
  <si>
    <t>Organização e perseverança</t>
  </si>
  <si>
    <t>P.7.2 Utilizar uma estrátegia de planejamento para organizar a realização dos seus objetivos.</t>
  </si>
  <si>
    <t xml:space="preserve">Engajamento </t>
  </si>
  <si>
    <t>Estar atento e comprometido com as necessidades e demandas da escola, da comunidade e das pessoas com quem convive.</t>
  </si>
  <si>
    <t>Pontes com a escola: validar, ajustar, viabilizar
A aula propõe um percurso de articulação com gestão/coordenação/grêmio/professores para validar o plano, ajustar locais/mensagens/canais e combinar responsabilidades compartilhadas. Para mobilizar E.7.2, a turma oferece ajuda concreta e alinha o serviço das Rotas de Apoio às necessidades da escola. Este encontro deverá ser dedicado à reunião‑ponte e aos ajustes finais do plano.</t>
  </si>
  <si>
    <t>Como posso ajudar as pessoas da minha escola e família?</t>
  </si>
  <si>
    <t>Colaboração</t>
  </si>
  <si>
    <t>Cuidar</t>
  </si>
  <si>
    <t>E.7.2 Oferecer ajuda para suprir necessidades e demandas de sua escola e família.</t>
  </si>
  <si>
    <t>Convivência + Engajamento</t>
  </si>
  <si>
    <t>- Utilizar os princípios da comunicação não violenta para expressar-se com respeito, empatia e assertividade.
- Estar atento e comprometido com as necessidades e demandas da escola, da comunidade e das pessoas com quem convive.</t>
  </si>
  <si>
    <t>Mão na massa: produzir, testar, melhorar
A aula propõe um percurso de produção das peças das Rotas (cartazes/placas discretas com passos e canais) e de teste com usuários (legibilidade em 5 segundos: ‘o que você entende que deve fazer?’). Para mobilizar C.7.2 e E.7.2, as equipes revisam linguagem (clara e respeitosa), ajustam símbolos e confirmam posicionamento. Este encontro deverá ser dedicado à finalização dos protótipos e do roteiro de orientação rápida.</t>
  </si>
  <si>
    <t>- A forma como eu falo com os outros me ajuda ou me atrapalha?
- Como posso ajudar as pessoas da minha escola e família?</t>
  </si>
  <si>
    <t>- Auto-observação
- Colaboração</t>
  </si>
  <si>
    <t>- Refletir
- Cuidar</t>
  </si>
  <si>
    <t>C.7.2 Avaliar e ampliar as formas de comunicação, assumindo papéis ativos em grupos e propondo estratégias de cooperação.
E.7.2 Oferecer ajuda para suprir necessidades e demandas de sua escola e família.</t>
  </si>
  <si>
    <t>Convivência
Planejamento
Engajamento</t>
  </si>
  <si>
    <t>- Utilizar os princípios da comunicação não violenta para expressar-se com respeito, empatia e assertividade.
- Definir objetivos de curto e médio prazo em diferentes áreas da vida, utilizando estratégias e ferramentas para alcançá-los.
- Estar atento e comprometido com as necessidades e demandas da escola, da comunidade e das pessoas com quem convive.</t>
  </si>
  <si>
    <t>Lançamento das Rotas + síntese do percurso
A aula propõe um percurso de lançamento público das Rotas (apresentações curtas nas turmas) e de autoavaliação do aprendizado: comunicação, consequências, organização e serviço à comunidade. Para mobilizar C.7.2, P.7.2 e E.7.2, os estudantes conduzem o lançamento, coletam feedbacks e registram próximos passos para manutenção das Rotas (responsáveis, reposição, checagens).</t>
  </si>
  <si>
    <t>- A forma como eu falo com os outros me ajuda ou me atrapalha?
- Como posso me organizar para realizar de fato meus objetivos?
- Como posso ajudar as pessoas da minha escola e família?</t>
  </si>
  <si>
    <t>- Auto-observação
- Organização e perseverança
- Colaboração</t>
  </si>
  <si>
    <t>- Refletir
- Decidir
- Cuidar</t>
  </si>
  <si>
    <t>C.7.2 Avaliar e ampliar as formas de comunicação, assumindo papéis ativos em grupos e propondo estratégias de cooperação.
P.7.2 Utilizar uma estrátegia de planejamento para organizar a realização dos seus objetivos.
E.7.2 Oferecer ajuda para suprir necessidades e demandas de sua escola e família.</t>
  </si>
  <si>
    <r>
      <rPr>
        <rFont val="Arial"/>
        <color rgb="FF000000"/>
        <sz val="10.0"/>
      </rPr>
      <t xml:space="preserve">Mostra de HQs Éticas “Antes de Postar”
</t>
    </r>
    <r>
      <rPr>
        <rFont val="Arial"/>
        <color rgb="FF000000"/>
        <sz val="10.0"/>
      </rPr>
      <t xml:space="preserve">
No mundo em que uma reação pode virar corrente e um print pode virar história, este projeto transforma a turma em autores de narrativas éticas. Começamos pelo eu que já existe no digital, mapeando o que cada estudante sabe fazer e como tem usado essas habilidades. Esse retrato inicial não é um fim, mas uma semente de roteiro: dele saem personagens, contextos e conflitos plausíveis. Em seguida, afinamos o como falar/escutar: treinamos paráfrase, pedidos e reparações, para que cada fala possa ser ponte — não pedra. Com a linguagem mais atenta, mergulhamos em dilemas reais do feed: o que está em jogo, quem é afetado, que consequências se desenham. Desse olhar nasce a régua ética da turma, um conjunto de perguntas-guia que distinguem valores éticos de antiéticos e ajudam a experimentar critérios de decisão na prática. A régua vira motor de enredo: cada HQ incorpora planos de resposta a imprevistos e frustrações (o passo a passo quando “dá ruim”), com apoios e prazos. Para não contar histórias que apagam desigualdades, adicionamos lentes de privilégios e desvantagens: quem fica mais exposto? que proteções e solidariedades podemos representar? . Ao final, organizamos uma mostra pública: as HQs se penduram como espelhos que convidam a ler, conversar, combinar — um pacto vivo de convivência digital.
Fio condutor: Trabalhar do pessoal ao público: inventário → banco de falas empáticas → análise ética → régua (v1) → roteirização de respostas a imprevistos → revisão com lente de desigualdades → exposição. O Material Impresso atua como caderno consumível (inventários, matrizes, rascunhos e checklists); o produto final é a mostra — visível e dialogável.
Produto: Mostra de HQs Éticas “Antes de Postar” (galeria/varal com HQs de 4 quadros por equipe, mediadas pelos estudantes).
Roadmap do bimestre
A1 — Retrato digital (AC.8.2): inventário “habilidades → usos → efeitos” e foco de melhoria.
A2 — Linguagem empática (C.8.2/C.8.3): banco de falas e reparações para roteiros.
A3 — Dilemas do feed (TD.8.1): quem é afetado, por quê, com que consequências.
A4 — Régua ética v1 (TD.8.2/TD.8.3): perguntas-critério aplicadas ao enredo. (entrega intermediária)
A5 — “Quando dá ruim” (P.8.2): planos de resposta em 3 passos dentro da história.
A6 — Desigualdades e proteções (E.8.2): ajustes no roteiro com apoios reais.
A7 — Exposição (C.8.4/TD.8.3): Mostra de HQs + pactos de convivência. (entrega final)</t>
    </r>
  </si>
  <si>
    <t>Meu retrato digital — habilidades e usos
A aula propõe um percurso de mapeamento do que já sei fazer (inclusive no mundo digital) ee seus usos no cotidiano on‑line. Para mobilizar AC.8.2, os estudantes constroem um inventário pessoal (o que sei fazer / como uso / efeitos positivos e negativos) e identificam um ponto de atenção para o bimestre. Este material alimentará a criação das HQs ao longo do bimestre, por isso, será importante que essa aula apresente a proposta do bimestre: a construção de uma série de HQs "Antes de postar".</t>
  </si>
  <si>
    <t>O que eu já sei fazer e o que tenho feito com isso?</t>
  </si>
  <si>
    <t>Autovalorização consciente</t>
  </si>
  <si>
    <t>AC.8.2 Reconhecer as próprias habilidades e seus usos.</t>
  </si>
  <si>
    <t>Antes de postar — empatia nas mensagens (roteiro para HQ)
A aula propõe leitura de contexto, tom e intenção em mensagens ambíguas e a reescrita empática de falas. Para mobilizar C.8.2/C.8.3, a turma treina paráfrase empática, pedidos claros e reparação, compondo um ‘banco de falas’ que será usado nos roteiros de HQ.</t>
  </si>
  <si>
    <t>O que os outros estão sentindo?</t>
  </si>
  <si>
    <t>Sensibilidade emocional</t>
  </si>
  <si>
    <t>C.8.2 Diferenciar os próprios sentimentos dos sentimentos dos outros em diferentes situações.
C.8.3 Agir com empatia em diferentes situações.</t>
  </si>
  <si>
    <t>Dilemas do feed — o que é ético aqui? (roteiro de cena)
A aula propõe analisar casos de redes (boatos, exposição sem consentimento, desafios perigosos), nomeando implicações éticas. Para mobilizar TD.8.1, os estudantes listam quem é afetado, por quê e com quais consequências — esboçando cenas para as HQs.</t>
  </si>
  <si>
    <t>TD.8.1 Avaliar as implicações éticas de diferentes decisões.</t>
  </si>
  <si>
    <t>Minha régua ética — critérios que guiam a história (v1)
A aula propõe diferenciar valores éticos de antiéticos e construir uma régua pessoal de decisão. Para mobilizar TD.8.2/TD.8.3, os estudantes definem perguntas‑chave e aplicam em 2–3 rascunhos de HQ, ajustando enredo e falas.</t>
  </si>
  <si>
    <t>Tudo o que eu valorizo é bom para mim e para os outros?</t>
  </si>
  <si>
    <t>Autocrítica</t>
  </si>
  <si>
    <t>TD.8.2 Diferenciar valores éticos de antiéticos.
TD.8.3 Experimentar diferentes critérios para tomar decisões.</t>
  </si>
  <si>
    <t>5 - aula complementar</t>
  </si>
  <si>
    <t>Planejamento - aula complementar</t>
  </si>
  <si>
    <t>Quando dá ruim — planos de resposta em 3 passos (roteirização)
A aula propõe inserir nos roteiros **planos de resposta** para incidentes (conta invadida, print fora de contexto, perfil falso), definindo passos, apoios e prazos dentro da narrativa. Para mobilizar P.8.2, cada equipe roteiriza uma cena‑imprevisto com solução responsável.</t>
  </si>
  <si>
    <t>O que posso fazer para lidar melhor com imprevistos e frustrações?</t>
  </si>
  <si>
    <t>Abertura</t>
  </si>
  <si>
    <t>P.8.2 Conhecer formas de lidar com imprevistos e frustrações.</t>
  </si>
  <si>
    <t>Quem fica mais exposto? — privilégios e proteções na história
A aula propõe reconhecer privilégios/desvantagens que atravessam o on‑line e ajustar a HQ para representar cuidados solidários. Para mobilizar E.8.2, as equipes inserem personagens/práticas de proteção e suporte entre pares.</t>
  </si>
  <si>
    <t>Quais são meus privilégios e minhas desvantagens na sociedade?</t>
  </si>
  <si>
    <t>Consciência social</t>
  </si>
  <si>
    <t>E.8.2 Reconhecer seus privilégios e suas desvantagens na sociedade.</t>
  </si>
  <si>
    <t>Convivência + Tomada de decisão (síntese)</t>
  </si>
  <si>
    <t>- Agir com empatia, sendo capaz de compreender as perspectivas e os sentimentos dos outros.
- Usar valores éticos como critérios para a tomada de decisão.</t>
  </si>
  <si>
    <t>Mostra de HQs Éticas “Antes de Postar” — montagem e mediação
A aula propõe finalizar as HQs (4 quadros por equipe), montar um varal/galeria e preparar uma mediação breve para visitantes. Para mobilizar C.8.4/TD.8.3, a turma promove diálogo com vozes diversas e pactos de convivência digital.</t>
  </si>
  <si>
    <t>O que aconteceria no mundo se as pessoas fossem mais empáticas?</t>
  </si>
  <si>
    <t>Compromisso com o bem comum</t>
  </si>
  <si>
    <t>C.8.4 Compreender como a empatia pode ajudar a construir futuros melhores para todos.
TD.8.3 Experimentar diferentes critérios para tomar decisões.</t>
  </si>
  <si>
    <t>Cuidar de si e do outro: limites, respeito e vínculos
Há momentos em que a vida pede pausa: respirar, nomear, pedir ajuda, combinar cuidados. Este projeto desenha uma ponte do eu que se cuida ao nós que se respeita, para que as relações sustentem escolhas melhores. O início é íntimo e prático: cada estudante olha para si, identifica gatilhos e recursos e cria formas saudáveis de lidar com as próprias fragilidades (AC.9.2 Criar formas saudáveis de lidar com as próprias fragilidades). Esse plano pessoal inaugura o fio do bimestre e já antecipa o produto.
Com esse chão, passamos às bordas que protegem o vínculo: a turma observa situações cotidianas, ajusta linguagem e considera o bem-estar dos outros nas decisões da vida cotidiana (C.9.2), redigindo um “contrato de respeito e fronteiras” (rascunho). Para decidir melhor, abrimos espaço às vozes de experiência: compreender a importância de ouvir pessoas mais experientes antes de tomar decisões (TD.9.2) vira prática com roteiros de pedido de ajuda e mapeamento de conselheiros. Planejar é cuidar do que sustenta: avaliar sua rede de apoio atual e o que fazer para fortalecê-la (P.9.2) transforma nomes e vínculos em um mapa acionável.
Também olhamos para o que exige coragem: proteger a si mesmo e aos outros de riscos e perigos para o bem-estar físico e psicológico (C.9.3) se traduz em protocolos simples de prevenção, denúncia e reparação; e quando a pressão dos pares pesa, ensaiamos frases, gestos e saídas para resistir à pressão negativa (TD.9.3). O bimestre culmina num gesto coletivo: uma “Caixa dos Vínculos Respeitosos”, com peças úteis e combinadas — plano pessoal sintetizado, contrato de respeito, cartão “como peço ajuda” (com conselheiros), mapa de rede de apoio, cartões “se acontecer…” e plano antipressão — pactuada com famílias. É uma caixa, mas também um acordo de cuidado para o restante do ano.
Fio condutor: Trabalhar do pessoal ao público: plano pessoal (AC.9.2) → contrato de respeito (C.9.2) → pedir ajuda (TD.9.2) → rede que sustenta (P.9.2) → proteger e reparar (C.9.3) → dizer não sob pressão (TD.9.3) → montagem e pacto com famílias (E.9.2). Em cada aula, deixar claro o que nasce (rascunho/peça) e como volta nas seguintes para revisão/integração na caixa. O Material Impresso é caderno consumível de processo; o produto é a Caixa montada e pactuada.
Produto: Caixa dos Vínculos Respeitosos (kit físico da sala com plano pessoal sintetizado; contrato de respeito; cartão “como peço ajuda” + rede; cartões “se acontecer…”; plano antipressão).
Roadmap
1) Plano pessoal (v1) — AC.9.2 ·
2) Contrato de respeito (rascunho) — C.9.2 ·
3) Pedido de ajuda — TD.9.2 ·
4) Rede que apoia — P.9.2 ·
5) Proteger e reparar — C.9.3 ·
6) Plano antipressão — TD.9.3 ·
7) Montagem + pacto — E.9.2.</t>
  </si>
  <si>
    <t>Cuidar de mim com estratégia — plano pessoal de autocuidado (v1)
A aula propõe um percurso de identificação de gatilhos, recursos e passos realistas de cuidado. Para mobilizar AC.9.2, os estudantes constroem um plano pessoal (v1) que será testado e revisado ao longo do bimestre e cujo resumo comporá a "Caixa dos Vínculos Respeitosos".
ENTREGA: Plano pessoal de autocuidado (v1).</t>
  </si>
  <si>
    <t>Como posso lidar com as minhas fragilidades?</t>
  </si>
  <si>
    <t>Cuidado consigo</t>
  </si>
  <si>
    <t>AC.9.2 Criar formas saudáveis de lidar com as próprias fragilidades.</t>
  </si>
  <si>
    <t>2 - Aula complementar</t>
  </si>
  <si>
    <t>Convivência - Aula complementar</t>
  </si>
  <si>
    <t>Relações que respeitam — fronteiras, linguagem e combinados (rascunho)
A aula propõe mapear sinais de respeito/irrespeito, ajustar linguagem e redigir um ‘contrato de respeito e fronteiras’ da turma. Para mobilizar C.9.2, a turma escreve um rascunho de contrato que entrará como peça da "Caixa" (versão final na A7).</t>
  </si>
  <si>
    <t>O que o bem-estar dos outros tem a ver comigo?</t>
  </si>
  <si>
    <t>Responsabilidade relacional</t>
  </si>
  <si>
    <t>C.9.2 Considerar o bem-estar dos outros nas decisões da vida cotidiana.</t>
  </si>
  <si>
    <t>Ouvir experiência antes de decidir — aprender a pedir ajuda
A aula propõe praticar pedidos de ajuda e escuta ativa com adultos de confiança. Para mobilizar TD.9.2, os estudantes roteirizam falas, identificam conselheiros e planejam como e quando contatá-los. Um cartão ‘Como peço ajuda’ integrará a "Caixa".</t>
  </si>
  <si>
    <t>Como as pessoas mais experientes podem ajudar a tomar decisões melhores?</t>
  </si>
  <si>
    <t>Respeito pela experiência do outro</t>
  </si>
  <si>
    <t>TD.9.2 Compreender a importância de ouvir pessoas mais experientes antes de tomar decisões.</t>
  </si>
  <si>
    <t>Rede que apoia — mapear, fortalecer, ativar
A aula propõe mapear apoios e definir 2 ações de fortalecimento por vínculo. Para mobilizar P.9.2, os estudantes produzem um ‘Mapa de Rede de Apoio’ e escolhem quais contatos entram no verso do cartão ‘Como peço ajuda’ (A3), compondo a "Caixa".</t>
  </si>
  <si>
    <t>Quem me apoia?</t>
  </si>
  <si>
    <t>Gratidão</t>
  </si>
  <si>
    <t>P.9.2 Avaliar sua rede de apoio atual e o que fazer para fortalecê-la.</t>
  </si>
  <si>
    <t>Proteger e reparar — protocolos de cuidado
A aula propõe construir protocolos de prevenção/denúncia e práticas de reparação quando há dano. Para mobilizar C.9.3, a turma cria cartões ‘Se acontecer…’ (passos, canais, pessoas) e um roteiro de reparação que integrarão a "Caixa".</t>
  </si>
  <si>
    <t>O que pode ferir o bem-estar dos outros?</t>
  </si>
  <si>
    <t>Coragem ética</t>
  </si>
  <si>
    <t>Reparar</t>
  </si>
  <si>
    <t>C.9.3 Proteger a si mesmo e aos outros de riscos e perigos para o bem-estar físico e psicológico.</t>
  </si>
  <si>
    <t>Dizer não sob pressão — frases, gestos e saídas
A aula propõe simular cenários de pressão entre pares e treinar respostas verbais e não verbais. Para mobilizar TD.9.3, cada estudante prepara um ‘Plano pessoal anti-pressão’ que também entrará na "Caixa".</t>
  </si>
  <si>
    <t>Como posso resistir à influência negativa de amigos e colegas?</t>
  </si>
  <si>
    <t>Posicionamento</t>
  </si>
  <si>
    <t>TD.9.3 Resistir à pressão negativa entre pares, evitando que eles influenciem a tomada de decisões irresponsáveis.</t>
  </si>
  <si>
    <t>Engajamento (síntese)</t>
  </si>
  <si>
    <t>Montar e pactuar — a Caixa dos Vínculos Respeitosos (final)
A aula propõe revisar todas as peças (plano pessoal, contrato de respeito, cartões de ajuda, rede de apoio, protocolos, plano antipressão), montar a "Caixa dos Vínculos Respeitosos" da sala e firmar compromissos com a turma e famílias. Para mobilizar E.9.2, cada estudante pacta uma pequena melhoria em casa vinculada à convivência.</t>
  </si>
  <si>
    <t>—</t>
  </si>
  <si>
    <t>E.9.2 Realizar melhorias na vida familiar.</t>
  </si>
  <si>
    <t>Vozes em Jogo: debater, influenciar e conquistar metas
Este bimestre se organiza em torno da realização de uma Sessão de Debates Justos sobre temas de pertencimento à escola (uso dos espaços, regras de convivência, cuidado com o patrimônio). Para que o debate aconteça com qualidade e respeito, os estudantes caminham por etapas que se encadeiam:
E.6.3 — Começamos recuperando a motivação pós-férias e escolhendo hábitos que sustentem o percurso (constância, foco, pausas).
P.6.3 — Esta energia vira metas de curto prazo que organizam o preparo para o debate (ex.: pesquisar tema, treinar fala, ler textos).
AC.6.3 — Em seguida, investigamos como cada um atua em grupo e quais papéis (comunicação, argumentação, organização) melhor aproveitam suas características.
TD.6.3 — Antes de defender ideias, mapeamos influências (pares, família, redes, mídia) que pesam nas decisões e definimos critérios para acolher/recusar argumentos.
C.6.3 — Por fim, entramos no bloco de Convivência (laboratório, ensaio e sessão), construindo argumentos sólidos, respeitando regras de fala e debatendo com clareza e respeito.
O Material Impresso acompanha o percurso como caderno de trabalho (hábitos, metas, papéis, mapa de influências, fichas de argumento). O produto final é público e coletivo: a Sessão de Debates Justos (evento simples) e um Painel “Metas &amp; Hábitos em Ação” da turma, que mostra como a motivação e o planejamento sustentaram a qualidade do debate.
Roadmap das entregas e progressão
A1 – Cartão de Hábitos (rascunho, MI): base de constância para o projeto.
A2 – Plano de Metas (30 dias): ENTREGA #1; metas alinhadas ao preparo do debate.
A3 – Mapa de papéis de grupo (MI): define como cada um contribui para cumprir as metas.
A4 – Diagrama de influências (MI): critérios para filtrar argumentos e fontes.
A5 – Fichas de argumento + rubrica (MI): laboratório → ensaio cronometrado.
A6 – Dossiê do Debate + revisão de metas: ENTREGA #2; consolida aprendizado e planeja próximos passos.
Produto: realização da Sessão de Debates Justos e montagem do Painel “Metas &amp; Hábitos em Ação”.</t>
  </si>
  <si>
    <t>O que me move
A aula propõe um percurso de reentrada pós-férias para mapear gatilhos de motivação e desmotivação e escolher hábitos que sustentem o projeto do bimestre (Sessão de Debates Justos). Para mobilizar a atividade E.6.3, os estudantes serão convidados a identificar padrões “liga/desliga” e iniciar um Cartão de Hábitos vinculado ao preparo do debate. Esta aula inaugura o projeto e prepara a A2 (metas que dependem desses hábitos).</t>
  </si>
  <si>
    <t>O que pode me motivar?</t>
  </si>
  <si>
    <t>E.6.3 Conhecer hábitos e comportamentos que ajudam a manter a motivação.</t>
  </si>
  <si>
    <t>Metas que saem do papel
A aula propõe um percurso de definição de 2–3 metas de curto prazo diretamente ligadas à preparação para a Sessão de Debates. Para mobilizar a atividade P.6.3, os estudantes planejam objetivos com passos, prazos, apoios e evidências, conectando cada meta a 1–2 hábitos da A1. Esta aula retoma os hábitos (A1) e prepara a A3 (papéis em grupo para cumprir as metas). ENTREGA: Plano de Metas (30 dias).</t>
  </si>
  <si>
    <t>Como eu posso atingir meus objetivos acadêmicos?</t>
  </si>
  <si>
    <t>Proatividade</t>
  </si>
  <si>
    <t>P.6.3 Planejar objetivos de curto prazo para efetivar as mudanças desejadas.</t>
  </si>
  <si>
    <t>Eu em grupo: meus papéis
A aula propõe um percurso de autoobservação em tarefas cooperativas para ajustar papéis no projeto. Para mobilizar a atividade AC.6.3, os estudantes analisam como suas características aparecem nas relações e testam papéis (comunicação, argumentação, organização) que melhor ajudem a cumprir as metas da A2. Esta aula retoma as metas e prepara a A4 (critérios para lidar com influências ao pesquisar/defender ideias).</t>
  </si>
  <si>
    <t>Como eu sou quando estou com outras pessoas?</t>
  </si>
  <si>
    <t>Responsabilidade Relacional</t>
  </si>
  <si>
    <t>AC.6.3 Analisar o efeito das características pessoais que estão mais presentes nas próprias relações sociais.</t>
  </si>
  <si>
    <t>Quem me influencia?
A aula propõe um percurso de mapeamento de influências (pares, família, mídias, contexto) e critérios para acolher/recusar argumentos. Para mobilizar a atividade TD.6.3, os estudantes reconhecem pessoas envolvidas e como impactam decisões ligadas ao tema do debate, evitando ‘efeito manada’. Esta aula retoma os papéis/grupo (A3) e prepara a construção de argumentos (A5).</t>
  </si>
  <si>
    <t>Como as pessoas influenciam as decisões uma das outras?</t>
  </si>
  <si>
    <t>Consciência da influência</t>
  </si>
  <si>
    <t>TD.6.3 Analisar a influência das pessoas envolvidas em uma situação para a tomada de decisão.</t>
  </si>
  <si>
    <t xml:space="preserve">Laboratório de argumentos
A aula propõe um percurso de construção de argumentos sólidos (tese–razão–exemplo) sobre temas de pertencimento escolar, aplicando critérios da A4. Para mobilizar a atividade C.6.3, os estudantes elaboram argumentos alinhados aos papéis definidos (A3) e às metas (A2). </t>
  </si>
  <si>
    <t>Como posso me preparar para situações de debate?</t>
  </si>
  <si>
    <t>Responsabilidade argumentativa</t>
  </si>
  <si>
    <t>C.6.3 Usar argumentos sólidos e condizentes com suas ideias em situações de debate.</t>
  </si>
  <si>
    <t>Sessão de Debates Justos + revisão de metas
A aula propõe um percurso de apresentação pública dos debates da turma e de síntese do aprendizado. Para mobilizar a atividade C.6.3, os estudantes participam da sessão, aplicam a rubrica, realizam autoavaliação e revisam o Plano de Metas (A2) à luz do desempenho e dos feedbacks. Esta aula consolida o projeto (A1–A6). ENTREGA: Dossiê do Debate (rubrica + autoavaliação) + revisão do Plano de Metas.</t>
  </si>
  <si>
    <t>Decidir com emoção e inclusão: Baralho “E se…?”
Às vezes o que separa a boa intenção de uma boa decisão é ouvir: o que sentimos, o que o outro sente, o que a situação pede. Depois de avançar na fala respeitosa e no cuidado com o convívio, este bimestre convida a turma a construir, refinar e utilizar um recurso de decisão criado por eles: o Baralho “E se…?” — um conjunto de cartas-dilema, cartas-emoção e cartas-apoio (roteiros curtos de fala/escuta) para pensar antes de agir em situações reais da escola e das redes.
O fio condutor é progressivo: interesse que me move → linguagem que inclui → dilema com emoções → revisão com vozes diversas → protocolo simples de uso → sessão piloto → baralho final com guia.
O projeto começa no que faz sentido para cada estudante. Eles escolhem 1–2 interesses saudáveis que querem praticar e, a partir deles, identificam situações-semente que darão origem às cartas-dilema. Em seguida, a turma lapida a linguagem das cartas e cria cartas-apoio com princípios de Comunicação Não Violenta, garantindo clareza e respeito. Ao prototipar e testar as cartas, os estudantes analisam causas, opções e consequências, trazendo explicitamente as emoções envolvidas nas escolhas. Depois definem como o baralho será usado em sala real (duração, papéis, regras de escuta, quando chamar um adulto, como registrar decisões) e organizam uma sessão piloto simples. Então, conduzem a sessão piloto, coletam evidências mínimas (um insight, um acordo, um encaminhamento) e refinam o baralho e o protocolo para uso pela comunidade.
o Material Impresso funciona como caderno consumível do processo (situações-semente, versões das cartas, checklist de linguagem, matriz de decisão com emoções, protocolo, relato da sessão piloto).
Produto: Baralho “E se…?” (versão 3) + Guia de uso (1 página) — recurso autoral e simples para pensar junto antes de agir, disponível para a turma e para outros estudantes da escola, como legado concreto de comunicação respeitosa, decisão consciente e cooperação.
A3: Mini-deck v1
A5: Relato da sessão piloto + ajustes
A6: Baralho v3 + Guia de uso (1 pág.) (conquista do bimestre)</t>
  </si>
  <si>
    <t>Do meu interesse ao dilema — investigando o que importa
No retorno do bimestre, a aula propõe um percurso de retomada e exploração de interesses éticos e saudáveis para identificar contextos reais de decisão relacionados a eles (grupo de estudos, redes, amizade, uso de tempo). Para mobilizar AC.7.3, os estudantes escolhem 1–2 interesses para praticar no bimestre e, a partir deles, descrevem situações‑semente que poderão virar cartas‑dilema do Baralho ‘E se…?’. A mediação destaca relação entre valores, escolhas e emoções envolvidas (curiosidade, medo, empolgação).</t>
  </si>
  <si>
    <t>AC.7.3 Se aprofundar e/ou praticar novos interesses éticos e saudáveis.</t>
  </si>
  <si>
    <t>Linguagem que inclui — escrevendo sem ferir
A aula propõe um percurso de lapidação da linguagem para redigir cartas do baralho de modo claro, respeitoso e inclusivo (diversidade cultural e de gênero), evitando estereótipos e microagressões. Para mobilizar C.7.3, a turma elabora ‘roteiros de fala/escuta’ curtos (eu‑mensagem, pedidos, reparação) que serão usados nas cartas‑apoio (cartas‑resposta).</t>
  </si>
  <si>
    <t>Auto‑observação</t>
  </si>
  <si>
    <t>C.7.3 Conhecer e usar os princípios da comunicação não violenta na escola.</t>
  </si>
  <si>
    <t>Prototipando o baralho — cartas‑dilema e cartas‑emoção (v1)
A aula propõe transformar as situações‑semente em cartas‑dilema objetivas (‘E se…?’) e criar cartas‑emoção que ajudem a explicitar como me sinto/como os outros se sentirão. Para mobilizar TD.7.3, as equipes associam a cada dilema: causas, opções possíveis e primeiras hipóteses de consequências (curto/médio prazo). Ao final, organizam um primeiro mini‑deck para teste interno.
Neste momento do projeto, será importante apresentar o modelo do baralho "E se...", a fim de que os estudantes compreendem para qual tipo de projeto deverão escrever as cartas.</t>
  </si>
  <si>
    <t>Responsabilidade</t>
  </si>
  <si>
    <t>TD.7.3 Tomar decisões pessoais e históricas baseadas na análise de causas e consequências.</t>
  </si>
  <si>
    <t>Como vamos usar? — protocolo simples para sala real
A aula propõe definir "como" o baralho será usado em contexto real (duração, papéis, regras de escuta, quando chamar adulto, como registrar decisões). Para mobilizar P.7.3, a turma define um objetivo de curto prazo (testar em 1 turma/coletivo), planeja a sessão piloto e combina evidências mínimas (ex.: 1 insight; 1 mudança de fala; 1 ação acordada).</t>
  </si>
  <si>
    <t>Realizar</t>
  </si>
  <si>
    <t>P.7.3 Realizar objetivos para experimentar a autoeficácia.</t>
  </si>
  <si>
    <t>Sessão piloto — usar para decidir juntos (v2)
A aula propõe realizar uma "sessão piloto" com o baralho (em outra turma da série, no grêmio ou no próprio grupo), seguindo o protocolo v1. Para mobilizar E.7.3, os estudantes assumem papéis, conduzem a discussão e registram evidências mínimas (o que perceberam, 1 acordo, 1 pedido de ajuda quando necessário). Ao final, coletam 1 feedback do grupo atendido para ajustar o baralho/protocolo.</t>
  </si>
  <si>
    <t>Organizar-se</t>
  </si>
  <si>
    <t>E.7.3 Organizar-se com outras pessoas para atender necessidades e demandas do seu entorno.</t>
  </si>
  <si>
    <t>Síntese (integra dimensões)</t>
  </si>
  <si>
    <t>- Utilizar os princípios da comunicação não violenta para expressar-se com respeito, empatia e assertividade.
- Tomar decisões baseadas na análise das causas e consequências das situações.
- Utilizar os princípios da comunicação não violenta para expressar-se com respeito, empatia e assertividade.
- Definir objetivos de curto e médio prazo em diferentes áreas da vida, utilizando estratégias e ferramentas para alcançá-los.
- Estar atento e comprometido com as necessidades e demandas da escola, da comunidade e das pessoas com quem convive.</t>
  </si>
  <si>
    <t>Baralho “E se…?” pronto para a escola — guia de uso e compromissos
A aula propõe consolidar o "Baralho ‘E se…?’" (mini‑deck v3) e um "guia de uso de 1 página" com protocolo final (quando usar, papéis, cuidados, como chamar adulto, como registrar decisões). A síntese valoriza o percurso: interesse → linguagem inclusiva → dilema com emoções → teste → protocolo → uso piloto. Os estudantes pactuam como o baralho poderá ser solicitado/emprestado na escola.</t>
  </si>
  <si>
    <t>- Que tipo de consequências uma decisão pode ter?
- A forma como eu falo com os outros me ajuda ou me atrapalha?
- Como posso me organizar para realizar de fato meus objetivos?
- Como posso ajudar as pessoas da minha escola e família?</t>
  </si>
  <si>
    <t>- Responsabilidade
- Auto‑observação
- Organização e perseverança
- Colaboração</t>
  </si>
  <si>
    <t>- Decidir
- Refletir
- Realizar
- Organizar-se</t>
  </si>
  <si>
    <t>TD.7.3
C.7.3
P.7.3
E.7.3</t>
  </si>
  <si>
    <t>Mutirão Relâmpago + Carta de Continuidade
A escola é território: tem dores, desejos, potências. Este projeto desloca o “eu posso” para o “nós fazemos”, com passos curtos e efeitos concretos. O início é autocultivo: cada estudante escolhe uma habilidade a desenvolver (mediação, organização, fala pública…) e define formas simples de prática e evidência (AC.8.3 Desenvolver novas habilidades). De posse de um “músculo em treino”, saímos a escutar: entrevistas breves com colegas, funcionários e famílias levantam demandas reais (C.8.3 Agir com empatia em diferentes situações).
Para decidir o que fazer agora, a turma define critérios claros (impacto, viabilidade, equidade), compara alternativas e formaliza a escolha em ata pública (TD.8.3 Experimentar diferentes critérios para tomar decisões). Planejamos a intervenção com planos B/C — imprevistos são regra, não exceção (P.8.3 Usar ferramentas de planejamento para lidar com possíveis imprevistos e frustrações) — e distribuímos papéis valorizando talentos diversos (E.8.3 Reconhecer que todas as pessoas têm algo para oferecer à sociedade). Vem então o Mutirão Relâmpago (30–40 min): ação enxuta, registrada com evidências e devolutivas (C.8.3 / E.8.1 Criticar e elogiar características da sociedade, incluindo percepções familiares e comunitárias).
Nada termina aqui: a turma avalia, decide continuidade com base em valores éticos (TD.8.4 Usar valores éticos como critérios para tomar decisões para o futuro) e escreve uma Carta de Continuidade comprometendo-se com próximos passos para melhorar o que foi iniciado (E.8.4 Compreender o que pode fazer para contribuir com melhorias na sociedade).
Fio condutor: Estruturar um arco só: habilidade-alvo → escuta → decisão com critérios (ata) → plano com B/C → papéis → mutirão → carta. O Material Impresso organiza escutas, matrizes, canvas, mapas de papéis e evidências; o produto final é a ação + compromisso.
Produto: Mutirão Relâmpago (execução piloto) + Carta de Continuidade (próximos passos pactuados).
Roadmap do bimestre
A1 — Habilidade-alvo (AC.8.3): plano micro de prática e indicadores.
A2 — Escuta do território (C.8.3): entrevistas curtas; 3 prioridades da turma.
A3 — Decidir com critérios (TD.8.3): matriz e Ata de decisão. (entrega intermediária)
A4 — Plano com B/C (P.8.3): passos, prazos, riscos e alternativas.
A5 — Mutirão Relâmpago (C.8.3/E.8.1): execução e evidências.
A6 — Avaliar e seguir (TD.8.4/E.8.4): Carta de Continuidade. (entrega final)</t>
  </si>
  <si>
    <t>Minha habilidade‑alvo para agir no território
A aula propõe escolher 1 habilidade a desenvolver (ex.: mediação, organização, fala pública) e planejar micro‑treinos semanais. Para mobilizar AC.8.3, os estudantes definem indicadores simples de prática conectados à ação comunitária.</t>
  </si>
  <si>
    <t>Quais habilidades eu gostaria de ter, mas ainda não desenvolvi?</t>
  </si>
  <si>
    <t>Persistência com propósito</t>
  </si>
  <si>
    <t>AC.8.3 Desenvolver novas habilidades.</t>
  </si>
  <si>
    <t>Escutar para agir — mapeando demandas do território
A aula propõe entrevistas curtas com colegas/funcionários/comunidade para levantar dores, desejos e propostas. Para mobilizar C.8.3, a turma sintetiza uma nuvem de demandas e destaca 3 prioridades.</t>
  </si>
  <si>
    <t>Como posso considerar o que os outros pensam e sentem em minhas ações?</t>
  </si>
  <si>
    <t>Consideração</t>
  </si>
  <si>
    <t>C.8.3 Agir com empatia em diferentes situações.</t>
  </si>
  <si>
    <t>Escolha com critérios — qual ação faz mais sentido agora?
A aula propõe definir e ponderar critérios (impacto, viabilidade, equidade) e decidir a intervenção do mutirão. Para mobilizar TD.8.3, os estudantes justificam a escolha com base nos critérios e redigem uma ata curta.</t>
  </si>
  <si>
    <t>O que faz com que eu decida por uma coisa em relação a outra?</t>
  </si>
  <si>
    <t>TD.8.3 Experimentar diferentes critérios para tomar decisões.</t>
  </si>
  <si>
    <t>Plano de ação com planos B/C — do papel ao pátio
A aula propõe detalhar tarefas, cronograma e recursos, prevendo riscos e alternativas. Para mobilizar P.8.3, a turma produz um canvas da ação com planos B/C.</t>
  </si>
  <si>
    <t>Adaptação estratégica</t>
  </si>
  <si>
    <t>P.8.3 Usar ferramentas de planejamento para lidar com possíveis imprevistos e frustrações.</t>
  </si>
  <si>
    <t>- Agir com empatia, sendo capaz de compreender as perspectivas e os sentimentos dos outros.
- Compreender seu papel na sociedade e as formas pelas quais pode contribuir para sua melhoria.</t>
  </si>
  <si>
    <t>Mutirão Relâmpago — mãos à obra e evidências
A aula propõe executar a intervenção planejada em 30–40 minutos, registrar evidências e coletar percepções das pessoas envolvidas. Para mobilizar C.8.3/E.8.1, registram o que funcionou e o que precisa melhorar.</t>
  </si>
  <si>
    <t>- Como posso considerar o que os outros pensam e sentem em minhas ações?
- O que há de bom e de ruim na sociedade?</t>
  </si>
  <si>
    <t>- Consideração
- Senso crítico</t>
  </si>
  <si>
    <t>- Cuidar
- Argumentar</t>
  </si>
  <si>
    <t>C.8.3 Agir com empatia em diferentes situações.
E.8.1 Criticar e elogiar características da sociedade, incluindo percepções familiares e comunitárias.</t>
  </si>
  <si>
    <t>Tomada de decisão + Engajamento (síntese)</t>
  </si>
  <si>
    <t>- Usar valores éticos como critérios para a tomada de decisão.
- Compreender seu papel na sociedade e as formas pelas quais pode contribuir para sua melhoria.</t>
  </si>
  <si>
    <t>Avaliar e seguir — carta de continuidade
A aula propõe revisar a ação com vozes diversas, discutir efeitos e decidir continuidade/ajustes coletivamente. Para mobilizar TD.8.4/E.8.4, produzem uma carta de continuidade com próximos passos.</t>
  </si>
  <si>
    <t>- Como a ética pode estar presente nas decisões para o meu futuro?
- O que posso fazer para tornar a sociedade melhor?</t>
  </si>
  <si>
    <t>- Coerência
- Senso de responsabilidade social</t>
  </si>
  <si>
    <t>- Refletir
- Transformar</t>
  </si>
  <si>
    <t>TD.8.4 Usar valores éticos como critérios para tomar decisões para o futuro.
E.8.4 Compreender o que pode fazer para contribuir com melhorias na sociedade.</t>
  </si>
  <si>
    <t>Transição segura: escolhas on/offline e metas para o Ensino Médio
Transição é verbo: decidir, proteger, planejar e agir. O projeto organiza essas ações em “rotas” visíveis, que a turma monta num Painel Interativo.
Começamos revisitando o que ainda pesa e como superar (AC.9.3). Em seguida, construímos protocolos de segurança on/offline (C.9.3) e ensaiamos respostas sob pressão (TD.9.3).
Com o terreno mais estável, definimos metas para o EM (P.9.3), realizamos uma micro-ação de melhoria na escola (E.9.3) e, por fim, simulamos cenários
com rotas de apoio (TD.9.4/P.9.4). As “rotas” se colam no painel e viram referência para a chegada ao novo ciclo.
Fio do projeto: do superar (eu comigo) → para o proteger (eu e os outros) → para o resistir (eu entre pares) → para o definir metas (eu e meu futuro) →
para o agir na escola (eu e o espaço comum) → para o preparar contingências (eu e a rede) → para o pactuar (eu, família e turma).
Produto: Painel Interativo “Rotas de Transição Segura” + registro da micro-ação na escola.
Roadmap:
A1 plano de superação (AC.9.3, v1)
A2 protocolo de proteção (C.9.3)
A3 checklist antipressão (TD.9.3)
A4 metas EM (P.9.3, v1) ·
A5 micro-ação na escola (E.9.3)
A6 montagem e apresentação do Painel (pactos 30 dias).</t>
  </si>
  <si>
    <t>Superar para seguir — plano de superação (v1)
A aula propõe revisar fragilidades e desenhar estratégias de superação alinhadas à transição. Para mobilizar AC.9.3, os estudantes produzem um plano de superação (v1) que alimentará as ‘rotas’ do painel.</t>
  </si>
  <si>
    <t>Como posso superar minha fragilidades?</t>
  </si>
  <si>
    <t>Esperança</t>
  </si>
  <si>
    <t>AC.9.3 Analisar como as fragilidades pessoais podem ser superadas.</t>
  </si>
  <si>
    <t>Segurança on/offline — protocolos práticos
A aula propõe um percurso que liga as fragilidades mapeadas na A1 (gatilhos pessoais, medos, pontos sensíveis) aos riscos de desinformação (fake news) e de exposição on/offline. Para mobilizar C.9.3, os estudantes analisam como boatos, montagens e conteúdo fora de contexto podem atingir pontos de fragilidade individual e coletiva, e elaboram um protocolo prático de proteção com duas frentes:
“STOP antes de compartilhar” (parar–verificar–considerar impacto–decidir), e
“Se acontecer…” (o que fazer ao sofrer ou presenciar dano: passos, canais, pessoas de confiança).
Esse protocolo será colado na rota “Proteção” do Painel Interativo.</t>
  </si>
  <si>
    <t>Antipressão na prática — respostas e aliados
A aula propõe ensaiar respostas sob pressão de pares e mapear aliados. Para mobilizar TD.9.3, cada estudante compõe um checklist pessoal anti-pressão que integrará o Painel.</t>
  </si>
  <si>
    <t>Metas para o EM — primeiros passos (v1)
A aula propõe definir objetivos acadêmicos e pessoais e destrinchá‑los em passos de curto prazo. Para mobilizar P.9.3, as metas (v1) comporão a parte ‘Rumo ao EM’ do Painel.</t>
  </si>
  <si>
    <t>O que eu quero conquistar durante o Ensino Médio?</t>
  </si>
  <si>
    <t>Autodeterminação</t>
  </si>
  <si>
    <t>P.9.3 Estabelecer objetivos para o Ensino Médio.</t>
  </si>
  <si>
    <t>Micro-ação na escola — melhorar para aprender melhor
A aula propõe escolher e executar uma micro-ação de melhoria na escola (limpeza de espaço, sinalização de coleta, cantinho de leitura etc.). Para mobilizar E.9.3, registram efeito e lições para a transição.</t>
  </si>
  <si>
    <t>Como posso melhorar a vida na minha escola?</t>
  </si>
  <si>
    <t>Comprometimento com o bem comum</t>
  </si>
  <si>
    <t>E.9.3 Realizar melhorias na vida escolar.</t>
  </si>
  <si>
    <t>Tomada de decisão + Planejamento</t>
  </si>
  <si>
    <t>Compreender o papel que outras pessoas podem ter no processo de tomada de decisão dos estudantes. / Planejar a transição para o Ensino Médio com base em quem desejam ser e no que desejam conquistar nessa nova etapa.</t>
  </si>
  <si>
    <t>Cenários e rotas de apoio — meu plano de contingência (v1)
A aula propõe simular cenários de risco e traçar planos de contingência com pessoas de confiança. Para mobilizar TD.9.4 e P.9.4, os estudantes geram ‘rotas de apoio’ que serão coladas no Painel.</t>
  </si>
  <si>
    <t>Quem eu quero ser no Ensino Médio?</t>
  </si>
  <si>
    <t>Engajamento com o futuro</t>
  </si>
  <si>
    <t>TD.9.4 Decidir o perfil de adolescente que deseja ser no Ensino Médio. / P.9.4 Usar ferramentas para planejar a conquista de seus objetivos no Ensino Médio.</t>
  </si>
  <si>
    <t>Rotas para o Futuro Próximo: intenção, autenticidade e constância
Encerrando o 6º ano, este projeto convida os estudantes a escolher intencionalmente características que desejam cultivar, a praticar autenticidade com respeito e limites no cotidiano, a testar decisões em cenários reais ouvindo vozes diversas, a monitorar o próprio progresso e a sustentar a motivação ao longo do tempo. O percurso avança em etapas conectadas: inicia com a seleção de características desejáveis (AC.6.4), aprofunda como se expressar com autenticidade nas relações (C.6.4), desenha e revisa decisões para o futuro próximo com base em cenários e consultas (TD.6.4), cria indicadores simples de evolução acadêmica (P.6.4) e organiza um kit de persistência para atravessar 30–60–90 dias (E.6.4). As aulas se encadeiam explicitando o elo entre elas: o que é escolhido como valor (A1) aparece na fala com respeito (A2), orienta as decisões construídas em diálogo (A3–A4), é acompanhado por indicadores claros (A5) e sustentado por estratégias de constância (A6–A7).
Produto: Mostra “Rotas 30–60–90” (mural coletivo simples) + Roteiro 30–60–90 (individual).
Entregas formais: A4 — Mapa de Decisão v2; A5 — Painel de monitoramento (semáforo + indicadores); A7 — Roteiro 30–60–90 consolidado.
Material Impresso: usado como caderno de trabalho (listas, roteiros, mapas, indicadores); não é o produto final.
Roadmap
A1 – Lista 3–2–1 de características (AC.6.4): semente do projeto (MI).
A2 – Roteiros de fala autêntica (C.6.4): ensaio para limites e pedidos (MI).
A3 – Mapa de Decisão v1 (TD.6.4): cenários, vozes e opções (MI).
A4 – Mapa de Decisão v2 (TD.6.4): ENTREGA #1 (versão revisada após escuta).
A5 – Painel de monitoramento (P.6.4): ENTREGA #2 (indicadores + semáforo).
A6 – Roteiro 30–60–90 consolidado + Mostra pública: ENTREGA #3 (síntese final).
Produto do bimestre: Mostra ‘Rotas 30–60–90’ (mural coletivo) + Roteiro 30–60–90 (individual).</t>
  </si>
  <si>
    <t>Quem quero cultivar em mim
A aula propõe um percurso de nomeação de qualidades a desenvolver no próximo trimestre, explicando autenticidade em termos concretos (coerência entre valores, pensamentos, sentimentos, palavras e ações, com respeito e limites). Para mobilizar a atividade AC.6.4, os estudantes serão convidados a criar uma lista priorizada (3–2–1) de características desejáveis, ligando cada uma a pequenos gestos diários que possam ser observados.
Este encontro deverá ser dedicado à produção da Lista 3–2–1 e do primeiro rascunho de gestos diários que serão acompanhados no bimestre. Produto em construção: Lista 3–2–1 + gestos (MI). (sem entrega formal)</t>
  </si>
  <si>
    <t>Quais características eu gostaria de ter para me tornar a pessoa que desejo ser no futuro?</t>
  </si>
  <si>
    <t>AC.6.4 Criar uma lista de caracteríticas desejáveis de serem desenvolvidas.</t>
  </si>
  <si>
    <t>Autenticidade no cotidiano: falar com respeito, preservar limites
A aula propõe um percurso de treino de fala autêntica em situações do dia a dia (pedir ajuda; recusar convite arriscado; combinar limites; pedir desculpas). Para mobilizar a atividade C.6.4, os estudantes serão convidados a usar eu‑mensagem, paráfrase e pedidos claros, discernindo o que compartilhar e quando, sempre com foco em respeito e segurança.
Este encontro deverá ser dedicado à produção dos roteiros de fala e do checklist de limites que serão revisitados quando formos decidir cenários pessoais (A3–A4). Produto em construção: Roteiros + checklist (MI). (sem entrega formal)</t>
  </si>
  <si>
    <t>O futuro pode ser melhor se eu for autêntico em minhas relações?</t>
  </si>
  <si>
    <t>C.6.4 Analisar a importância da autenticidade na relação com os outros para construir um projeto de vida.</t>
  </si>
  <si>
    <t>Cenários &amp; vozes: desenhando escolhas (v1)
A aula propõe um percurso de análise de cenários próximos (escola, amigos, tempo livre) e de identificação de atores/vozes relevantes. Para mobilizar a atividade TD.6.4, os estudantes serão convidados a mapear opções, efeitos prováveis e pessoas a escutar, elaborando a Versão 1 do Mapa de Decisão.
Este encontro deverá ser dedicado à produção dos rascunhos de mapas que serão base para a revisão dialogada na A4. Produto em construção: Mapa de Decisão v1 (MI) → revisão na A4. (sem entrega formal)</t>
  </si>
  <si>
    <t>Como posso analisar cenários e o papel das pessoas em minha vida para tomar decisões para o futuro?</t>
  </si>
  <si>
    <t>Ponderação</t>
  </si>
  <si>
    <t>TD.6.4 Testar decisões para o futuro com base em diferentes cenários, promovendo diálogos e construindo soluções coletivas.</t>
  </si>
  <si>
    <t>Revisando decisões com vozes diversas (v2)
A aula propõe um percurso de devolutiva e revisão das escolhas após escuta ativa. Para mobilizar a atividade TD.6.4, os estudantes serão convidados a incorporar contribuições, ajustar critérios e apresentar a Versão 2 do Mapa de Decisão, explicitando o que mudou e por quê.
Este encontro deverá ser dedicado à revisão e apresentação breve dos mapas com registro de mudanças. Produto em construção: Mapa de Decisão v2 (MI). (ENTREGA formal: Mapa de Decisão v2)</t>
  </si>
  <si>
    <t>Como saberei que estou evoluindo?
A aula propõe um percurso de definição de indicadores simples de progresso e de montagem de um painel de monitoramento. Para mobilizar a atividade P.6.4, os estudantes serão convidados a escolher evidências observáveis (frequência, duração, qualidade) e a configurar um semáforo semanal de acompanhamento.
Este encontro deverá ser dedicado à construção do Painel de monitoramento (semáforo + indicadores) e à marcação do primeiro checkpoint. Produto em construção: Painel de monitoramento (MI + mural). (ENTREGA formal: Painel/semáforo)</t>
  </si>
  <si>
    <t>Como eu sei se estou evoluindo academicamente?</t>
  </si>
  <si>
    <t>P.6.4 Utilizar uma estratégia de monitoramento para verificar se as mudanças estão sendo efetivadas.</t>
  </si>
  <si>
    <t>Planejamento &amp; Engajamento</t>
  </si>
  <si>
    <t>- Estabelecer objetivos de curto prazo para organizar os estudos e conquistar metas pessoais na escola.
- Manter a motivação necessária para realizar e concluir tarefas com autonomia e empenho pessoal.</t>
  </si>
  <si>
    <t>Mostra ‘Rotas 30–60–90’ + síntese do percurso
A aula propõe um percurso de consolidação e socialização do projeto. Os estudantes integram indicadores (A5) e kit de persistência (A6) ao Mapa de Decisão (A4) e às práticas de autenticidade (A2), compondo o Roteiro 30–60–90. A turma realiza uma Mostra simples com os painéis e faz uma autoavaliação final do bimestre.
Este encontro deverá ser dedicado à apresentação pública (mural simples) e à síntese escrita “o que aprendi/como sigo”. Produto em construção: Roteiro 30–60–90 consolidado (MI) + Mostra. (ENTREGA formal: Roteiro consolidado + autoavaliação)</t>
  </si>
  <si>
    <t>- Como eu sei se estou evoluindo academicamente?
- Como me mantenho motivado ao longo do tempo?</t>
  </si>
  <si>
    <t>- Responsabilidade
- Persistência</t>
  </si>
  <si>
    <t>- Refletir
- Decidir</t>
  </si>
  <si>
    <t>P.6.4 Utilizar uma estratégia de monitoramento para verificar se as mudanças estão sendo efetivadas.
E.6.4 Usar estratégias para se manter motivado para realizar suas tarefas com empenho</t>
  </si>
  <si>
    <t>Voz pública no território: Áudio-guia da Escola
Quando a escola fala com a própria voz, o território escuta. Neste projeto, os estudantes convertem aprendizagens do ano em mensagens públicas curtas, claras e respeitosas, orientadas à ação. O caminho começa com projeções de interesses para a etapa seguinte, mapeia como os princípios da comunicação constroem futuros melhores, decide prioridades para o futuro próximo, aprende com planejamentos anteriores para ajustar o presente e avalia o próprio engajamento ao assumir papéis reais na produção e manutenção do Áudio-guia.
O fio condutor é: escuta de quem seremos → pauta pública → decisão para agora → lições aprendidas → produção em serviço. Cada etapa retoma o que foi feito (entrevistas, pautas, matriz de decisão, rubrica de eficácia) e prepara a seguinte (canvas de produção, papéis, indicadores, testes com usuários), para que o lançamento seja também um plano de continuidade. A imagem poética é a de uma escola-farol: mensagens curtas que iluminam caminhos possíveis no cotidiano — convivência, segurança nas redes, cuidado com espaços e pessoas.
Produto: Áudio-guia do Território — série de áudios de 30–60s (com QR/links, quando possível) instalados em pontos-chave da escola (entrada, biblioteca, pátio, quadra, corredores), com mensagens públicas que unem respeito, clareza e orientação prática (o que fazer agora). Inclui plano de monitoramento (quem repõe, quando mede, como ajusta).
Roadmap do bimestre:
A1 — Voz que quero levar ao mundo (AC.7.4): entrevistas/escutas e projeções de interesse para a próxima etapa.
A2 — Comunicação que cria futuro (C.7.4): pautas públicas ligadas à convivência/segurança digital/uso de espaços.
A3 — Priorizar para o futuro próximo (TD.7.4): matriz de decisão para selecionar mensagens prioritárias.
A4 — Produção em pauta (E.7.4): papéis, cronograma, pontos de instalação e indicadores de eficácia.
A5 — Pilotos e testes (C.7.4 + E.7.4): roteirizar, gravar, testar com usuários, iterar. (Entrega: protótipos + roteiro final)
A6 — No ar! (C.7.4 / P.7.4 / E.7.4): instalação, lançamento e plano de monitoramento com responsáveis e checagens. (Entrega final)
O Material Impresso (MI) acompanha todo o ciclo: entrevistas e sínteses (A1), pautas e atitudes/acordos (A2), matriz de decisão (A3), rubrica de eficácia (A4), canvas de produção/indicadores (A5), roteiros e checklists de teste (A6) e registro do plano de monitoramento (A7).</t>
  </si>
  <si>
    <t>Voz que quero levar ao mundo — entrevistas e projeções
A aula propõe um percurso de investigação de futuros próximos: estudantes definem temas que importam para si e para o território e realizam entrevistas breves com estudantes do Ensino Médio, buscando pistas sobre interesses, escolhas e mensagens públicas que ajudam a comunidade. Para mobilizar AC.7.4, projetam quais interesses desejam manter/desenvolver na próxima etapa e como isso pode orientar mensagens do áudio‑guia.</t>
  </si>
  <si>
    <t>AC.7.4 Projetar seus interesses para o futuro, com base na sua rede de apoio.</t>
  </si>
  <si>
    <t>Princípios da comunicação que criam futuros melhores
A aula propõe a sistematização das entrevistas realizadas e acrescenta o mapeamento de mensagens públicas necessárias no território escolar (convivência, segurança digital, uso dos espaços, cuidado com patrimônio). Será importante explicitar como os princípios da comunicação ajudam a construir futuros melhores para todos. Para mobilizar C.7.4, as equipes rascunham pautas do áudio‑guia e as conectam a atitudes e acordos concretos.</t>
  </si>
  <si>
    <t>C.7.4 Analisar como os princípios da comunicação pode ajudar a construir futuros melhores para todos.</t>
  </si>
  <si>
    <t>Escolhas para o futuro próximo — priorizando mensagens do áudio‑guia
A aula propõe avaliar causas/impactos das pautas levantadas (curto prazo, públicos, riscos/benefícios) e priorizar as mensagens do áudio‑guia. Para mobilizar TD.7.4, as equipes usam uma matriz de decisão para o futuro próximo, explicitando por que escolheram cada mensagem e qual impacto esperam.</t>
  </si>
  <si>
    <t>TD.7.4 Tomar decisões para o futuro próximo, analisando suas causas e consequências.</t>
  </si>
  <si>
    <t>Produção em pauta — papéis, cronograma e indicadores
A aula propõe organizar a produção do áudio‑guia: papéis (roteirista, locutor, técnico, revisão de linguagem), cronograma, pontos de instalação (QR) e indicadores de eficácia (escuta, compreensão, mudança de atitude). Para mobilizar E.7.4, os estudantes avaliam o próprio engajamento e pactuam responsabilidades.</t>
  </si>
  <si>
    <t>E.7.4 Avaliar o próprio engajamento com as necessidades e demandas do seu entorno.</t>
  </si>
  <si>
    <t>Gravar, testar, melhorar — áudio‑guia em versão piloto
A aula propõe roteirizar e gravar áudios de 30–60s (linguagem clara, respeitosa, orientada à ação), realizar testes rápidos de escuta com 3 usuários por ponto e iterar. Para mobilizar C.7.4 e E.7.4, as equipes revisam mensagens e ajustam pontos de instalação.</t>
  </si>
  <si>
    <t>- Auto‑observação
- Colaboração</t>
  </si>
  <si>
    <t>C.7.4 Analisar como os princípios da comunicação pode ajudar a construir futuros melhores para todos.
E.7.4 Avaliar o próprio engajamento com as necessidades e demandas do seu entorno.</t>
  </si>
  <si>
    <t xml:space="preserve">Convivência
Planejamento
</t>
  </si>
  <si>
    <t xml:space="preserve">- Utilizar os princípios da comunicação não violenta para expressar-se com respeito, empatia e assertividade.
- Definir objetivos de curto e médio prazo em diferentes áreas da vida, utilizando estratégias e ferramentas para alcançá-los.
</t>
  </si>
  <si>
    <t>Áudio‑guia no ar — instalação, lançamento e plano de acompanhamento
A aula propõe instalar QRs/plaquetas (ou divulgar links), apresentar o áudio‑guia à comunidade escolar e pactuar o monitoramento (quem repõe, quem mede, quando revisa). Para mobilizar C.7.4, P.7.4 e E.7.4, os estudantes conduzem o lançamento e registram próximos passos com base em indicadores.</t>
  </si>
  <si>
    <t>- A forma como eu falo com os outros me ajuda ou me atrapalha?
- Como posso me organizar para realizar de fato meus objetivos?</t>
  </si>
  <si>
    <t>- Responsabilidade
- Organização e perseverança</t>
  </si>
  <si>
    <t>- Decidir
- Refletir
- Cuidar</t>
  </si>
  <si>
    <t xml:space="preserve">C.7.4 Analisar como os princípios da comunicação pode ajudar a construir futuros melhores para todos.
P.7.4 Avaliar a eficácia do planejamento realizado anteriormente.
</t>
  </si>
  <si>
    <t>Jogo de Piso “Caminhos do Futuro”
Encerrar o ano é ensaiar o próximo passo. Em vez de um roteiro silencioso, criamos um jogo vivo, jogável por outras turmas, que integra o que aprendemos ao longo do ciclo. Partimos do que será preciso cultivar para a transição: mapeamos lacunas e priorizamos habilidades necessárias para se tornarem quem desejam ser no Ensino Médio (AC.8.4 Analisar quais serão as habilidades necessárias para se tornarem quem desejam ser no Ensino Médio). Dessas escolhas nascem cartas-desafio do tabuleiro.
Na segunda dobra, escrevemos microcenários de empatia “antes/depois”, imaginando como acordos sensíveis mudam trajetórias (C.8.4 Compreender como a empatia pode ajudar a construir futuros melhores para todos). A terceira dobra convoca decisões éticas de médio prazo (estudo, tempo, redes), convertidas em cartas-decisão (TD.8.4 Usar valores éticos como critérios para tomar decisões para o futuro). Na quarta, desenhamos casas-imprevisto com planos B/C — porque o jogo da vida inclui desvios (P.8.4 Analisar possibilidades de imprevistos e frustrações no futuro). Por fim, criamos casas-contribuição, registrando ações factíveis de bem comum (E.8.4 Compreender o que pode fazer para contribuir com melhorias na sociedade).
Com as cartas prontas, prototipamos um tabuleiro no chão (fitas, folhas, giz), testamos regras simples (papéis, tempo, quando pedir ajuda a um adulto) e ajustamos jogabilidade, clareza e segurança. O fechamento é instalação e sessão pública: o jogo vira legado físico da turma para a escola — um convite para continuar decidindo com ética, planejando com resiliência e contribuindo com empatia.
Fio condutor: Manter o arco cartas em versão (v1 → teste → final), garantindo que cada aula gera material para o jogo. O Material Impresso guarda esboços e checklists; o produto final é o jogo instalado e jogado.
Produto: Jogo de Piso “Caminhos do Futuro” instalado + sessão pública de jogo (registro fotográfico/relato curto).
Roadmap do bimestre
A1 — Painel-alvo (AC.8.4): habilidades prioritárias → cartas-desafio (v1).
A2 — Microcenários de empatia (C.8.4): cartas-empatia (v1).
A3 — Decidir com ética (TD.8.4): cartas-decisão (v1).
A4 — Imprevistos e B/C (P.8.4): cartas-imprevisto (v1).
A5 — Contribuição social (E.8.4): cartas-contribuição (v1).
A6 — Instalar e jogar: Jogo de Piso + pactos de uso. (entrega final)</t>
  </si>
  <si>
    <t>Habilidades para o próximo ciclo — meu painel‑alvo (cartas do jogo)
A aula propõe mapear lacunas e selecionar habilidades estratégicas para o próximo ciclo. Para mobilizar AC.8.4, os estudantes constroem o painel‑alvo (v1) e esboçam "cartas‑desafio" do jogo ligadas a essas habilidades. Para tanto, será indispensável que essa aula apresente o projeto do bimestre.</t>
  </si>
  <si>
    <t>Quais habilidades ajudarão a me tornar o estudante de Ensino Médio que desejo ser?</t>
  </si>
  <si>
    <t>AC.8.4 Analisar quais serão as habilidades necessárias para se tornarem quem desejam ser no Ensino Médio.</t>
  </si>
  <si>
    <t>Empatia que projeta — microcenários ‘antes/depois’ (cartas)
A aula propõe estudar situações em que empatia gerou mudanças e criar "cartas‑empatia" com microcenários antes/depois. Para mobilizar C.8.4, a turma imagina como acordos empáticos moldam o cotidiano e o tabuleiro.</t>
  </si>
  <si>
    <t>C.8.4 Compreender como a empatia pode ajudar a construir futuros melhores para todos.</t>
  </si>
  <si>
    <t>Decidir com ética — casas‑decisão do tabuleiro (v1)
A aula propõe aplicar uma régua ética a decisões de médio prazo (estudo, tempo, redes) e escrever "cartas‑decisão" para o jogo. Para mobilizar TD.8.4, registram escolhas e justificativas curtas (v1).</t>
  </si>
  <si>
    <t>Como a ética pode estar presente nas decisões para o meu futuro?</t>
  </si>
  <si>
    <t>Coerência</t>
  </si>
  <si>
    <t>TD.8.4 Usar valores éticos como critérios para tomar decisões para o futuro.</t>
  </si>
  <si>
    <t>Planos B/C — casas‑imprevisto do tabuleiro (v1)
A aula propõe identificar riscos e combinar respostas com pares, escrevendo "cartas‑imprevisto" com planos B/C. Para mobilizar P.8.4, produzem cartas com passo a passo enxuto.</t>
  </si>
  <si>
    <t>O que pode acontecer de imprevisível e me frustrar no futuro?</t>
  </si>
  <si>
    <t>Previdência</t>
  </si>
  <si>
    <t>P.8.4 Analisar possibilidades de imprevistos e frustrações no futuro.</t>
  </si>
  <si>
    <t>Minha contribuição social — casas‑contribuição (v1)
A aula propõe escrever "cartas‑contribuição" com ações factíveis de bem comum. Para mobilizar E.8.4, registram propostas ligadas à escola/comunidade.</t>
  </si>
  <si>
    <t>O que posso fazer para tornar a sociedade melhor?</t>
  </si>
  <si>
    <t>Senso de responsabilidade social</t>
  </si>
  <si>
    <t>E.8.4 Compreender o que pode fazer para contribuir com melhorias na sociedade.</t>
  </si>
  <si>
    <t xml:space="preserve">
- Agir com empatia, sendo capaz de compreender as perspectivas e os sentimentos dos outros.
- Usar valores éticos como critérios para a tomada de decisão.
- Elaborar planos alternativos para lidar com imprevistos e frustrações sem perder de vista seus objetivos.
- Compreender seu papel na sociedade e as formas pelas quais pode contribuir para sua melhoria.</t>
  </si>
  <si>
    <t>Caminhos do Futuro — instalar e jogar!
A aula propõe instalar o "Jogo de Piso ‘Caminhos do Futuro’" no pátio/corredor, apresentar regras simples e promover uma sessão de jogo com outra turma/convidados. Registra pactos e próximos usos.</t>
  </si>
  <si>
    <t xml:space="preserve">
- O que aconteceria no mundo se as pessoas fossem mais empáticas?
- Como a ética pode estar presente nas decisões para o meu futuro?
- O que pode acontecer de imprevisível e me frustrar no futuro?
- O que posso fazer para tornar a sociedade melhor?</t>
  </si>
  <si>
    <t xml:space="preserve">
- Compromisso com o bem comum
- Coerência
- Previdência
- Senso de responsabilidade social</t>
  </si>
  <si>
    <t>- Decidir
- Transformar
- Refletir</t>
  </si>
  <si>
    <t>AC.8.4 Analisar quais serão as habilidades necessárias para se tornarem quem desejam ser no Ensino Médio.
C.8.4 Compreender como a empatia pode ajudar a construir futuros melhores para todos.
TD.8.4 Usar valores éticos como critérios para tomar decisões para o futuro.
E.8.4 Compreender o que pode fazer para contribuir com melhorias na sociedade.</t>
  </si>
  <si>
    <t>EFAF</t>
  </si>
  <si>
    <t>Quem quero ser no Ensino Médio: perfil, plano e território
Fechar o ciclo é deixar um rastro que ajude quem vem — inclusive nós mesmos — a seguir em frente. O projeto final combina prevenção, consideração, identidade, execução e contribuição.
Mapeamos fatores que podem fragilizar a vida no EM (AC.9.4) e projetamos como considerar o bem-estar dos outros em nossas decisões (C.9.4).
Nomeamos o perfil de adolescente que desejamos ser (TD.9.4) e desenhamos ferramentas de execução (P.9.4). O engajamento ganha corpo em ação no território (E.9.4)
e se amplia em melhorias nas quatro frentes: pessoal, familiar, escolar e comunitária (E.9.1/E.9.2/E.9.3/E.9.4). O resultado é público e pactuado.
Fio do projeto: do risco e cuidado (prevenir) → para o impacto nas decisões (considerar) → para o manifesto de perfil (assumir) → para as rotinas e monitoramento (executar) →
para o Projeto Legado (contribuir) → para as quatro frentes (ampliar) → para a Carta e a mostra final (pactuar).
Produto: Projeto Legado da Turma (intervenção no território) + Carta de Perfil e Compromisso com o Território (apresentação pública).
Roadmap:
A1 mapa de riscos (AC.9.4, v1)
A2 matriz decisão→impactos (C.9.4, v1)
A3 manifesto de perfil (TD.9.4, v1)
A4 plano de execução (P.9.4, v1) ·
A5 melhorias em quatro frentes (E.9.1/E.9.2/E.9.3/E.9.4)
A6 Carta + mostra final (pactos).</t>
  </si>
  <si>
    <t>Olhar preventivo para o EM — mapa de riscos e respostas (v1)
A aula propõe mapear fatores de risco pessoais/contextuais e planejar respostas saudáveis. Para mobilizar AC.9.4, a turma produz mapas que alimentarão o ‘Projeto Legado’ e a Carta.</t>
  </si>
  <si>
    <t>O que pode me fragilizar em um futuro próximo?</t>
  </si>
  <si>
    <t>Consciência preventiva</t>
  </si>
  <si>
    <t>AC.9.4 Analisar fatores que podem fragilizar a vida durante o Ensino Médio.</t>
  </si>
  <si>
    <t>O bem-estar dos outros nas minhas decisões — matriz de impactos (v1)
A aula propõe analisar decisões típicas do EM e prever efeitos em colegas/família/comunidade. Para mobilizar C.9.4, os estudantes criam uma matriz decisão→impactos que guiará o ‘Projeto Legado’.</t>
  </si>
  <si>
    <t>As decisões que terei que tomar no Ensino Médio podem ter impacto no bem-estar dos outros?</t>
  </si>
  <si>
    <t>C.9.4 Projetar o que será importante fazer para considerar o bem-estar dos outros em suas decisões ao longo do Ensino Médio.</t>
  </si>
  <si>
    <t>Meu perfil no EM — manifesto (v1)
A aula propõe definir e argumentar o perfil de adolescente que desejo ser, alinhado a valores pessoais. Para mobilizar TD.9.4, os estudantes escrevem um manifesto curto (v1) que será peça central da Carta.</t>
  </si>
  <si>
    <t>TD.9.4 Decidir o perfil de adolescente que deseja ser no Ensino Médio.</t>
  </si>
  <si>
    <t>Ferramentas de execução — rotinas e monitoramento (v1)
A aula propõe criar rotina, ferramentas de monitoramento e marcos 30–60–90 dias. Para mobilizar P.9.4, os estudantes organizam um plano de execução (v1) que dialoga com o Projeto Legado.</t>
  </si>
  <si>
    <t>Como posso conquistar meus objetivos no Ensino Médio?</t>
  </si>
  <si>
    <t>P.9.4 Usar ferramentas para planejar a conquista de seus objetivos no Ensino Médio.</t>
  </si>
  <si>
    <t>Engajamento (síntese ampliada)</t>
  </si>
  <si>
    <t>Melhorias em quatro frentes — pessoal, familiar, escolar, comunitária
A aula propõe selecionar e executar microações nas quatro frentes e avaliar resultados. Para mobilizar E.9.1/E.9.2/E.9.3/E.9.4, a turma organiza um painel de ações e resultados que alimentará a Carta.</t>
  </si>
  <si>
    <t>Como posso melhorar a minha vida? / da minha família? / na minha escola?</t>
  </si>
  <si>
    <t>- Autonomia
- Corresponsabilidade
- Comprometimento com o bem comum</t>
  </si>
  <si>
    <t>- Decidir
- Cuidar
- Transformar</t>
  </si>
  <si>
    <t>E.9.1 Realizar melhorias na vida pessoal.
E.9.2 Realizar melhorias na vida familiar.
E.9.3 Realizar melhorias na vida escolar.
E.9.4 Realizar melhorias na comunidade.</t>
  </si>
  <si>
    <t>Síntese (mostra final)</t>
  </si>
  <si>
    <t>Carta de Perfil e Compromisso com o Território — apresentação pública
A aula propõe consolidar a "Carta" (mapa de riscos e cuidados; compromissos de consideração; manifesto; plano 30–60–90; melhorias realizadas) e apresentá-la com o "Projeto Legado" (evidências). Pactos são assinados por estudantes, famílias e escola.</t>
  </si>
  <si>
    <t>Coerência e compromisso</t>
  </si>
  <si>
    <t>Ano/Série</t>
  </si>
  <si>
    <t>Bimestre</t>
  </si>
  <si>
    <t>Semana</t>
  </si>
  <si>
    <t>Título GPS Semanal</t>
  </si>
  <si>
    <t>Aula</t>
  </si>
  <si>
    <t xml:space="preserve">Prática de linguagem </t>
  </si>
  <si>
    <t>Proposta</t>
  </si>
  <si>
    <t>Gênero textual</t>
  </si>
  <si>
    <t>Eixo Temático</t>
  </si>
  <si>
    <t>Sugestão 1</t>
  </si>
  <si>
    <t>Sugestão 2</t>
  </si>
  <si>
    <t>Sugestão 3</t>
  </si>
  <si>
    <t>Práticas pedagógicas</t>
  </si>
  <si>
    <t>Plataforma</t>
  </si>
  <si>
    <t>Objetivos de aprendizagem</t>
  </si>
  <si>
    <t>Objetos de conhecimento</t>
  </si>
  <si>
    <t>Habilidade - Código</t>
  </si>
  <si>
    <t>Habilidade - Texto</t>
  </si>
  <si>
    <t>Práticas de Leitura e Escrita do Bimestre | Elaboração do Projeto de Texto 1</t>
  </si>
  <si>
    <t>Leitura</t>
  </si>
  <si>
    <t>P1</t>
  </si>
  <si>
    <t xml:space="preserve">Notícia </t>
  </si>
  <si>
    <t>Histórias que a Escola Conta</t>
  </si>
  <si>
    <t>Harry Potter e a Pedra Filosofal</t>
  </si>
  <si>
    <t>Diário de um Banana: Rodrick é o Cara</t>
  </si>
  <si>
    <t>O Menino Maluquinho</t>
  </si>
  <si>
    <t>- Apresentação do eixo temático e da obra selecionada para o bimestre
- Predição guiada
- Leitura 
- Seleção de trechos relevantes (grifos na plataforma de leitura)</t>
  </si>
  <si>
    <t>Leia SP</t>
  </si>
  <si>
    <t>- Relacionar o tema bimestral à obra literária selecionada para o bimestre.
- Formular hipóteses sobre o enredo da obra literária utilizando a estratégia de predição guiada.</t>
  </si>
  <si>
    <t>- Reconstrução das condições de produção, circulação e recepção
- Adesão às práticas de leitura</t>
  </si>
  <si>
    <t>- EF69LP46
- EF69LP49</t>
  </si>
  <si>
    <t>- Participar de práticas de compartilhamento de leitura/recepção de obras literárias/manifestações artísticas, tecendo, quando possível, comentários de ordem estética e afetiva.
- Mostrar-se interessado e envolvido pela leitura de livros de literatura e por outras produções culturais do campo e receptivo a textos que rompam com seu universo de expectativas, que representem um desafio em relação às suas possibilidades atuais e suas experiências anteriores de leitura, apoiando-se nas marcas linguísticas, em seu conhecimento sobre os gêneros e a temática e nas orientações dadas pelo professor.</t>
  </si>
  <si>
    <t>Produção de textos</t>
  </si>
  <si>
    <t>- Definir 5W1H com base nas anotações de leitura
- Rascunhar pauta e possíveis manchetes
- Listar trechos da obra escolhida que servirão como “fontes”/aspas</t>
  </si>
  <si>
    <t>- Planejar notícia com título e informações essenciais (5W1H);
- Relacionar elementos da leitura da obra ao planejamento da produção.</t>
  </si>
  <si>
    <t>Estratégias de produção: planejamento de textos informativos</t>
  </si>
  <si>
    <t>EF67LP09</t>
  </si>
  <si>
    <t>Planejar notícia impressa e para circulação em outras mídias (rádio ou TV/vídeo), tendo em vista as condições de produção, do texto – objetivo, leitores/espectadores, veículos e mídia de circulação etc. –, a partir da escolha do fato a ser noticiado, do levantamento de dados e informações sobre o fato.</t>
  </si>
  <si>
    <t>Práticas de Leitura | Elaboração do rascunho</t>
  </si>
  <si>
    <r>
      <rPr>
        <rFont val="Arial"/>
        <color theme="1"/>
      </rPr>
      <t xml:space="preserve">- Leitura individual e compartilhada.
- Marcação de </t>
    </r>
    <r>
      <rPr>
        <rFont val="Arial"/>
        <i/>
        <color theme="1"/>
      </rPr>
      <t>quem</t>
    </r>
    <r>
      <rPr>
        <rFont val="Arial"/>
        <color theme="1"/>
      </rPr>
      <t xml:space="preserve">, </t>
    </r>
    <r>
      <rPr>
        <rFont val="Arial"/>
        <i/>
        <color theme="1"/>
      </rPr>
      <t xml:space="preserve">onde </t>
    </r>
    <r>
      <rPr>
        <rFont val="Arial"/>
        <color theme="1"/>
      </rPr>
      <t xml:space="preserve">e </t>
    </r>
    <r>
      <rPr>
        <rFont val="Arial"/>
        <i/>
        <color theme="1"/>
      </rPr>
      <t xml:space="preserve">quando </t>
    </r>
    <r>
      <rPr>
        <rFont val="Arial"/>
        <color theme="1"/>
      </rPr>
      <t>no texto</t>
    </r>
  </si>
  <si>
    <t>- Diferenciar um fato de uma opinião sobre ele.
- Reconhecer a forma composicional do gênero notícia, considerando o contexto de produção e o suporte.</t>
  </si>
  <si>
    <t>- Reconstrução do contexto de produção, circulação e recepção de textos 
- Caracterização do campo jornalístico e relação entre os gêneros em circulação, mídias e práticas da cultura digital</t>
  </si>
  <si>
    <t>- EF06LP01
- EF06LP01B
- EF06LP02</t>
  </si>
  <si>
    <t xml:space="preserve">- Identificar diferentes graus de (im)parcialidade advindos de escolhas linguístico-discursiva feitas pelo autor.
- Desenvolver atitude crítica frente aos textos jornalísticos.
- Conhecer as características dos diferentes gêneros jornalísticos (escritos, orais e multimodiais) e a relação com a situação comunicativa, o estilo e a finalidade dos gêneros em uso. </t>
  </si>
  <si>
    <r>
      <rPr>
        <rFont val="Arial"/>
        <color theme="1"/>
      </rPr>
      <t xml:space="preserve">- Escrita orientada do lide a partir do </t>
    </r>
    <r>
      <rPr>
        <rFont val="Arial"/>
        <i/>
        <color theme="1"/>
      </rPr>
      <t>quem</t>
    </r>
    <r>
      <rPr>
        <rFont val="Arial"/>
        <color theme="1"/>
      </rPr>
      <t xml:space="preserve">, </t>
    </r>
    <r>
      <rPr>
        <rFont val="Arial"/>
        <i/>
        <color theme="1"/>
      </rPr>
      <t xml:space="preserve">onde </t>
    </r>
    <r>
      <rPr>
        <rFont val="Arial"/>
        <color theme="1"/>
      </rPr>
      <t xml:space="preserve">e </t>
    </r>
    <r>
      <rPr>
        <rFont val="Arial"/>
        <i/>
        <color theme="1"/>
      </rPr>
      <t xml:space="preserve">quando </t>
    </r>
    <r>
      <rPr>
        <rFont val="Arial"/>
        <color theme="1"/>
      </rPr>
      <t>retirado da leitura
- Redigir o rascunho da redação</t>
    </r>
  </si>
  <si>
    <t>- Levantar dados relevantes, considerando as condições de produção que envolvem a circulação de textos.
- Planejar o texto, considerando a produção de roteiros e sínteses de informações.</t>
  </si>
  <si>
    <t>- Relação do texto com o contexto de produção e experimentação de papéis sociais 
- Construção composicional
- Estilo</t>
  </si>
  <si>
    <t>- EF69LP06
- EF69LP16B
- EF69LP17</t>
  </si>
  <si>
    <t>- Produzir notícias, fotodenúncias, fotorreportagens, reportagens, infográficos, podcasts noticiosos, entrevistas, cartas de leitor, comentários, artigos de opinião de interesse local ou global, textos de apresentação e apreciação de produção cultural (resenhas e outros gêneros textuais próprios das formas de expressão das culturas juvenis, em várias mídias).
- Utilizar as formas de composição dos gêneros textuais do campo jornalístico.
- Identificar recursos estilísticos e semióticos presentes em textos jornalísticos e publicitários.</t>
  </si>
  <si>
    <t>Práticas de Leitura | Versão final do Texto 1</t>
  </si>
  <si>
    <t>- Evocação de conhecimentos prévios  
- Leitura compartilhada
- Leitura individual
- Marcação de verbos que indicam tempo e ação</t>
  </si>
  <si>
    <t>- Identificar verbos que indicam pretérito e presente na narrativa lida.
- Compreender como os acontecimentos da história são organizados temporalmente.</t>
  </si>
  <si>
    <t>- Construção composicional
- Reconstrução da textualidade e compreensão dos efeitos de sentidos provocados pelos usos de recursos linguísticos e multissemióticos</t>
  </si>
  <si>
    <t>- EF69LP16A
- EF69LP47</t>
  </si>
  <si>
    <t>- Analisar as formas de composição dos gêneros textuais do campo jornalístico.
- Analisar, em textos narrativos ficcionais, as diferentes formas de composição próprias de cada gênero, os recursos coesivos que constroem a passagem do tempo e articulam suas partes, a escolha lexical típica de cada gênero para a caracterização dos cenários e dos personagens e os efeitos de sentido decorrentes dos tempos verbais, dos tipos de discurso, dos verbos de enunciação e das variedades linguísticas empregados. expressões conotativas e processos figurativos e do uso de recursos linguísticogramaticais próprios a cada gênero narrativo.</t>
  </si>
  <si>
    <t>- Revisão da versão final do texto
- Submissão da redação na plataforma</t>
  </si>
  <si>
    <t>Redação Paulista</t>
  </si>
  <si>
    <t>- Revisar o texto produzido, considerando os critérios de clareza, coesão e adequação ao gênero notícia.
- Editar a versão final com base nas características do gênero e nas condições de produção.
- Finalizar e publicar o texto na plataforma, respeitando os aspectos formais e editoriais da proposta.</t>
  </si>
  <si>
    <t xml:space="preserve">- Revisão/edição de texto informativo e opinativo
- Textualização, tendo em vista suas condições de produção, as características do gênero em questão, o estabelecimento de coesão, adequação à norma-padrão e o uso adequado de ferramentas de edição	</t>
  </si>
  <si>
    <t>- EF69LP08
- EF67LP10A</t>
  </si>
  <si>
    <t>- Revisar/editar o texto produzido, tendo em vista sua adequação ao contexto de produção, a mídia em questão, características do gênero, aspectos relativos à textualidade, a relação entre as diferentes semioses, a formatação e uso adequado das ferramentas de edição (de texto, foto, áudio e vídeo, dependendo do caso) e adequação à norma culta.
- Produzir notícia impressa e para TV, rádio e internet tendo em vista características do gênero, o estabelecimento adequado de coesão, os recursos de mídias disponíveis.</t>
  </si>
  <si>
    <t>Fluência Leitora | Devolutiva do Texto 1</t>
  </si>
  <si>
    <t>- Realização do Teste de Fluência Leitora
- Leitura individual</t>
  </si>
  <si>
    <t>- Ler em voz alta textos literários com fluência, entonação e ritmo adequados.
- Participar de práticas de leitura que favoreçam o desenvolvimento da autonomia leitora.</t>
  </si>
  <si>
    <t>Oralização</t>
  </si>
  <si>
    <t>EF69LP53</t>
  </si>
  <si>
    <t>Ler em voz alta textos literários diversos, bem como leituras orais capituladas (compartilhadas ou não com o professor) de livros, contar/recontar histórias tanto da tradição oral, quanto da tradição literária escrita, expressando a compreensão e interpretação do texto por meio de uma leitura ou fala expressiva e fluente, gravando essa leitura ou esse conto/reconto, seja para análise posterior.</t>
  </si>
  <si>
    <t>- Análise da devolutiva da correção
- Construção de quadro "O que está bom; O que preciso melhorar; O que vou fazer para melhorar."</t>
  </si>
  <si>
    <t>- Compreender os critérios utilizados na correção da produção textual. 
- Refletir sobre os aspectos positivos e os pontos de melhoria do texto produzido.
- Elaborar estratégias para aprimorar a escrita em futuras produções.</t>
  </si>
  <si>
    <t>Revisão/edição de texto informativo e opinativo</t>
  </si>
  <si>
    <t>EF69LP08</t>
  </si>
  <si>
    <t>Revisar/editar o texto produzido, tendo em vista sua adequação ao contexto de produção, a mídia em questão, características do gênero, aspectos relativos à textualidade, a relação entre as diferentes semioses, a formatação e uso adequado das ferramentas de edição (de texto, foto, áudio e vídeo, dependendo do caso) e adequação à norma culta.</t>
  </si>
  <si>
    <t>Práticas de Leitura | Elaboração do Projeto de Texto 2</t>
  </si>
  <si>
    <t>P2</t>
  </si>
  <si>
    <t>Conto</t>
  </si>
  <si>
    <t>- Resumo e discussão da leitura até agora
- Leitura individual
- Leitura compartilhada</t>
  </si>
  <si>
    <t>- Retomar e sintetizar a leitura do bimestre, reconstruindo a sequência de acontecimentos e identificando informações essenciais para a compreensão global da narrativa.
- Identificar e registrar recursos narrativos que intensificam os efeitos de sentido na leitura..</t>
  </si>
  <si>
    <t>Ficha de planejamento de personagem: nome, idade, um traço forte, objetivo e motivação</t>
  </si>
  <si>
    <t>N/A</t>
  </si>
  <si>
    <t>- Planejar narrativa considerando os elementos estruturais do gênero conto.
- Organizar ideias para construção de personagem, conflito e desfecho.</t>
  </si>
  <si>
    <t>- Consideração das condições de produção
- Estratégias de produção: planejamento, textualização e revisão/edição
- Construção da textualidade</t>
  </si>
  <si>
    <t>- EF69LP51
- EF67LP30</t>
  </si>
  <si>
    <t>- 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
- Criar narrativas ficcionais, tais como contos populares, contos de suspense, mistério, terror, humor, narrativas de enigma, crônicas, histórias em quadrinhos, dentre outros, que utilizem cenários e personagens realistas ou de fantasia, observando os elementos da estrutura narrativa próprios ao gênero pretendido, tais como enredo, personagens, tempo, espaço e narrador, utilizando tempos verbais adequados à narração de fatos passados, empregando conhecimentos sobre diferentes modos de se iniciar uma história e de inserir os discursos direto e indireto.</t>
  </si>
  <si>
    <t>Fluência Leitora | Elaboração do rascunho</t>
  </si>
  <si>
    <t>- Ações pedagógicas com o resultado do teste de Fluência Leitora
- Leitura compartilhada
- Leitura individual</t>
  </si>
  <si>
    <t>Utilizar estratégias de leitura para aprofundar a compreensão da obra.</t>
  </si>
  <si>
    <t>- Reconstrução das condições de produção, circulação e recepção
- Apreciação e réplica
- Estratégias de leitura</t>
  </si>
  <si>
    <t>- EF69LP46
- EF67LP28</t>
  </si>
  <si>
    <t>- Participar de práticas de compartilhamento de leitura/recepção de obras literárias/manifestações artísticas, tecendo, quando possível, comentários de ordem estética e afetiva.
- Ler e compreender – selecionando procedimentos e estratégias de leitura adequados a diferentes objetivos e levando em conta características dos gêneros e suportes –, romances infantojuvenis, contos populares, contos de terror, lendas brasileiras, indígenas e africanas, poemas, entre outros, expressando avaliação sobre o texto lido e estabelecendo preferências por gêneros, temas, autores.</t>
  </si>
  <si>
    <t xml:space="preserve">- Esqueleto do enredo em 5 passos: situação inicial/gancho, complicação, percurso, clímax, desfecho
- Redigir o rascunho de forma manuscrita a partir do esqueleto do enredo
</t>
  </si>
  <si>
    <t>- Produzir o rascunho de um conto com coerência narrativa e progressão textual.
- Aplicar os elementos estruturais do gênero conto na construção do texto.
- Manter o ponto de vista do protagonista ao longo da narrativa.</t>
  </si>
  <si>
    <t>Práticas de Leitura | Versão final do Texto 2</t>
  </si>
  <si>
    <t>- Paradas estratégicas (recapitular, inferir, visualizar)
- Leitura compartilhada
- Leitura individual</t>
  </si>
  <si>
    <t>- Utilizar estratégias de leitura para aprofundar a compreensão da obra ficcional. 
- Identificar elementos narrativos relevantes para a construção do conto. 
- Relacionar os trechos lidos à estrutura narrativa do texto produzido.</t>
  </si>
  <si>
    <t>- Revisar o texto produzido, considerando os critérios de clareza, coesão e adequação ao gênero conto. 
- Editar a versão final com base nas características do gênero e nas condições de produção. 
- Finalizar e publicar o texto na plataforma, respeitando os aspectos formais e editoriais da proposta.</t>
  </si>
  <si>
    <t>Práticas de Leitura | Devolutiva do Texto 2</t>
  </si>
  <si>
    <t>Ficha de leitura</t>
  </si>
  <si>
    <t>- Compartilhar impressões sobre a obra lida, reconhecendo aspectos marcantes da narrativa.
- Relacionar os elementos da leitura ao processo de produção textual desenvolvido ao longo do bimestre.
- Refletir sobre o percurso de leitura realizado, identificando avanços na compreensão e na fruição literária.</t>
  </si>
  <si>
    <t>- Reconstrução das condições de produção, circulação e recepção
- Apreciação e réplica</t>
  </si>
  <si>
    <t>- EF69LP44
- EF69LP46</t>
  </si>
  <si>
    <t>- Inferir a presença de valores sociais, culturais e humanos e de diferentes visões de mundo, em textos literários, reconhecendo nesses textos formas de estabelecer múltiplos olhares sobre as identidades, sociedades e culturas e considerando a autoria e o contexto social e histórico de sua produção.
- Participar de práticas de compartilhamento de leitura/recepção de obras literárias/manifestações artísticas, tecendo, quando possível, comentários de ordem estética e afetiva.</t>
  </si>
  <si>
    <t>P3</t>
  </si>
  <si>
    <t>Texto Narrativo</t>
  </si>
  <si>
    <t>Territórios da Imaginação</t>
  </si>
  <si>
    <t>O Pequeno Príncipe</t>
  </si>
  <si>
    <t>Alice no País das Maravilhas</t>
  </si>
  <si>
    <t>Peter Pan e Wendy</t>
  </si>
  <si>
    <t>- Ativação de conhecimentos prévios (schema activation, perguntas de aquecimento, como “o que você já sabe sobre...”)
- Leitura compartilhada
- Leitura individual</t>
  </si>
  <si>
    <t>- Ativar conhecimentos prévios sobre o universo narrativo da obra escolhida.
- Compreender os elementos iniciais da narrativa por meio da leitura compartilhada.
- Relacionar os trechos lidos ao planejamento da produção textual.</t>
  </si>
  <si>
    <t>Ficha de planejamento: quem é o protagonista; qual é o lugar distante e quem é o habitante; qual aventura o habitante conta; o que o protagonista aprende com essa história</t>
  </si>
  <si>
    <t>- Planejar narrativa com situação inicial, conflito, clímax e desfecho.
- Construir personagem com motivação clara e contexto de descoberta.
- Organizar os elementos do enredo em sequência lógica e coerente.
- Relacionar o aprendizado do protagonista à experiência vivida na narrativa.</t>
  </si>
  <si>
    <t>- 5min de recapitulação
- Leitura compartilhada
- Leitura individual
- Discussão sobre o que foi lido</t>
  </si>
  <si>
    <t>- Retomar os principais acontecimentos da obra lida.
- Compreender os elementos narrativos presentes na leitura.
- Relacionar os trechos lidos ao planejamento da produção textual.</t>
  </si>
  <si>
    <t>- Esqueleto de enredo: gancho, complicação, percurso, clímax/virada, desfecho
- Elaboração do rascunho</t>
  </si>
  <si>
    <t>- Produzir o rascunho de um texto narrativo com progressão e coerência.
- Aplicar os elementos estruturais do gênero na construção do enredo.
- Manter o ponto de vista do protagonista ao longo da narrativa.</t>
  </si>
  <si>
    <t>- Construção da textualidade
- Relação entre textos</t>
  </si>
  <si>
    <t>EF67LP30</t>
  </si>
  <si>
    <t>Criar narrativas ficcionais (contos, narrativas de enigma, crônicas, entre outros) que utilizem cenários e personagens realistas ou de fantasia, observando os elementos da estrutura narrativa próprios ao gênero pretendido, tais como enredo, personagens, tempo, espaço e narrador, utilizando tempos verbais adequados à narração de fatos passados, empregando conhecimentos sobre diferentes modos de se iniciar uma história e de inserir os discursos direto e indireto.</t>
  </si>
  <si>
    <t>- Recapitulação
- Leitura compartilhada
- Leitura individual
- Discussão sobre o que foi lido</t>
  </si>
  <si>
    <t>- Utilizar estratégias de leitura para aprofundar a compreensão da obra ficcional.
- Identificar elementos narrativos relevantes para a construção do texto.
- Relacionar os trechos lidos à estrutura narrativa do texto produzido.</t>
  </si>
  <si>
    <t>- Revisar o texto produzido, considerando os critérios de clareza, coesão e adequação ao gênero narrativo.
- Editar a versão final com base nas características do gênero e nas condições de produção.
- Finalizar e publicar o texto na plataforma, respeitando os aspectos formais e editoriais da proposta.</t>
  </si>
  <si>
    <t>- Consideração das condições de produção
- Estratégias de produção: planejamento, textualização e revisão/edição</t>
  </si>
  <si>
    <t>EF69LP51</t>
  </si>
  <si>
    <t>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t>
  </si>
  <si>
    <t>Práticas de Leitura e Escrita do Mês | Elaboração do Projeto de Texto 2</t>
  </si>
  <si>
    <t>P4</t>
  </si>
  <si>
    <t>Fábula</t>
  </si>
  <si>
    <t>- Mapa do gênero 
- Leitura compartilhada
- Leitura individual</t>
  </si>
  <si>
    <t>- Identificar a estrutura composicional da fábula.
- Relacionar os trechos lidos ao planejamento da produção textual.</t>
  </si>
  <si>
    <t xml:space="preserve">- Planejar narrativa considerando os elementos estruturais do gênero fábula.
- Esqueleto do </t>
  </si>
  <si>
    <t>- Planejar a redação de forma criativa e coerente ao tema.</t>
  </si>
  <si>
    <t xml:space="preserve">- Esqueleto da estrutura: título, personagens e moral
- Redigir o rascunho de forma manuscrita a partir do esqueleto do enredo
</t>
  </si>
  <si>
    <t>Produzir o rascunho de uma fábula com estrutura narrativa (situação inicial, conflito, desfecho e moral)</t>
  </si>
  <si>
    <t>- Recapitulação
- Predict and verify (antecipar o que virá e checar com evidências do texto. Exemplos: “eu acho que... Porque...”)
- Leitura compartilhada
- Leitura individual</t>
  </si>
  <si>
    <t>- Utilizar estratégias de leitura para aprofundar a compreensão da obra ficcional.
- Relacionar os trechos lidos à estrutura composicional do gênero trabalhado.</t>
  </si>
  <si>
    <t>- Revisar o texto produzido, considerando os critérios de clareza, coesão e adequação ao gênero fábula.
- Editar a versão final com base nas características do gênero e nas condições de produção.
- Finalizar e publicar o texto na plataforma, respeitando os aspectos formais e editoriais da proposta.</t>
  </si>
  <si>
    <t>- Reconstrução das condições de produção, circulação e recepção
- Apreciação e réplica</t>
  </si>
  <si>
    <t>P5</t>
  </si>
  <si>
    <t>Autobiografia</t>
  </si>
  <si>
    <t>Vidas que Inspiram</t>
  </si>
  <si>
    <t>O menino Nelson Mandela</t>
  </si>
  <si>
    <t>Malala: a menina que queria ir para a escola</t>
  </si>
  <si>
    <t>A Bailarina Fantasma</t>
  </si>
  <si>
    <t>- Ativar conhecimentos prévios sobre o tema da autobiografia.
- Compreender os elementos iniciais da narrativa autobiográfica.
- Relacionar os trechos lidos ao planejamento da produção textual.</t>
  </si>
  <si>
    <t>- Estratégias de leitura
- Apreciação e réplica</t>
  </si>
  <si>
    <t>EF67LP28</t>
  </si>
  <si>
    <t>Ler e compreender – selecionando procedimentos e estratégias de leitura adequados a diferentes objetivos e levando em conta características dos gêneros e suportes –, romances infantojuvenis, contos populares, contos de terror, lendas brasileiras, indígenas e africanas, poemas, entre outros, expressando avaliação sobre o texto lido e estabelecendo preferências por gêneros, temas, autores.</t>
  </si>
  <si>
    <t>- Ficha de planejamento: qual era o medo (situação real)
- Sinais no corpo/mente
- Estratégias usadas (respirar, treinar, pedir ajuda)
- Momento da decisão de encarar
- Resultado e aprendizado/valor</t>
  </si>
  <si>
    <t>- Planejar narrativa autobiográfica com situação inicial, conflito, clímax e desfecho.
- Organizar os elementos da experiência vivida em sequência lógica e coerente.
- Relacionar o aprendizado do protagonista à superação do medo.</t>
  </si>
  <si>
    <t>- Recapitulação
- Leitura compartilhada
- Leitura individual</t>
  </si>
  <si>
    <t>- Identificar marcas do gênero autobiográfico na obra lida.
- Relacionar os trechos lidos à construção da narrativa pessoal.
- Compreender como o relato de experiências pode revelar valores e aprendizados.</t>
  </si>
  <si>
    <t>- Reconstrução das condições de produção, circulação e recepção 
- Apreciação e réplica
- Estrategias de leitura</t>
  </si>
  <si>
    <t xml:space="preserve">- EF69LP44
- EF69LP46 
- EF67LP28 </t>
  </si>
  <si>
    <t>- Inferir a presença de valores sociais, culturais e humanos e de diferentes visões de mundo, em textos literários, reconhecendo nesses textos formas de estabelecer múltiplos olhares sobre as identidades, sociedades e culturas e considerando a autoria e o contexto social e histórico de sua produção.
- Participar de práticas de compartilhamento de leitura/recepção de obras literárias/manifestações artísticas, tecendo, quando possível, comentários de ordem estética e afetiva.
- Ler e compreender – selecionando procedimentos e estratégias de leitura adequados a diferentes objetivos e levando em conta características dos gêneros e suportes –, romances infantojuvenis, contos populares, contos de terror, lendas brasileiras, indígenas e africanas, poemas, entre outros, expressando avaliação sobre o texto lido e estabelecendo preferências por gêneros, temas, autores.</t>
  </si>
  <si>
    <t>- Esqueleto do texto em 4 partes: cena de medo, medo crescendo/estratégia usada, momento de encarar, reflexão final
- Elaboração do rascunho</t>
  </si>
  <si>
    <t>- Produzir o rascunho de uma autobiografia com progressão e coerência narrativa.
- Aplicar os elementos estruturais do gênero na construção do texto.
- Relatar uma experiência pessoal com foco na superação e no aprendizado.</t>
  </si>
  <si>
    <t>- Leitura com “paradas biográficas” (Que decisão o protagonista tomou aqui? Que valor isso revela? Que contexto externo pressionou/ajudou?)
- Leitura compartilhada
- Leitura individual</t>
  </si>
  <si>
    <t>- Compreender as decisões do protagonista e os valores revelados na narrativa.
- Relacionar os elementos da leitura ao planejamento da autobiografia.
- Desenvolver estratégias de leitura para apreender sentidos globais do texto.</t>
  </si>
  <si>
    <t>- Ler em voz alta textos literários com fluência, entonação e ritmo adequados;
- Participar de práticas de leitura que favoreçam o desenvolvimento da autonomia leitora.</t>
  </si>
  <si>
    <t>P6</t>
  </si>
  <si>
    <t>- Quadro de termos-alvo (3-5 no máximo): exibir na lousa e pedir previsões (“O que você já sabe/imagina?”)
- Leitura compartilhada
- Leitura individual</t>
  </si>
  <si>
    <t>Ativar conhecimentos prévios sobre o tema da obra selecionada.</t>
  </si>
  <si>
    <t>- Reconstrução das condições de produção e recepção dos textos e adequação do texto à construção composicional e ao estilo de gênero
- Estratégias de leitura
- Apreciação e réplica</t>
  </si>
  <si>
    <t>- Mapa do gênero conto
- Leitura compartilhada
- Leitura individual</t>
  </si>
  <si>
    <t>- Planejar o conto
- Ativar conhecimentos prévios sobre o tema do conto</t>
  </si>
  <si>
    <t xml:space="preserve">Esqueleto da redação: seleção e organização de ideias em começo, meio e fim. Personagens, tempo, espaço, enredo. </t>
  </si>
  <si>
    <t>Produzir o rascunho de um conto com estrutura narrativa</t>
  </si>
  <si>
    <t>- Leitura compartilhada
- Discussão sobre cenas marcantes da vida do personagem e as lições aprendidas</t>
  </si>
  <si>
    <t>- Revisar o texto produzido, considerando os critérios de clareza, coesão e adequação ao gênero.
- Editar a versão final com base nas características do gênero e nas condições de produção.
- Finalizar e publicar o texto na plataforma, respeitando os aspectos formais e editoriais da proposta.</t>
  </si>
  <si>
    <t>P7</t>
  </si>
  <si>
    <t>Texto Narrativo (releitura)</t>
  </si>
  <si>
    <t>A Aventura de Ser Diferente</t>
  </si>
  <si>
    <t>O Pequeno Príncipe Preto</t>
  </si>
  <si>
    <t>Ninguém é igual a ninguém</t>
  </si>
  <si>
    <t>Alice através do espelho</t>
  </si>
  <si>
    <t>- Predição guiada (Pelo título/capa, eu acho que... Porque...)
- Leitura individual
- Leitura compartilhada</t>
  </si>
  <si>
    <t>Ficha de planejamento: protagonista (nome + desejo), conflito, cenário da feira, escolha do personagem e “regra” para ter o sonho realizado (ex: é preciso fazer algo bom para alguém antes), ponto de virada, clímax e desfecho</t>
  </si>
  <si>
    <t>- Predição com imagens e palavras-âncora
- Leitura compartilhada
- Leitura individual</t>
  </si>
  <si>
    <t>- Utilizar estratégias de leitura para antecipar e verificar informações na narrativa.
- Identificar elementos simbólicos e temáticos presentes na obra.
- Relacionar os trechos lidos à construção do enredo e dos personagens.</t>
  </si>
  <si>
    <t>- Esqueleto do enredo: gancho (chegada à feira), exploração das barracas de sonhos, explicando a “regra”, complicação (tentação de pegar um sonho grande “só meu”), clímax, desfecho
- Elaboração do rascunho</t>
  </si>
  <si>
    <t>- Produzir o rascunho de uma narrativa com progressão e coerência.
- Aplicar os elementos estruturais do gênero na construção do texto.
- Manter o ponto de vista do protagonista ao longo da narrativa.</t>
  </si>
  <si>
    <t>- Leitura e interpretação das imagens e ilustrações do livro
- Discussão sobre os símbolos presentes</t>
  </si>
  <si>
    <t>- Compreender os elementos simbólicos presentes na obra lida.
- Relacionar os símbolos visuais à construção do enredo e dos personagens.
- Desenvolver estratégias de leitura que integrem texto verbal e não verbal.</t>
  </si>
  <si>
    <t>- Apreciação e réplica
- Estrategias de leitura</t>
  </si>
  <si>
    <t xml:space="preserve">- EF69LP46 
- EF69LP47
- EF67LP28 </t>
  </si>
  <si>
    <t>- Participar de práticas de compartilhamento de leitura/recepção de obras literárias/manifestações artísticas, tecendo, quando possível, comentários de ordem estética e afetiva.
- Analisar, em textos narrativos ficcionais, as diferentes formas de composição próprias de cada gênero, os recursos coesivos que constroem a passagem do tempo e articulam suas partes, a escolha lexical típica de cada gênero para a caracterização dos cenários e dos personagens e os efeitos de sentido decorrentes dos tempos verbais, dos tipos de discurso, dos verbos de enunciação e das variedades linguísticas empregados. expressões conotativas e processos figurativos e do uso de recursos linguísticogramaticais próprios a cada gênero narrativo.
- Ler e compreender – selecionando procedimentos e estratégias de leitura adequados a diferentes objetivos e levando em conta características dos gêneros e suportes –, romances infantojuvenis, contos populares, contos de terror, lendas brasileiras, indígenas e africanas, poemas, entre outros, expressando avaliação sobre o texto lido e estabelecendo preferências por gêneros, temas, autores.</t>
  </si>
  <si>
    <t>P8</t>
  </si>
  <si>
    <t>Conto popular</t>
  </si>
  <si>
    <t>- Leitura compartilhada
- Leitura individual
- Escolha de citações ou trechos marcantes (cada estudante marca um trecho que chamou atenção)
- Discussão sobre o que foi marcado</t>
  </si>
  <si>
    <t>Identificar trechos significativos que dialogam com o tema da proposta de redação.</t>
  </si>
  <si>
    <t xml:space="preserve">- Reconstrução das condições de produção, circulação e recepção
- Apreciação e réplica
- Estratégias de leitura
</t>
  </si>
  <si>
    <t>- EF69LP44
- EF67LP28</t>
  </si>
  <si>
    <t>-  Inferir a presença de valores sociais, culturais e humanos e de diferentes visões de mundo, em textos literários, reconhecendo nesses textos formas de estabelecer múltiplos olhares sobre as identidades, sociedades e culturas e considerando a autoria e o contexto social e histórico de sua produção.
- Ler e compreender – selecionando procedimentos e estratégias de leitura adequados a diferentes objetivos e levando em conta características dos gêneros e suportes –, romances infantojuvenis, contos populares, contos de terror, lendas brasileiras, indígenas e africanas, poemas, entre outros, expressando avaliação sobre o texto lido e estabelecendo preferências por gêneros, temas, autores.</t>
  </si>
  <si>
    <t>- Ativação de conhecimentos prévios
- Esqueleto da estrutura</t>
  </si>
  <si>
    <t>- Planejar conto popular com estrutura narrativa.
- Organizar ideias com base em ativação de conhecimentos prévios sobre o tema proposto.</t>
  </si>
  <si>
    <t>- Construção da textualidade 
- Relação entre textos</t>
  </si>
  <si>
    <t>- EF67LP30</t>
  </si>
  <si>
    <t>- Criar narrativas ficcionais (contos, narrativas de enigma, crônicas,  entre outros) que utilizem cenários e personagens realistas ou de fantasia, observando os elementos da estrutura narrativa próprios ao gênero pretendido, tais como enredo, personagens, tempo, espaço e narrador, utilizando tempos verbais adequados à narração de fatos passados, empregando conhecimentos sobre diferentes modos de se iniciar uma história e de inserir os discursos direto e indireto.</t>
  </si>
  <si>
    <t>Produção do rascunho a partir do esqueleto da estrutura</t>
  </si>
  <si>
    <t>Produzir o rascunho de um conto popular com estrutura narrativa</t>
  </si>
  <si>
    <t>- Leitura individual
- Ficha de leitura</t>
  </si>
  <si>
    <t>- Revisar o texto produzido, considerando os critérios de clareza, coesão e adequação ao gênero comentário.
- Editar a versão final com base nas características do gênero e nas condições de produção.
- Finalizar e publicar o texto na plataforma, respeitando os aspectos formais e editoriais da proposta.</t>
  </si>
  <si>
    <t>Discussão em sala sobre o componente durante o ano: livro mais querido, o que mais marcou, o que menos marcou, como os estudantes percebem a evolução textual deles</t>
  </si>
  <si>
    <t>- Refletir sobre o percurso de leitura e escrita ao longo do ano.
- Reconhecer avanços individuais na produção textual.
- Compartilhar percepções sobre as obras lidas, os gêneros trabalhados e os textos produzidos.</t>
  </si>
  <si>
    <t>Notícia</t>
  </si>
  <si>
    <t>Saberes que Transformam</t>
  </si>
  <si>
    <t>O Karaíba</t>
  </si>
  <si>
    <t>A vida não é útil</t>
  </si>
  <si>
    <t>Tupã Tenondé</t>
  </si>
  <si>
    <t>- Apresentação do eixo temático e da obra selecionada para o bimestre
- Leitura individual
- Marcação de quem, onde e quando no texto (grifos na plataforma)</t>
  </si>
  <si>
    <t>- Explorar o tema bimestral a partir da apresentação da obra selecionada pelo professor.
- Relacionar a proposta de produção 1 à obra selecionada para o bimestre.</t>
  </si>
  <si>
    <t>- Evocação de conhecimentos prévios (5 min)
- Leitura compartilhada
- Leitura individual
- Marcação de verbos que indicam tempo e ação</t>
  </si>
  <si>
    <t>- Ativar conhecimentos prévios para compreender o texto.
- Identificar verbos que indicam tempo e ação na narrativa lida.
- Compreender como os acontecimentos da história são organizados temporalmente.</t>
  </si>
  <si>
    <t>- Escrita orientada do lide a partir do 5W1H
- Redigir o rascunho da redação</t>
  </si>
  <si>
    <t>- Planejar notícia com título e informações essenciais (5W1H).
 - Redigir o lide e o corpo da notícia com clareza e objetividade.
 - Revisar a versão final considerando coesão e adequação ao gênero.</t>
  </si>
  <si>
    <t>- Leitura
- Discussão em sala sobre o que foi lido até agora, trazendo conexões com temas contemporâneos (sugestão: trazer notícias reais de jornais, revistas e portais sobre temáticas que dialoguem com o livro)</t>
  </si>
  <si>
    <t>- Compreender os principais acontecimentos da obra lida e relacioná-los ao tema da proposta.
- Estabelecer conexões entre a leitura e temas contemporâneos discutidos em sala.</t>
  </si>
  <si>
    <t>- Reconstrução das condições de produção, circulação e recepção 
- Apreciação e réplica
- Adesão às práticas de leitura</t>
  </si>
  <si>
    <t>- EF69LP44
- EF69LP46
- EF69LP49</t>
  </si>
  <si>
    <t>- Inferir a presença de valores sociais, culturais e humanos e de diferentes visões de mundo, em textos literários, reconhecendo nesses textos formas de estabelecer múltiplos olhares sobre as identidades, sociedades e culturas e considerando a autoria e o contexto social e histórico de sua produção.
 - Participar de práticas de compartilhamento de leitura/recepção de obras literárias/ manifestações artísticas, como rodas de leitura, clubes de leitura, eventos de contação de histórias, de leituras dramáticas, de apresentações teatrais, musicais e de filmes, cineclubes, festivais de vídeo, saraus, slams, canais de booktubers, redes sociais temáticas (de leitores, de cinéfilos, de música etc.), dentre outros, tecendo, quando possível, comentários de ordem estética e afetiva e justificando suas apreciações, escrevendo comentários e resenhas para jornais, blogs e redes sociais e utilizando formas de expressão das culturas juvenis, tais como, vlogs e podcasts culturais (literatura, cinema, teatro, música), playlists comentadas, fanfics, fanzines, e-zines, fanvídeos, fanclipes, posts em fanpages, trailer honesto, vídeo-minuto, dentre outras possibilidades de práticas de apreciação e de manifestação da cultura de fãs.
 - Mostrar-se interessado e envolvido pela leitura de livros de literatura e por outras produções culturais do campo e receptivo a textos que rompam com seu universo de expectativas, que representem um desafio em relação às suas possibilidades atuais e suas experiências anteriores de leitura, apoiando-se nas marcas linguísticas, em seu conhecimento sobre os gêneros e a temática e nas orientações dadas pelo professor.</t>
  </si>
  <si>
    <t>Práticas de Leitura | Devolutiva do Texto 1</t>
  </si>
  <si>
    <t>- Destacar citações/trechos que chamem atenção (início da aula)
- Leitura individual
- leitura compartilhada
- Leitura e discussão sobre trechos destacados</t>
  </si>
  <si>
    <t>- Compartilhar impressões sobre trechos lidos, reconhecendo aspectos relevantes da narrativa.
- Refletir sobre o percurso de leitura realizado, identificando avanços na compreensão.</t>
  </si>
  <si>
    <t>- EF69LP08</t>
  </si>
  <si>
    <t>- Revisar/editar o texto produzido, tendo em vista sua adequação ao contexto de produção, a mídia em questão, características do gênero, aspectos relativos à textualidade, a relação entre as diferentes semioses, a formatação e uso adequado das ferramentas de edição (de texto, foto, áudio e vídeo, dependendo do caso) e adequação à norma culta.</t>
  </si>
  <si>
    <t>Biografia</t>
  </si>
  <si>
    <t>- Instrução no início da aula: vocabulário por contexto (marcar termos do livro, inferir significado pelo contexto e registrar)
- leitura compartilhada
- Leitura individual</t>
  </si>
  <si>
    <t>- Ativar conhecimentos prévios sobre o tema da biografia para apoiar a compreensão da leitura.
- Identificar vocabulário pelo contexto, registrando termos relevantes para a proposta de escrita.</t>
  </si>
  <si>
    <t>- Planejamento e pesquisa
- Definição de foco ("quem é + por que essa história de vida importa agora?": Tema/ângulo, memória, território, legado)
- Roteiro de entrevistas abertas e não sugestionadas (origem, marcos de vida, viradas, pessoas-chave, lugares)</t>
  </si>
  <si>
    <t>- Planejar a escrita de uma biografia, organizando informações sobre o biografado e definindo um foco narrativo.
- Estruturar o roteiro do texto a partir de perguntas-guia.</t>
  </si>
  <si>
    <t>- Retrieval practice: recapitulação do que foi lido até agora e lições aprendidas
- Leitura compartilhada</t>
  </si>
  <si>
    <t>- Recapitular informações lidas para consolidar compreensão global da obra.
- Inferir lições e valores presentes na narrativa, relacionando-os à proposta de escrita.</t>
  </si>
  <si>
    <t>- Planejamento e organização do material: linha do tempo (3-5 marcos: infância/origem, conquistas/desafios)
- Organização em parágrafos
- Redigir o rascunho da redação</t>
  </si>
  <si>
    <t>- Desenvolver a produção escrita considerando as características do gênero e as condições de produção.
- Revisar o texto visando clareza, coesão e adequação ao gênero.</t>
  </si>
  <si>
    <t>- Instrução no início da aula: destacar citações/trechos que chamem atenção
- Leitura individual
- Leitura compartilhada
- Discussão em sala sobre o que foi lido até agora, trazendo conexões com temas e acontecimentos contemporâneos</t>
  </si>
  <si>
    <t>- Selecionar citações ou trechos marcantes que evidenciem aspectos relevantes da vida do personagem.
- Relacionar elementos da leitura à construção da narrativa biográfica.</t>
  </si>
  <si>
    <t>- Leitura compartilhada até o final do livro (ou o mais próximo possível disso)
- Discussões sobre considerações finais a respeito do livro</t>
  </si>
  <si>
    <t>- Compartilhar impressões sobre a obra lida, reconhecendo valores e aprendizados presentes na narrativa.
- Refletir sobre o percurso de leitura realizado, identificando avanços na compreensão.</t>
  </si>
  <si>
    <t>Crônica</t>
  </si>
  <si>
    <t>Os Encantos da Coragem</t>
  </si>
  <si>
    <t>Harry Potter e a Câmara Secreta</t>
  </si>
  <si>
    <t>As Aventuras de Mike</t>
  </si>
  <si>
    <t>A Droga da Obediência</t>
  </si>
  <si>
    <t>- Retrieval practice (ex: recapitulação do primeiro livro de Harry Potter para quem leu e contextualização para quem não leu)
- Predição guiada (Pelo título/capa, eu acho que... Porque...)
- Leitura compartilhada</t>
  </si>
  <si>
    <t>- Ativar conhecimentos prévios sobre a obra para apoiar a compreensão da leitura.
- Utilizar estratégias de predição para antecipar conteúdos e verificar hipóteses durante a leitura.</t>
  </si>
  <si>
    <t>Ficha de planejamento</t>
  </si>
  <si>
    <t>- Planejar crônica com estrutura narrativa definida. 
- Organizar elementos do enredo em sequência coerente.</t>
  </si>
  <si>
    <t>- Construção da textualidade 
- Relação entre textos
- Consideração das condições de produção 
- Estratégias de produção: planejamento, textualização e revisão/edição</t>
  </si>
  <si>
    <t>- EF67LP30
- EF69LP51</t>
  </si>
  <si>
    <t>-  Criar narrativas ficcionais (contos, narrativas de enigma, crônicas,  entre outros) que utilizem cenários e personagens realistas ou de fantasia, observando os elementos da estrutura narrativa próprios ao gênero pretendido, tais como enredo, personagens, tempo, espaço e narrador, utilizando tempos verbais adequados à narração de fatos passados, empregando conhecimentos sobre diferentes modos de se iniciar uma história e de inserir os discursos direto e indireto.
- 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t>
  </si>
  <si>
    <t>- KWL (Know-Want-Learned): liste o que sei / o que quero saber da história / o que aprendi
- Leitura compartilhada
- Leitura individual</t>
  </si>
  <si>
    <t>- Organizar conhecimentos prévios e expectativas sobre a obra por meio da estratégia KWL.
- Compreender informações relevantes do texto, relacionando-as à proposta de produção.</t>
  </si>
  <si>
    <t>Esqueleto do enredo em 5 passos (situação inicial/gancho, complicação, percurso, clímax, desfecho)</t>
  </si>
  <si>
    <t>- Produzir rascunho da crônica com estrutura narrativa definida. 
- Aplicar elementos do enredo na construção do texto. 
- Garantir progressão textual e coerência narrativa.</t>
  </si>
  <si>
    <t>- Leitura compartilhada</t>
  </si>
  <si>
    <t>- Compartilhar impressões sobre os trechos lidos, destacando informações relevantes para a proposta.
- Relacionar a leitura à compreensão das estratégias persuasivas presentes no texto.</t>
  </si>
  <si>
    <t>- Revisar a versão final do texto considerando clareza, coesão e adequação ao gênero.
- Editar o texto com base nas características do gênero e nas condições de produção.</t>
  </si>
  <si>
    <t>- Apreciação e réplica
- Relação entre gêneros e mídias
- Estilo
- Produção e edição de textos publicitários</t>
  </si>
  <si>
    <t>- EF69LP02A
- EF69LP02B
- EF69LP17
- EF67LP13</t>
  </si>
  <si>
    <t>- Analisar peças publicitárias variadas.
- Comparar peças publicitárias variadas.
- Identificar recursos estilísticos e semióticos presentes em
textos jornalísticos e publicitários.
- Produzir, revisar e editar textos publicitários, levando em conta o contexto de produção, por meio da exploração de recursos multissemióticos, relacionando elementos verbais e visuais, utilizando adequadamente estratégias discursivas de persuasão e/ou convencimento, criando título ou slogan que façam o leitor motivar-se a interagir com o texto produzido e se sinta atraído pelo serviço, ideia ou produto em questão.</t>
  </si>
  <si>
    <t>- Discussão em sala sobre o que foi lido até agora
- Predict and verify (previsão de ideia/conteúdo)
- Leitura compartilhadal
- Verificação da predição</t>
  </si>
  <si>
    <t>- Refletir sobre os trechos lidos, verificando hipóteses formuladas durante a leitura.
- Reconhecer estratégias linguísticas que contribuem para a construção de sentido no texto.</t>
  </si>
  <si>
    <t>Resenha</t>
  </si>
  <si>
    <t>- Instrução no início da aula: destacar citações/trechos que chamem atenção
- Leitura e discussão sobre trechos destacados</t>
  </si>
  <si>
    <t>- Identificar trechos significativos do texto.
- Justificar a escolha dos trechos selecionados.
- Compartilhar percepções sobre o texto em discussão coletiva.
- Analisar o efeito de sentido dos trechos destacados.</t>
  </si>
  <si>
    <t>Esqueleto do texto</t>
  </si>
  <si>
    <t>- Consideração das condições de produção 
- Estratégias de produção: planejamento, textualização e revisão/edição
- Estratégias de produção: planejamento de textos argumentativos e apreciativos</t>
  </si>
  <si>
    <t>- EF69LP51
- EF67LP11</t>
  </si>
  <si>
    <t xml:space="preserve">- 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
- Planejar resenhas, vlogs, vídeos e podcasts variados, textos e vídeos de apresentação e apreciação próprios das culturas juvenis tendo em vista as condições de produção do texto – objetivo, leitores/espectadores, veículos e mídia de circulação, entre outros. </t>
  </si>
  <si>
    <t>- Discussão em sala sobre o que foi lido até agora
- Predict and verify (previsão de ideia/conteúdo)
- Leitura compartilhada
- Leitura individual
- Verificação da predição</t>
  </si>
  <si>
    <t>- Formular hipóteses sobre o desenvolvimento da narrativa.
- Verificar a pertinência das hipóteses ao prosseguir a leitura.
- Ajustar interpretações com base nas novas informações do texto.</t>
  </si>
  <si>
    <t>- Seleção das ideias a partir do esqueleto do texto e organização em parágrafos
- Elaboração da versão inicial do texto</t>
  </si>
  <si>
    <t>- Produzir o rascunho da resenha.
- Aplicar os elementos estruturais do gênero resenha na construção do texto.</t>
  </si>
  <si>
    <t>- Consideração das condições de produção 
- Estratégias de produção: planejamento, textualização e revisão/edição
- Textualização de textos argumentativos e apreciativoss</t>
  </si>
  <si>
    <t>- EF69LP51
- EF67LP12</t>
  </si>
  <si>
    <t>- 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
- Produzir resenhas críticas, vlogs, vídeos, podcasts variados e produções e gêneros próprios das culturas juvenis (fanzines, fanclipes, e-zines, gameplay, detonado, entre outros) que apresentem/descrevam e/ou avaliem produções culturais, tendo em vista o contexto de produção dado, as características do gênero, os recursos das mídias envolvidas e a textualização adequada dos textos e/ ou produções.</t>
  </si>
  <si>
    <t>- Prever acontecimentos ou ideias do texto.
- Confrontar previsões com evidências textuais.
- Corrigir interpretações iniciais quando necessário.</t>
  </si>
  <si>
    <t>- 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t>
  </si>
  <si>
    <t>- Apreciar globalmente a obra.
- Avaliar a construção narrativa e temas centrais.
- Expressar opiniões fundamentadas sobre o livro.</t>
  </si>
  <si>
    <t>Conto de suspense</t>
  </si>
  <si>
    <t>Aparências e Mistérios</t>
  </si>
  <si>
    <t>Diário de um Banana: A Gota D'Água</t>
  </si>
  <si>
    <t>Aventura na Mina da Passagem</t>
  </si>
  <si>
    <t>O Mistério do 5 Estrelas</t>
  </si>
  <si>
    <t>- Predição guiada (Pelo título/capa, eu acho que... Porque...)
- Leitura compartilhada
- Leitura individual</t>
  </si>
  <si>
    <t>- Ativar conhecimentos prévios sobre temas possíveis da obra.
- Formular expectativas com base em elementos paratextuais.
- Comparar expectativas com informações fornecidas pelo texto.</t>
  </si>
  <si>
    <t>- Retomada das características de um conto de suspense.
- Esqueleto do enredo</t>
  </si>
  <si>
    <t xml:space="preserve">Planejar a produção textual considerando as características do gênero conto de suspense.
</t>
  </si>
  <si>
    <t>- Instrução no início da aula: vocabulário por contexto (marcar termos do livro, inferir significado pelo contexto e registrar)
- Leitura compartilhada
- Leitura individual</t>
  </si>
  <si>
    <t>- Identificar palavras desconhecidas durante a leitura.
- Inferir significados pelo contexto.
- Registrar vocabulário novo em lista ou caderno.</t>
  </si>
  <si>
    <t>Esqueleto da redação: seleção e organização de ideias em começo, meio e fim. Personagens, tempo, espaço, enredo. Primeira versão do texto</t>
  </si>
  <si>
    <t>- Produzir o rascunho de um conto de suspense com coerência narrativa e progressão textual.
- Aplicar os elementos estruturais do gênero conto na construção do texto.</t>
  </si>
  <si>
    <t>- Leitura compartilhada
- Leitura individual
- Marcação de frases/trechos/momentos marcantes e discussão com a turma</t>
  </si>
  <si>
    <t>- Selecionar passagens relevantes da narrativa.
- Interpretar o efeito desses trechos no enredo.
- Relacionar as escolhas aos temas centrais da obra.
- Compartilhar interpretações com a turma.</t>
  </si>
  <si>
    <t>- Discussão em sala sobre o que foi lido até agora
- Predict and verify (previsão de ideia/conteúdo)
- Leitura compartilhada
- Verificação da predição</t>
  </si>
  <si>
    <t>- Elaborar predições antes da leitura.
- Confirmar ou refutar predições durante a leitura.
- Explicar as relações entre predições e informações textuais.</t>
  </si>
  <si>
    <t>Postagem em blog</t>
  </si>
  <si>
    <t>- Instrução no início da aula: destacar citações/trechos que tragam linguagem informal (obs: explicar o que é linguagem informal)
- Leitura individual
- Leitura compartilhada
- Leitura e discussão sobre trechos destacados</t>
  </si>
  <si>
    <t>- Diferenciar os registros formal e informal da língua, compreendendo os contextos de uso e a adequação linguística em textos narrativos.
- Identificar marcas de oralidade e informalidade (como gírias, contrações e expressões regionais) em trechos selecionados da leitura.
- Analisar o efeito de sentido provocado pelo uso da linguagem informal na caracterização dos personagens e na construção da voz narrativa.
- Selecionar e comentar evidências textuais que demonstrem a relação entre a fala dos personagens e sua identidade social ou cultural.</t>
  </si>
  <si>
    <t>- Planejamento do texto: definir o problema, inserir um relato pessoal, dar 3 estratégias (reagir, pedir ajuda, redefinir) e incluir um minirroteiro de conversa com adulto de confiança</t>
  </si>
  <si>
    <t>- Definir o problema central do texto.
- Inserir um relato pessoal relacionado ao tema.
- Desenvolver três estratégias de enfrentamento.
- Produzir um minirroteiro de diálogo.
- Elaborar o rascunho do texto.
- Completar a versão preliminar com as estratégias planejadas.</t>
  </si>
  <si>
    <t>Textualização</t>
  </si>
  <si>
    <t>EF69LP07A</t>
  </si>
  <si>
    <t>Utilizar estratégias de planejamento, elaboração, revisão, edição, reescrita/redesign e avaliação de textos.</t>
  </si>
  <si>
    <t>- Sintetizar os principais acontecimentos lidos até o momento, estabelecendo conexões lógicas entre a parte já conhecida e a nova etapa da leitura.
- Formular hipóteses sobre o conteúdo e os desdobramentos da narrativa (Predict), utilizando pistas textuais e conhecimentos prévios como base.
- Validar ou reformular as previsões feitas inicialmente (Verify) por meio da localização de evidências durante a leitura compartilhada e individual.</t>
  </si>
  <si>
    <t>- Rascunho do texto: finalizar estratégias e minirroteiro</t>
  </si>
  <si>
    <t>- Finalizar o minirroteiro do texto com base nos elementos essenciais do gênero.
- Finalizar as estratégias de organização textual necessárias à produção escrita.</t>
  </si>
  <si>
    <t>- Textualização
- Variação linguística</t>
  </si>
  <si>
    <t>- EF69LP07A
- EF69LP07B
- EF69LP56</t>
  </si>
  <si>
    <t>- Utilizar estratégias de planejamento, elaboração, revisão, edição, reescrita/redesign e avaliação de textos. 
- Produzir textos em diferentes gêneros, considerando sua adequação ao contexto de produção e circulação.
- Fazer uso consciente e reflexivo de regras e normas da norma-padrão em situações de fala e escrita nas quais ela deve ser usada.</t>
  </si>
  <si>
    <t>- Prever conteúdos, acontecimentos ou temas do texto com base em pistas linguísticas e contextuais.
- Verificar hipóteses de leitura comparando previsões iniciais com as informações efetivamente apresentadas.</t>
  </si>
  <si>
    <t>- Ler o texto do colega com atenção aos critérios do gênero.
- Trocar ideias sobre melhorias possíveis com base na clareza, coerência e estrutura textual.</t>
  </si>
  <si>
    <t>- EF69LP07
- EF69LP56</t>
  </si>
  <si>
    <t>- Produzir textos em diferentes gêneros, considerando sua adequação ao contexto produção e circulação – os enunciadores envolvidos, os objetivos, o gênero, o suporte, a circulação –, ao modo (escrito ou oral; imagem estática ou em movimento etc.), à variedade linguística e/ou semiótica apropriada a esse contexto, à construção da textualidade relacionada às propriedades textuais e do gênero), utilizando estratégias de planejamento, elaboração, revisão, edição, reescrita/redesign e avaliação de textos, para, com a ajuda do professor e a colaboração dos colegas, corrigir e aprimorar as produções realizadas, fazendo cortes, acréscimos, reformulações, correções de concordância, ortografia, pontuação em textos e editando imagens, arquivos sonoros, fazendo cortes, acréscimos, ajustes, acrescentando/alterando efeitos, ordenamentos etc.
 - Fazer uso consciente e reflexivo de regras e normas da norma-padrão em situações de fala e escrita nas quais ela deve ser usada.</t>
  </si>
  <si>
    <t>- Ler os trechos finais do livro para compreender o desfecho da narrativa.
- Identificar como os conflitos são resolvidos e como os personagens se transformam.
- Discutir impressões e interpretações gerais sobre o final da obra.</t>
  </si>
  <si>
    <t>Conto fantástico</t>
  </si>
  <si>
    <t>Portas e Destinos</t>
  </si>
  <si>
    <t>Crônicas de Nárnia: o leão, a feiticeira e o guarda-roupa</t>
  </si>
  <si>
    <t>O Jardim Secreto</t>
  </si>
  <si>
    <t>Jeremias: Alma</t>
  </si>
  <si>
    <t>- Ativação de conhecimentos prévios (schema activation, perguntas de aquecimento, como "o que você já sabe sobre...)
- Leitura compartilhada
- Leitura individual
- Marcação de quem, onde e quando no texto</t>
  </si>
  <si>
    <t>- Ativar conhecimentos prévios para antecipar informações e apoiar a compreensão do texto.
- Ler o trecho proposto (compartilhado e individualmente) para identificar elementos narrativos essenciais.
- Marcar quem, onde e quando no texto para organizar a compreensão da situação inicial da narrativa.</t>
  </si>
  <si>
    <t>- Ficha de planejamento: Personagem (nome, idade, um traço forte)
- Objetivo e motivação
- Conflito (o que atrapalha?)
- Cenários, Objetos-chave, Ponto de virada
- Decisão
- Desfecho</t>
  </si>
  <si>
    <t xml:space="preserve">Planejar a produção textual considerando as características do gênero conto fantástico.
</t>
  </si>
  <si>
    <t>- Recapitular partes já lidas para consolidar a compreensão do enredo.
- Inferir informações implícitas com base em pistas do texto.
- Visualizar cenas e ações para ampliar a construção de sentido.</t>
  </si>
  <si>
    <t>- Esqueleto do enredo em 5 passos (situação inicial/gancho, complicação, percurso, clímax, desfecho)</t>
  </si>
  <si>
    <t>- Produzir o rascunho de um conto fantástico com coerência narrativa e progressão textual.
- Aplicar os elementos estruturais do gênero conto na construção do texto.
- Manter o ponto de vista do protagonista ao longo da narrativa.</t>
  </si>
  <si>
    <t>- Leitura compartilhada
- Leitura individual
- Nomear personagens e espaços (cenários) vistos até agora</t>
  </si>
  <si>
    <t>- Ler o trecho proposto para localizar informações essenciais da narrativa.
- Identificar e nomear personagens e espaços apresentados até o momento.
- Organizar mentalmente a ambientação da história para apoiar a compreensão global.</t>
  </si>
  <si>
    <t>- Recapitular partes já lidas para reforçar a progressão da narrativa.
- Inferir acontecimentos e motivações dos personagens a partir do texto.
- Visualizar ações e cenários para aprofundar o entendimento.</t>
  </si>
  <si>
    <t>Narrativa de aventura</t>
  </si>
  <si>
    <t>- Ativação de conhecimentos prévios (schema activation, perguntas de aquecimento, como “o que você já sabe sobre...”)
- Leitura compartilhada e individual</t>
  </si>
  <si>
    <t>- Produzir o rascunho de um texto narrativo com progressão e coerência.
- Aplicar os elementos estruturais do gênero na construção do enredo.</t>
  </si>
  <si>
    <t>- Consideração das condições de produção
- Estratégias de produção: planejamento, textualização e revisão/edição</t>
  </si>
  <si>
    <t>Artigo de Opinião</t>
  </si>
  <si>
    <t>Vínculos e Viradas</t>
  </si>
  <si>
    <t>Harry Potter e o Prisioneiro de Azkaban</t>
  </si>
  <si>
    <t>Diário de um Banana: Dias de Cão</t>
  </si>
  <si>
    <t>Arlindo</t>
  </si>
  <si>
    <t>- Retrieval practice (ex: recapitulação dos outros livros de Harry Potter para quem leu e contextualização para quem não leu)
- Predição guiada (Pelo título/capa, eu acho que... Porque...)
- Leitura compartilhada</t>
  </si>
  <si>
    <t>- Ativar conhecimentos prévios sobre a obra e o universo narrativo.
- Formular hipóteses sobre o texto com base em título e capa.
- Ler e compreender trechos selecionados, identificando personagens, espaço e tempo.</t>
  </si>
  <si>
    <t>- Ficha de planejamento textual: Tema/Questão, possíveis argumentos
- Discussão sobre formalidade x informalidade (sugestão: discutir como vínculos fortes previnem riscos e melhoram o clima escolar)</t>
  </si>
  <si>
    <t>- Planejar artigo de opinião com definição clara de tese e argumentos.
- Relacionar tema da proposta ao contexto escolar e à experiência do estudante.
- Organizar ideias em estrutura adequada ao gênero argumentativo.</t>
  </si>
  <si>
    <t>- Relação do texto com o contexto de produção e experimentação de papéis sociais
- Textualização
- Estratégia de produção: planejamento de textos argumentativos e apreciativos</t>
  </si>
  <si>
    <t>- EF69LP06
- EF69LP07A
- EF89LP10</t>
  </si>
  <si>
    <t>- Produzir notícias, fotodenúncias, fotorreportagens, reportagens, infográficos, podcasts noticiosos, entrevistas, cartas de leitor, comentários, artigos de opinião de interesse local ou global, textos de apresentação e apreciação de produção cultural (resenhas e outros gêneros textuais próprios das formas de expressão das culturas juvenis, em várias mídias).
- Utilizar estratégias de planejamento, elaboração, revisão, edição, reescrita/redesign e avaliação de textos.
- Planejar artigos de opinião, tendo em vista as condições de produção do texto, a partir da escolha da questão a ser discutida, da relevância para a turma, escola ou comunidade, do levantamento de dados e informações sobre a questão, de argumentos relacionados a diferentes posicionamentos em jogo, dos tipos de argumentos e estratégias que pretende utilizar para convencer os leitores.</t>
  </si>
  <si>
    <t>Leitura usando a técnica do Stop and Jot (a cada 5 min, anote 2 ideias + 1 pergunta. Ao final, troca com o colega)</t>
  </si>
  <si>
    <t>- Analisar estratégias utilizadas para convencer o leitor.
- Relacionar argumentos do texto ao tema da proposta.</t>
  </si>
  <si>
    <t>- Brainstorm e esqueleto do texto
- Listagem de ideias e ordenamento delas no texto (importante ser feito de forma manuscrita)</t>
  </si>
  <si>
    <t>- Produzir rascunho do artigo de opinião com base no planejamento.
- Organizar argumentos em sequência lógica e adequada ao gênero.
- Garantir coesão e clareza na redação inicial.</t>
  </si>
  <si>
    <t>- Leitura compartilhada em voz alta
- Leitura individual
- Mapa de personagens: com toda a turma, escolham 2-3 personagens e os analisem em termos de desejos e obstáculos</t>
  </si>
  <si>
    <t xml:space="preserve">- Investigar a função social da amizade na obra literária, interpretando-a como uma estratégia de sobrevivência emocional ou física.
- Selecionar e articular trechos da obra como repertório sociocultural para validar a tese do artigo de opinião.
- Debater a relação entre a ficção (o conflito do personagem) e dados da realidade (saúde mental e clima escolar).
</t>
  </si>
  <si>
    <t>- Revisar o texto produzido, considerando os critérios de clareza, coesão e adequação ao gênero artigo de opinião.
- Editar a versão final com base nas características do gênero e nas condições de produção.
- Finalizar e publicar o texto na plataforma, respeitando os aspectos formais e editoriais da proposta.</t>
  </si>
  <si>
    <t>- Relação do texto com o contexto de produção e experimentação de papéis sociais
- Textualização
- Revisão/edição de texto informativo e opinativo</t>
  </si>
  <si>
    <t>- EF69LP06
- EF69LP07A
- EF69LP08</t>
  </si>
  <si>
    <t>- Produzir notícias, fotodenúncias, fotorreportagens, reportagens, infográficos, podcasts noticiosos, entrevistas, cartas de leitor, comentários, artigos de opinião de interesse local ou global, textos de apresentação e apreciação de produção cultural (resenhas e outros gêneros textuais próprios das formas de expressão das culturas juvenis, em várias mídias).
- Utilizar estratégias de planejamento, elaboração, revisão, edição, reescrita/redesign e avaliação de textos.
- Revisar/editar o texto produzido, tendo em vista sua adequação ao contexto de produção, a mídia em questão, características do gênero, aspectos relativos à textualidade, a relação entre as diferentes semioses, a formatação e uso adequado das ferramentas de edição (de texto, foto, áudio e vídeo, dependendo do caso) e adequação à norma culta.</t>
  </si>
  <si>
    <t>- Leitura 
- CER (Claim-Evidence-Reasoning): em grupos, os alunos criam mini-argumentos com evidências. Ex: Claim/Afirmação "Fulano é corajoso", Evidence/Evidência com uma citação ou trecho do livro, Reasoning/Raciocínio com o porquê de a citação ou o trecho provar a afirmação</t>
  </si>
  <si>
    <t>- Ler texto literário identificando elementos que sustentam argumentos.
- Produzir mini-argumentos com base em evidências retiradas do texto.
- Relacionar afirmações e justificativas ao tema da proposta.</t>
  </si>
  <si>
    <t>- Relação do texto com o contexto de produção e experimentação de papéis sociais
- Textualização</t>
  </si>
  <si>
    <t>- EF69LP06
- EF69LP07A</t>
  </si>
  <si>
    <t>- Produzir notícias, fotodenúncias, fotorreportagens, reportagens, infográficos, podcasts noticiosos, entrevistas, cartas de leitor, comentários, artigos de opinião de interesse local ou global, textos de apresentação e apreciação de produção cultural (resenhas e outros gêneros textuais próprios das formas de expressão das culturas juvenis, em várias mídias).
- Utilizar estratégias de planejamento, elaboração, revisão, edição, reescrita/redesign e avaliação de textos.</t>
  </si>
  <si>
    <t xml:space="preserve">Crônica </t>
  </si>
  <si>
    <t>- Discussão em sala sobre o que foi lido até agora
- Predição guiada
- Leitura compartilhada
- Leitura individual
- Verificação da predição</t>
  </si>
  <si>
    <t>- Retomar e discutir coletivamente a leitura realizada até o momento.
- Formular e verificar predições sobre os desdobramentos da narrativa.
- Praticar leitura compartilhada e individual com foco na identificação de elementos temáticos.</t>
  </si>
  <si>
    <t>Ficha de planejamento: Personagem (nome, idade, um traço forte); Objetivo e motivação (o que diz o bilhete? Como isso teria mudado tudo?); Conflito (o que atrapalha?); Cenários, Objetos-chave, Ponto de virada; Decisão; Desfecho</t>
  </si>
  <si>
    <t>- Planejar crônica literária com estrutura narrativa definida. 
- Desenvolver personagem com motivações e conflitos claros. 
- Organizar elementos do enredo em sequência coerente.</t>
  </si>
  <si>
    <t>- Consideração das condições de produção 
- Estratégias de produção: planejamento, textualização e revisão/edição
- Construção da textualidade</t>
  </si>
  <si>
    <t>- EF69LP51
- EF89LP35</t>
  </si>
  <si>
    <t>- 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
- Criar contos ou crônicas, minicontos, narrativas de aventura e de ficção científica, entre outros, com temáticas próprias ao gênero, usando os conhecimentos sobre os constituintes estruturais e recursos expressivos típicos dos gêneros narrativos pretendidos, e, no caso de produção em grupo, ferramentas de escrita colaborativa.</t>
  </si>
  <si>
    <t>- Instrução no início da aula: destacar citações/trechos que tragam evidências de narrador observador/onisciente
- Leitura individual
- Leitura compartilhada
- Discussão sobre trechos destacados</t>
  </si>
  <si>
    <t>- Identificar tipos de narrador presentes no texto literário. 
- Analisar marcas linguísticas que caracterizam diferentes vozes narrativas. 
- Relacionar escolhas narrativas aos efeitos de sentido produzidos.</t>
  </si>
  <si>
    <t>- Reconstrução das condições de produção, circulação e recepção
- Estratégias de leitura
- Apreciação e réplica</t>
  </si>
  <si>
    <t>- EF69LP46
- EF89LP33A
- EF89LP33B
- EF89LP33C</t>
  </si>
  <si>
    <t>- Participar de práticas de compartilhamento de leitura/recepção de obras literárias/manifestações artísticas, tecendo, quando possível, comentários de ordem estética e afetiva.
- Ler, de forma autônoma, textos de gêneros variados.
- Compreender textos de gêneros variados, selecionando estratégias de leitura adequadas a
diferentes objetivos.
- Analisar as características dos gêneros textuais e
suportes.</t>
  </si>
  <si>
    <t>Leitura compartilhada; CER (Claim-Evidence-Reasoning): em grupos, os alunos criam min-argumentos com evidências. Ex: Claim/Afirmação "Fulano é corajoso", Evidence/Evidência com uma citação ou trecho do livro, Reasoning/Raciocínio com o porquê de a citação ou o trecho provar a afirmação.</t>
  </si>
  <si>
    <t>- Desenvolver argumentos com base em evidências textuais. 
- Analisar relações entre afirmações e justificativas no texto literário. 
- Aplicar estratégias de leitura crítica e analítica.</t>
  </si>
  <si>
    <t>- Discussão em sala sobre o que foi lido até agora 
- Predict and verify (previsão de ideia/conteúdo) 
- Leitura compartilhada
- Leitura individual
- Verificação da predição</t>
  </si>
  <si>
    <t>- Desenvolver compreensão global da obra literária. 
- Verificar hipóteses de leitura com base em evidências textuais. 
- Estabelecer relações entre elementos narrativos e temáticas centrais.</t>
  </si>
  <si>
    <t>- Reconstrução das condições de produção, circulação e recepção 
- Apreciação e réplica</t>
  </si>
  <si>
    <t xml:space="preserve">Conto </t>
  </si>
  <si>
    <t>Além das Aparências</t>
  </si>
  <si>
    <t>Estrelas Tortas</t>
  </si>
  <si>
    <t>Extraordinário</t>
  </si>
  <si>
    <t>O Pequeno Príncipe em cordel</t>
  </si>
  <si>
    <t>- Predição guiada (Pelo título/capa, eu acho que... Porque...)
- Leitura compartilhada
- Leitura individual
- Marcação de quem, onde e quando no texto</t>
  </si>
  <si>
    <t>- Desenvolver estratégias de predição e leitura compartilhada.
- Identificar elementos simbólicos e narrativos do conto popular.
- Estabelecer relações iniciais entre a obra e a proposta de produção.</t>
  </si>
  <si>
    <t>- Planejar conto com estrutura narrativa definida.
- Desenvolver personagem protagonista com características marcantes.
- Organizar elementos do enredo em sequência coerente.</t>
  </si>
  <si>
    <t xml:space="preserve">- Aplicar estratégias de leitura para compreensão profunda do texto.
- Desenvolver habilidades de inferência e visualização narrativa.
- Identificar elementos relevantes para a produção do conto.
</t>
  </si>
  <si>
    <t xml:space="preserve">- Produzir rascunho do conto popular com estrutura narrativa completa.
- Organizar eventos do enredo em progressão lógica.
- Desenvolver clímax e desfecho coerentes com a narrativa.
</t>
  </si>
  <si>
    <t>- Compartilhar impressões sobre a obra lida, reconhecendo aspectos marcantes da narrativa.
- Refletir sobre o percurso de leitura realizado, identificando avanços na compreensão e na fruição literária.</t>
  </si>
  <si>
    <t>- Desenvolver compreensão global da obra literária.
- Analisar temas centrais e valores presentes na narrativa.
- Estabelecer conexões finais entre a leitura e a produção textual.</t>
  </si>
  <si>
    <t>- Consideração das condições de produção 
- Estratégias de produção: planejamento, textualização e revisão/edição
- Estratégia de escrita: textualização, revisão e edição</t>
  </si>
  <si>
    <t>- EF69LP51
- EF89LP26</t>
  </si>
  <si>
    <t>- 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
- Produzir resenhas, a partir das notas e/ou esquemas feitos, com o manejo adequado das vozes envolvidas (do resenhador, do autor da obra e, se for o caso, também dos autores citados na obra resenhada), por meio do uso de paráfrases, marcas do discurso reportado e citações.</t>
  </si>
  <si>
    <t>Carta aberta</t>
  </si>
  <si>
    <t>Leitura e Liberdade</t>
  </si>
  <si>
    <t>O menino que descobriu o vento</t>
  </si>
  <si>
    <t>Fazendo meu filme</t>
  </si>
  <si>
    <t>- Ativação de conhecimentos prévios pelo método KWL (Know-Want-Learned): discussão sobre o que se sabe sobre Malala e sua história (no caso de escolha da sugestão 1)
- Leitura compartilhada</t>
  </si>
  <si>
    <t>- Ativar conhecimentos prévios sobre a obra e personagem histórico.
- Desenvolver estratégias de leitura compartilhada e reflexiva.
- Estabelecer relações entre a biografia e temas contemporâneos.</t>
  </si>
  <si>
    <t>- Planejamento do texto: definição do alvo (quem vai ler?), tese em 1 linha, 2 motivos e 1 pedido
- Definir o tom</t>
  </si>
  <si>
    <t>- Planejar carta aberta com destinatário e objetivo definidos.
- Desenvolver tese central e argumentos de forma clara.
- Estabelecer tom adequado ao gênero e ao público-alvo.</t>
  </si>
  <si>
    <t>- Textualização, revisão e edição
- Relação entre contexto de produção e características composicionais e estilísticas dos gêneros 
- Apreciação e réplica</t>
  </si>
  <si>
    <t>- EF69LP22B
- EF89LP19A</t>
  </si>
  <si>
    <t>- Produzir textos reivindicatórios ou propositivos sobre problemas que afetam a vida escolar ou da comunidade.
- Analisar, a partir do contexto de produção, a forma de organização das cartas abertas, abaixo-assinados, petições on-line, entre outros gêneros que envolvam conteúdos de contestação.</t>
  </si>
  <si>
    <t>- Leitura compartilhada
- Leitura individual
- Escolha de citações ou trechos marcantes (cada estudante marca um trecho que o chamou atenção) e discussão sobre o que foi marcado</t>
  </si>
  <si>
    <t>- Identificar trechos significativos que dialoguem com o tema da carta aberta.
- Desenvolver leitura crítica e seletiva do texto literário.
- Relacionar elementos da obra à construção argumentativa.</t>
  </si>
  <si>
    <t>Esqueleto da estrutura simples em 4 parágrafos: abertura (tese e contexto), razão 1 (com exemplo), razão 2 (com exemplo), pedidos/chamada à ação.</t>
  </si>
  <si>
    <t>- Produzir rascunho da carta aberta com estrutura definida.
- Organizar argumentos em sequência lógica e persuasiva.
- Desenvolver parágrafos coesos com exemplos e chamadas à ação.</t>
  </si>
  <si>
    <t>- Leitura com "paradas biográficas" (que decisão o protagonista tomou aqui? Que valor isso revela? Que contexto externo pressionou/ajudou?)
- Leitura em voz alta
- Leitura individual</t>
  </si>
  <si>
    <t>- Analisar decisões do protagonista e valores revelados na narrativa.
- Compreender influências do contexto histórico nas escolhas pessoais.
- Relacionar elementos biográficos à construção da carta aberta.</t>
  </si>
  <si>
    <t>- Analisar cenas marcantes e lições da trajetória do personagem.
- Refletir sobre valores e aprendizados presentes na narrativa.
- Estabelecer conexões entre a biografia e a proposta de produção.</t>
  </si>
  <si>
    <t>- Quadro de termos-alvo (3 a 5): exibir na lousa e pedir previsões ("o que você já sabe/imagina?")
- Leitura compartilhada
- Leitura individual.</t>
  </si>
  <si>
    <t>- Antecipar a temática e o posicionamento do texto a partir da análise de termos-chave e da ativação de conhecimentos prévios.
- Analisar coletivamente os sentidos do texto, identificando marcas linguísticas e recursos de estilo próprios do gênero.
- Consolidar a compreensão textual de forma autônoma, validando ou refutando as hipóteses formuladas inicialmente.</t>
  </si>
  <si>
    <t xml:space="preserve">- Discussão em sala de aula sobre o tema
- Pesquisa e levantamento de itens do livro lido a serem usados
- Organização de ideias. </t>
  </si>
  <si>
    <t xml:space="preserve">
Elaborar o rascunho do texto.</t>
  </si>
  <si>
    <t>- Analisar as transformações do personagem ao longo da narrativa, relacionando cenas marcantes às mudanças de comportamento e amadurecimento (arco do personagem).
- Refletir criticamente sobre os valores e dilemas éticos presentes nas lições aprendidas pelo personagem, conectando-os a contextos sociais ou humanos reais.</t>
  </si>
  <si>
    <t>- Planejamento do texto com feedback de pares
- Início do rascunho</t>
  </si>
  <si>
    <t>- Propósito do dia: "Ler para definir e contextualizar tal coisa"
- Leitura em voz alta
- Leitura individual</t>
  </si>
  <si>
    <t>- Leitura compartilhada até o final do livro (ou o mais próximo possível)
- Discussão sobre cenas marcantes da vida do personagem e as lições aprendidas</t>
  </si>
  <si>
    <t>Conto Popular</t>
  </si>
  <si>
    <t>Rompendo o Silêncio</t>
  </si>
  <si>
    <t>Pequeno Manual Antirracista</t>
  </si>
  <si>
    <t>- Desenvolver estratégias de predição e leitura compartilhada.
- Identificar elementos simbólicos e narrativos do conto popular.
- Estabelecer relações iniciais entre a obra e a proposta de produção.</t>
  </si>
  <si>
    <t>Ficha de planejamento: Como é esse bicho; Personagem que o enfrenta (nome, idade, um traço forte); Objetivo e motivação; Conflito (o que atrapalha?); Cenários, Objetos-chave, Ponto de virada; Decisão; Desfecho</t>
  </si>
  <si>
    <t>- Planejar conto popular com estrutura narrativa definida.
- Desenvolver personagem protagonista com características marcantes.
- Organizar elementos do enredo em sequência coerente.</t>
  </si>
  <si>
    <t xml:space="preserve">- Aplicar estratégias de leitura para compreensão profunda do texto.
- Desenvolver habilidades de inferência e visualização narrativa.
- Identificar elementos relevantes para a produção do conto.
</t>
  </si>
  <si>
    <t xml:space="preserve">- Produzir rascunho do conto popular com estrutura narrativa completa.
- Organizar eventos do enredo em progressão lógica.
- Desenvolver clímax e desfecho coerentes com a narrativa.
</t>
  </si>
  <si>
    <t>- Identificar e caracterizar personagens secundários da narrativa.
- Analisar a construção de cenários e ambientes no texto.
- Relacionar elementos espaciais ao desenvolvimento do enredo.</t>
  </si>
  <si>
    <t>- Desenvolver compreensão global da obra literária.
- Analisar temas centrais e valores presentes na narrativa.
- Estabelecer conexões finais entre a leitura e a produção textual.</t>
  </si>
  <si>
    <t>Artigo de opinião</t>
  </si>
  <si>
    <t>- Quadro de termos-alvo (3-5 no máximo): exibir na lousa e pedir previsões ("o que você já sabe/imagina?")
- Leitura compartilhada
- Leitura individual</t>
  </si>
  <si>
    <t>- Ativar conhecimentos prévios sobre racismo.
- Desenvolver estratégias de leitura com foco em termos específicos.
- Estabelecer relações entre o texto literário e a proposta de redação.</t>
  </si>
  <si>
    <t>- Ficha de planejamento textual: Tema/Questão, possíveis argumentos
- Listagem de possíveis situações do cotidiano que podem ser usadas no texto</t>
  </si>
  <si>
    <t>- Leitura em voz alta
- Leitura individual
- Escolha de citações ou trechos marcantes (cada estudante marca um trecho que o chamou atenção) e discussão sobre o que foi marcado</t>
  </si>
  <si>
    <t>- Identificar trechos relevantes que dialoguem com o tema do artigo de opinião.
- Desenvolver leitura crítica e seletiva do texto literário.</t>
  </si>
  <si>
    <t>- Participar de práticas de compartilhamento de leitura/recepção de obras literárias/manifestações artísticas, tecendo, quando possível, comentários de ordem estética e afetiva.
- Ler, de forma autônoma, textos de gêneros variados.
- Compreender textos de gêneros variados, selecionando estratégias de leitura adequadas a diferentes objetivos.
- Analisar as características dos gêneros textuais e suportes.</t>
  </si>
  <si>
    <t>Rascunho da redação de forma manuscrita</t>
  </si>
  <si>
    <t>- Leitura compartilhada
- Discussão sobre cenas marcantes do livro e conexão com fatos da atualidade e do contexto dos estudantes</t>
  </si>
  <si>
    <t xml:space="preserve">- Estabelecer relações entre o texto literário e contextos sociais atuais.
- Desenvolver pensamento crítico sobre questões sociais contemporâneas.
</t>
  </si>
  <si>
    <t>Texto de Memórias</t>
  </si>
  <si>
    <t>Aromas e Mistérios</t>
  </si>
  <si>
    <t>A Pequena Loja de Venenos</t>
  </si>
  <si>
    <t>Suave Aroma dos Campos de Lavanda</t>
  </si>
  <si>
    <t>Predição guiada (Pelo título/capa, eu acho que... Porque...); Sugestão: explorar o fato de que esse livro foi um grande sucesso no Tik Tok; Leitura compartilhada; Leitura individual.</t>
  </si>
  <si>
    <t>- Desenvolver habilidades de predição literária a partir de elementos paratextuais (título/capa), articulando hipóteses com experiências prévias de leitura.
- Estabelecer relações entre a obra literária contemporânea e suas manifestações na cultura digital, reconhecendo diferentes formas de circulação e recepção.</t>
  </si>
  <si>
    <t>- Disparo sensorial: mesa com objetos neutros (pote vazio, papel pardo, ervas secas inofensivas etc)
- Observação e anotações
- Escolha de um aroma (que pode ou não estar nessa lista) e discussão com a turma ou entre pares sobre o aroma escolhido</t>
  </si>
  <si>
    <t>- Planejar o texto considerando a situação comunicativa, o gênero memórias e os elementos sensoriais como disparadores da escrita.
- Elaborar um projeto de texto que contemple a seleção do aroma-gatilho, a cena do passado e o significado atual, organizando ideias de forma coerente e afetiva.</t>
  </si>
  <si>
    <t>Leitura compartilhada; Leitura individual com estratégia Stop and Jot 10-2-1 (10min de leitura, 2 ideias e uma pergunta). Troca com colega.</t>
  </si>
  <si>
    <t>- Aplicar estratégias de registro e síntese durante a leitura, organizando ideias centrais e questionamentos para posterior discussão.
- Socializar interpretações por meio da troca entre pares, ampliando a compreensão do texto por múltiplas perspectivas.</t>
  </si>
  <si>
    <t>Preenchimento de scaffold (moldura preenchível): Gatilho da lembrança, quando/onde, quem estava, cena (detalhes sensoriais), virada, o que aprendi, fecho em presente</t>
  </si>
  <si>
    <t>- Produzir um rascunho de texto de memórias, utilizando scaffold para estruturar a narrativa com base no aroma selecionado, detalhes sensoriais e reflexão pessoal.
- Desenvolver a escrita com foco na construção da cena, na progressão temporal e no fecho que articule passado e presente.</t>
  </si>
  <si>
    <t>- Desenvolver autonomia na seleção de estratégias de leitura adequadas a diferentes objetivos e momentos do texto.
- Consolidar o hábito de leitura por meio da prática regular e diversificada (compartilhada e individual).</t>
  </si>
  <si>
    <t xml:space="preserve">Revisão do rascunho e versão final do texto. </t>
  </si>
  <si>
    <t>- Revisar e editar o texto de memórias, aprimorando a clareza, a coesão e o impacto emocional da narrativa.
- Finalizar a versão manuscrita do texto, assegurando a adequação ao gênero e à proposta temática.</t>
  </si>
  <si>
    <t>5min recaptulação; 5min Predict and verify (antecipar o que virá e checar com evidências do texto. Exemplos: "eu acho que... Porque...); Leitura em voz alta; Leitura individual)</t>
  </si>
  <si>
    <t>- Aprimorar a capacidade de antecipação e verificação de conteúdos textuais, utilizando evidências para validar ou reformular hipóteses.
- Vivenciar diferentes modalidades de leitura, reconhecendo suas contribuições específicas para o processo de compreensão e fruição.</t>
  </si>
  <si>
    <t>Artigo de divulgação científica</t>
  </si>
  <si>
    <t>Mapa do gênero (lembrete visual) preferencialmente que dialogue com temáticas do livro), Leitura em voz alta, Leitura individual.</t>
  </si>
  <si>
    <t>- Analisar o gênero reportagem por meio de mapas visuais e exemplos reais, identificando suas características estruturais e temáticas.
- Estabelecer relações entre a obra literária em estudo e reportagens que abordem temas convergentes, reconhecendo diálogos intertextuais.</t>
  </si>
  <si>
    <t>- Discussão em sala de aula sobre o tema
- Pesquisa e levantamento de dados com curadoria de fontes</t>
  </si>
  <si>
    <t>- Pesquisar informações relevantes para o artigo de divulgação científica.
- Selecionar fontes confiáveis e dados pertinentes ao tema.
- Organizar informações de forma clara e acessível.</t>
  </si>
  <si>
    <t>- Consideração das condições de produção de textos de divulgação científica 
- Estratégias de escrita</t>
  </si>
  <si>
    <t>- EF69LP35</t>
  </si>
  <si>
    <t>- Planejar textos de divulgação científica, a partir da elaboração de esquema que considere as pesquisas feitas anteriormente, de notas e sínteses de leituras ou de registros de experimentos ou de estudo de campo, produzir, revisar e editar textos voltados para a divulgação do conhecimento e de dados e resultados de pesquisas, tendo em vista seus contextos de produção, que podem envolver a disponibilização de informações e conhecimentos em circulação em um formato mais acessível para um público específico ou a divulgação de conhecimentos advindos de pesquisas bibliográficas, experimentos científicos e estudos de campo realizados.</t>
  </si>
  <si>
    <t>Recaptulação; 5min Predict and verify (antecipar o que virá e checar com evidências do texto. Exemplos: "eu acho que... Porque...); Leitura em voz alta; Leitura individual</t>
  </si>
  <si>
    <t>- Aplicar estratégias de predição e verificação para antecipar e confirmar informações textuais, utilizando evidências para validar compreensões.
- Desenvolver fluência leitora por meio da prática diversificada (leitura em voz alta e individual), adequando a velocidade e a entonação aos diferentes trechos.</t>
  </si>
  <si>
    <t xml:space="preserve">Elaboração do rascunho do texto. </t>
  </si>
  <si>
    <t>- EF69LP36</t>
  </si>
  <si>
    <t>- Consolidar estratégias de leitura ativa por meio de registro sistemático de ideias e questionamentos durante o processo de leitura.
- Socializar compreensões e dúvidas sobre o texto, construindo coletivamente sentidos a partir das diferentes interpretações.</t>
  </si>
  <si>
    <t>- Revisar o texto produzido, considerando os critérios de clareza, coesão e adequação ao gênero artigo de divulgação científica.
- Editar a versão final com base nas características do gênero e nas condições de produção.
- Finalizar e publicar o texto na plataforma, respeitando os aspectos formais e editoriais da proposta.</t>
  </si>
  <si>
    <t>Leitura compartilhada até o final do livro (ou o mais próximo disso possível); Reflexões e discussão em sala sobre a leitura.</t>
  </si>
  <si>
    <t>- Engajar-se em leitura compartilhada extensiva, demonstrando persistência e interesse na conclusão da obra.
- Expressar opiniões fundamentadas sobre a leitura concluída, articulando reflexões pessoais com elementos textuais.</t>
  </si>
  <si>
    <t>Crônica Literária</t>
  </si>
  <si>
    <t>Aventuras Inesperadas</t>
  </si>
  <si>
    <t>Harry Potter e o Cálice de Fogo</t>
  </si>
  <si>
    <t>Diário de um Banana: A Verdade Nua e Crua</t>
  </si>
  <si>
    <t>Percy Jackson e os Olimpianos: O Ladrão de Raios</t>
  </si>
  <si>
    <t>Retrieval practice (ex: recaptulação dos outros livros de Harry Potter para quem leu e contextualização para quem não leu); Predição guiada (Pelo título/capa, eu acho que... Porque...);Leitura compartilhada.</t>
  </si>
  <si>
    <t>- Ativar conhecimentos prévios sobre séries literárias por meio de práticas de recuperação, estabelecendo conexões entre obras do mesmo universo ficcional.
- Formular predições fundamentadas sobre a narrativa a partir de elementos paratextuais, desenvolvendo expectativas leitoras.</t>
  </si>
  <si>
    <t>Ficha de planejamento: Personagem (nome, idade, um traço forte); Objetivo e motivação (o que ele dizia a carta? Por que ela não chegou? Como isso teria mudado tudo?); Conflito (o que atrapalha?); Cenários, Objetos-chave, Ponto de virada; Decisão; Desfecho</t>
  </si>
  <si>
    <t>- Planejar o texto considerando a situação comunicativa, o gênero crônica literária e os elementos narrativos a partir do convite perdido.
- Elaborar um projeto de texto que contemple a construção do personagem, seu objetivo, o conflito gerado pela carta não entregue e as consequências narrativas.</t>
  </si>
  <si>
    <t>Instrução no início da aula: destacar citações/trechos que tragam evidências de narrador observador/onisciente; Leitura individual; Leitura compartilhada; Leitura e discussão sobre trechos destacados</t>
  </si>
  <si>
    <t>- Identificar e analisar diferentes tipos de narrador em textos literários, coletando evidências textuais que caracterizem o ponto de vista narrativo.
- Confrontar interpretações em discussões coletivas, ampliando a compreensão sobre as escolhas narrativas e seus efeitos de sentido.</t>
  </si>
  <si>
    <t>Esqueleto do enredo em 5 passos (situação inicial/gancho, complicação, percurso, clímax, desfecho). Rascunho do texto.</t>
  </si>
  <si>
    <t>- Produzir um rascunho da crônica literária, utilizando a estrutura do enredo em 5 passos para desenvolver a narrativa com progressão coerente e tom literário.
- Explorar a relação entre situação inicial, complicação, percurso, clímax e desfecho, mantendo a verossimilhança e a densidade narrativa.</t>
  </si>
  <si>
    <t>Leitura compartilhada; CER (Claim-Evidence-Reasoning): em grupos, os alunos criam miniargumentos com evidências. Ex: Claim/Afirmação "Fulano é corajoso", Evidence/Evidência com uma citação ou trecho do livro, Reasoning/Raciocínio com o porquê de a citação ou o trecho provar a afirmação.</t>
  </si>
  <si>
    <t>- Construir argumentos interpretativos sobre a obra utilizando a estrutura CER (Afirmação-Evidência-Raciocínio), desenvolvendo o pensamento crítico.
- Socializar argumentos em grupos, exercitando a escuta ativa e a reformulação de ideias com base nas contribuições dos pares.</t>
  </si>
  <si>
    <t>- Revisar e editar a crônica literária, aprimorando a fluência narrativa, o uso do narrador e o impacto do desfecho.
- Finalizar o texto assegurando a coerência entre os elementos narrativos e a adequação ao gênero crônica literária.</t>
  </si>
  <si>
    <t>- Aplicar estratégias de leitura ativa para registrar e sintetizar ideias centrais durante o processo de leitura individual.
- Consolidar o hábito leitor por meio da prática regular de leitura compartilhada e da troca de impressões com colegas.</t>
  </si>
  <si>
    <t>Pervy Jackson e os Olimpianos: O Ladrão de Raios</t>
  </si>
  <si>
    <t>Leitura compartilhada; Leitura com Timer 7-2-1: 7min lendo, 2 min anotando "o que aprendi" e 1min escolhendo uma citação ou trecho qiue chamou atenção.</t>
  </si>
  <si>
    <t>- Desenvolver estratégias de leitura ativa por meio de temporizadores, equilibrando momentos de leitura fluente com pausas para reflexão e registro.
- Selecionar trechos significativos do texto, justificando suas escolhas com base na relevância narrativa ou temática.</t>
  </si>
  <si>
    <t>Ficha de planejamento: Protagonista (nome, idade, um traço forte); Como ele recebe o gabarito? Objetivo e motivação; Conflito; Cenários, Objetos-chave, Ponto de virada; Decisão; Desfecho</t>
  </si>
  <si>
    <t>- Planejar um conto realista, considerando a construção do protagonista, seu conflito ético e as consequências de suas escolhas.
- Elaborar um projeto de texto que contemple a situação inicial, o recebimento do gabarito, o dilema moral, o ponto de virada e o desfecho verossímil.</t>
  </si>
  <si>
    <t>Paradas estratégicas (recapitular, inferir, visualizar); Leitura compartilhada; Leitura individual.</t>
  </si>
  <si>
    <t>- Aplicar estratégias de leitura profunda por meio de paradas estratégicas para recapitulação, inferência e visualização de cenários.
- Consolidar a compreensão leitora por meio da prática diversificada (compartilhada e individual), adaptando estratégias ao ritmo pessoal.</t>
  </si>
  <si>
    <t>- Produzir um rascunho do conto realista, desenvolvendo a estrutura narrativa em 5 passos com foco na progressão do conflito ético do protagonista.
- Articular de forma coerente os elementos narrativos, mantendo a verossimilhança e a densidade psicológica do personagem.</t>
  </si>
  <si>
    <t>Leitura compartilhada; Leitura individual; Nomear personagens e espaços (cenários) vistos até agora.</t>
  </si>
  <si>
    <t>- Mapear elementos narrativos fundamentais (personagens e espaços) identificados na obra, estabelecendo relações com o desenvolvimento do enredo.
- Socializar descobertas sobre a construção do universo ficcional, enriquecendo a compreensão coletiva da narrativa.</t>
  </si>
  <si>
    <t>- Revisar e editar o conto realista, aprimorando a caracterização do personagem, a progressão do conflito e o impacto do desfecho.
- Finalizar o texto assegurando a coerência narrativa e a adequação às características do gênero conto realista.</t>
  </si>
  <si>
    <t>- Engajar-se em leitura compartilhada extensiva, demonstrando persistência na conclusão da obra literária.
- Articular reflexões críticas sobre a obra lida, relacionando elementos narrativos com experiências pessoais e contextos sociais.</t>
  </si>
  <si>
    <t>- Análise da devolutiva da correção
- Construção de quadro "O que está bom; O que preciso melhorar; O que vou fazer para melhorar"</t>
  </si>
  <si>
    <t>Dissertação Argumentativa ENEM</t>
  </si>
  <si>
    <t>Conviver na Diferença</t>
  </si>
  <si>
    <t>Diário de Anne Frank</t>
  </si>
  <si>
    <t>Auto da Compadecida</t>
  </si>
  <si>
    <t>Na minha pele</t>
  </si>
  <si>
    <t>Ativação de conhecimentos prévios pelo método KWL (Know-Want-Learned): discussão sobre o que se sabe sobre Anne Frank e sua história, no caso de escolha da sugestão 1; Leitura compartilhada.</t>
  </si>
  <si>
    <t>- Ativar conhecimentos prévios sobre contextos históricos e sociais por meio de metodologias estruturadas de organização do pensamento.
- Estabelecer relações entre a obra literária em estudo e temas relevantes da atualidade, preparando o repertório para a produção textual.</t>
  </si>
  <si>
    <t>- Discussão em sala para entendimento do tema
- Definição de recorte argumentativo e formulação de tese
- Projeto de texto</t>
  </si>
  <si>
    <t>- Debater questões relevantes da vida escolar, juvenil, social, política, econômica ou científica que servirão de base para a produção textual.
 - Produzir um projeto de texto conforme a situação comunicativa delimitada pela proposta de produção do mês.</t>
  </si>
  <si>
    <t>- Consideração das condições de produção 
- Estratégias de produção: planejamento, textualização e revisão/edição
- Textualização de textos argumentativos e apreciativos</t>
  </si>
  <si>
    <t>- EF69LP07
- EF69LP51
- EF09LP03D</t>
  </si>
  <si>
    <t>- Debater questões relevantes da vida escolar, juvenil, social, política, econômica ou científica que servirão de base para a produção textual.
- 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
- Utilizar diferentes tipos de argumentos – de autoridade, comprovação, exemplificação princípio etc.</t>
  </si>
  <si>
    <t>Retrieval (prática de recuperação) em espaçamento: recaptular o que foi lido por último sem recorrer ao texto ou a anotações; Leitura em voz alta; Leitura individual.</t>
  </si>
  <si>
    <t>- Desenvolver estratégias de recuperação de informações textuais por meio da prática de recapitulação sem apoio de anotações.
- Consolidar a compreensão leitora por meio da combinação de leitura em voz alta e individual, adaptando estratégias ao gênero em estudo.</t>
  </si>
  <si>
    <t>- Definição de repertório sociocultural (lembrar na lousa os critérios ENEM para validação de repertório)
- Discussão e pesquisa de repertório
- Escrita da introdução</t>
  </si>
  <si>
    <t>- Elaborar a introdução da dissertação, apresentando tese clara e repertório sociocultural pertinente ao tema central da proposta.
- Assegurar a contextualização do tema e a antecipação dos argumentos que serão desenvolvidos nos parágrafos subsequentes.</t>
  </si>
  <si>
    <t>- Construir argumentos fundamentados sobre a obra literária utilizando a estrutura CER (Afirmação-Evidência-Raciocínio).
- Desenvolver habilidades de argumentação em grupo, exercitando a defesa de pontos de vista com base em evidências textuais.</t>
  </si>
  <si>
    <t>- Escrita dos parágrafos de desenvolvimento
- Escrita da conclusão (foco na proposta de intervenção)</t>
  </si>
  <si>
    <t>- Desenvolver os parágrafos de argumentação com base em repertório válido e articulação lógica entre ideias, defendendo a tese apresentada na introdução.
- Elaborar a conclusão com proposta de intervenção viável, detalhada e relacionada à discussão desenvolvida ao longo do texto.</t>
  </si>
  <si>
    <t>- EF69LP51
- EF69LP07A</t>
  </si>
  <si>
    <t>- 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
- Utilizar estratégias de planejamento, elaboração, revisão, edição, reescrita/redesign e avaliação de textos.</t>
  </si>
  <si>
    <t>Leitura compartilhada; Fechamento da leitura com reflexões: formular em frases completas as principais ideias do livro.</t>
  </si>
  <si>
    <t xml:space="preserve">- Sintetizar as ideias centrais da obra literária por meio da formulação de frases completas que capturem a essência do texto.
- Demonstrar compreensão global da obra, articulando suas principais temáticas e mensagens.
</t>
  </si>
  <si>
    <t>- Revisão da versão final do texto 
- Submissão na plataforma</t>
  </si>
  <si>
    <t>- Revisar e editar a dissertação, verificando a adequação à norma culta, a clareza argumentativa e a estrutura do texto dissertativo-argumentativo.
- Submeter a versão final na plataforma, assegurando o atendimento aos critérios de correção do ENEM.</t>
  </si>
  <si>
    <t>- Desenvolver a capacidade de construção argumentativa por meio da estrutura CER (Afirmação-Evidência-Raciocínio), aplicando-a à análise da obra literária.
- Articular relações entre o conteúdo da obra e temas sociais relevantes, ampliando o repertório para a produção textual.</t>
  </si>
  <si>
    <t>- Aplicar estratégias de recuperação ativa de conteúdo para consolidar a compreensão dos trechos lidos anteriormente.
- Desenvolver autonomia na gestão do processo de leitura, equilibrando momentos coletivos e individuais.</t>
  </si>
  <si>
    <t>Leitura compartilhada; Discussão do que foi lido até agora (pontos de destaque, argumentos utilizados pelo autor)</t>
  </si>
  <si>
    <t>- Identificar e analisar estratégias argumentativas utilizadas pelo autor da obra literária em estudo.
- Debater criticamente as escolhas narrativas e temáticas da obra, relacionando-as com contextos sociais mais amplos.</t>
  </si>
  <si>
    <t>- Engajar-se em leitura compartilhada extensiva, demonstrando interesse na conclusão integral da obra.
- Formular reflexões críticas sobre a obra completa, sintetizando impressões e análises desenvolvidas ao longo do processo leitor.</t>
  </si>
  <si>
    <t>Conexões e Aprendizados</t>
  </si>
  <si>
    <t>A Culpa é das Estrelas</t>
  </si>
  <si>
    <t>Os Meninos da Rua Paulo</t>
  </si>
  <si>
    <t>Ativação de conhecimentos prévios (schema activation, perguntas de aquecimento, como "o que você já sabe sobre...); Leitura compartilhada; Leitura individual.</t>
  </si>
  <si>
    <t>- Ativar conhecimentos prévios por meio de esquemas de questionamento direcionado.
- Estabelecer relações iniciais entre a obra literária e a temática proposta, preparando o repertório para a produção textual.</t>
  </si>
  <si>
    <t>- Aplicar estratégias de recuperação espaçada para consolidar a compreensão dos capítulos lidos anteriormente.
- Desenvolver autonomia no processo de leitura por meio da prática diversificada (voz alta e individual).</t>
  </si>
  <si>
    <t>- Registrar e organizar ideias-chave durante o processo de leitura por meio de estratégias de síntese e questionamento.
- Socializar compreensões textuais com colegas, ampliando perspectivas de interpretação por meio do diálogo.</t>
  </si>
  <si>
    <t>- Consolidar a compreensão da obra por meio da recuperação ativa de elementos narrativos e temáticos centrais.
- Demonstrar progresso na fluência leitora por meio da prática regular e direcionada.</t>
  </si>
  <si>
    <t>- Desenvolver a capacidade de análise argumentativa através da estrutura CER, aplicando-a à compreensão da obra literária.
- Estabelecer conexões entre a narrativa literária e questões contemporâneas sobre uso de redes sociais.</t>
  </si>
  <si>
    <t>- Aplicar técnicas de recuperação espaçada para fixação de conteúdos e consolidação da compreensão leitora.
- Desenvolver autonomia na gestão do processo de leitura através de práticas diversificadas.</t>
  </si>
  <si>
    <t>- Sistematizar ideias e questionamentos durante a leitura através de estratégias de registro organizado.
- Socializar interpretações textuais, enriquecendo a compreensão por meio do debate coletivo.</t>
  </si>
  <si>
    <t>AULAS</t>
  </si>
  <si>
    <t>HABILIDADES BNCC - COMPUTAÇÃO</t>
  </si>
  <si>
    <t>HABILIDADE BNCC</t>
  </si>
  <si>
    <t>1 e 2</t>
  </si>
  <si>
    <t>- EF05CO05</t>
  </si>
  <si>
    <t>- Identificar os componentes principais de um computador (dispositivos de entrada/saída, processadores e armazenamento).</t>
  </si>
  <si>
    <t>- Definição de robótica.
- Componentes do computador.</t>
  </si>
  <si>
    <t>Computadores e robôs: uma introdução</t>
  </si>
  <si>
    <t>- Périfericos / entradas e saídas.</t>
  </si>
  <si>
    <t>- Reconhecer os principais perifericos de um computador.
- Relacionar com entradas e saídas.</t>
  </si>
  <si>
    <t>3 e 4</t>
  </si>
  <si>
    <t>- EF05CO011</t>
  </si>
  <si>
    <t>- Identificar a adequação de diferentes tecnologias
computacionais na resolução de problemas.</t>
  </si>
  <si>
    <t>- Conceitos de robótica na cultura e no cotidiano.</t>
  </si>
  <si>
    <t>Entendendo a robótica</t>
  </si>
  <si>
    <t>- Conceitos de robótica.
- Robôs e suas aplicações.
- História da robótica.</t>
  </si>
  <si>
    <t>- Compreender o conceito de robótica, por meio de suas diferentes representações em produções audiovisuais e usos na sociedade contemporânea.
- Reconhecer o impacto e a relevância da robótica no cotidiano.</t>
  </si>
  <si>
    <t>5 e 6</t>
  </si>
  <si>
    <t>- EF06CO02</t>
  </si>
  <si>
    <t>- Elaborar algoritmos que envolvam instruções sequenciais, de repetição e de seleção, usando uma linguagem de programação.</t>
  </si>
  <si>
    <t>- Algoritmos e programação em blocos.</t>
  </si>
  <si>
    <t>Aprendendo a linguagem dos robôs</t>
  </si>
  <si>
    <t>- Linguagem de programação em blocos na robótica.
- Linguagem natural x linguagem formal.
- Algoritmo e instruções.</t>
  </si>
  <si>
    <t>- Compreender que existem diferentes formas de se construir algoritmos.
- Reconhecer a programação em blocos como uma forma acessível de se comunicar com os robôs.</t>
  </si>
  <si>
    <t>7 e 8</t>
  </si>
  <si>
    <t>- Micro:bit: estrutura da plataforma MakeCode.</t>
  </si>
  <si>
    <t>Mistérios do micro:bit</t>
  </si>
  <si>
    <t>-Ambiente de programação do MakeCode.
- Menu de ferramentas do MakeCode.
- estrutura dos blocos.</t>
  </si>
  <si>
    <t>- Explorar o ambiente de programação MakeCode do micro:bit.
- Identificar as principais ferramentas e funcionalidades de programação.</t>
  </si>
  <si>
    <t>9 e 10</t>
  </si>
  <si>
    <t>- EF06CO05</t>
  </si>
  <si>
    <t>- Identificar os recursos ou insumos necessários (entradas) para a resolução de problemas, bem como os resultados esperados (saídas), determinar os respectivos tipos de dados, e estabelecer a definição de problema como uma relação entre entrada e saída.</t>
  </si>
  <si>
    <t>- Plataforma MakeCode: Blocos básicos.
- Códigos de programação.</t>
  </si>
  <si>
    <t>Emoções com o micro:bit: botões</t>
  </si>
  <si>
    <t>- Comunicação digital com o uso de emojis.
- blocos de entrada- botões.
- blocos básicos- icones.</t>
  </si>
  <si>
    <t>- Identificar os blocos de botões e blocos basicos da plataforma Makecode.
- Explorar a comunicação no ambiente digital.</t>
  </si>
  <si>
    <t>11 e 12</t>
  </si>
  <si>
    <t>- Inteligência emocional: ícones que representam as emoções utilizando o recurso acelerõmetro do micro:bit.</t>
  </si>
  <si>
    <t>Emoções com o micro:bit: acelerômetro</t>
  </si>
  <si>
    <t>- Representação de emoções no robô.
- Sensor acelerômetro no micro:bit.
- Bloco agitar no menu de entrada.</t>
  </si>
  <si>
    <t>- Identificar o sensor acelerômetro na placa micro:bit e suas funcionalidades.
- Construir um programa utilizando o sensor acelerômetro.</t>
  </si>
  <si>
    <t>13 e 14</t>
  </si>
  <si>
    <t>- Protótipo de robô desplugado com o tema saúde.</t>
  </si>
  <si>
    <t>Meu amigo robô</t>
  </si>
  <si>
    <t>- Apresentação do problema.
- Desenvolvimento da proposta.
- Construção de um protótipo de robô desplugado com tema saúde.</t>
  </si>
  <si>
    <t>- Construir um robô com materiais não estruturados, utilizando uma proposta de tema transversal.</t>
  </si>
  <si>
    <t>- Os pilares do pensamento computacional: a sua aplicabilidade no contexto da sociedade.</t>
  </si>
  <si>
    <t>Pensamento computacional</t>
  </si>
  <si>
    <t>- Pilares do pensamento computacional.
- Decomposição.
- Reconhecimento de padrões.
- Abstração.
- Algoritmos.</t>
  </si>
  <si>
    <t>- Identificar os pilares do pensamento computacional no contexto da robótica e na relação com problemas do cotidiano.</t>
  </si>
  <si>
    <t>- EF06CO04</t>
  </si>
  <si>
    <t>- Construir soluções de problemas, usando a técnica de decomposição, e automatizar tais soluções usando uma linguagem de programação.</t>
  </si>
  <si>
    <t>- Fauna brasileira: animações utilizando blocos básicos do menu de ferramentas da plataforma MakeCode.</t>
  </si>
  <si>
    <t>[Competição de Robótica] Animais animados - Programando a matriz de LEDs</t>
  </si>
  <si>
    <t>- Fauna brasileira.
- Blocos básico (Pausa).
- Programação: animações no painel de LEDS do micro:bit.
- Competição de Robótica</t>
  </si>
  <si>
    <t>- Explorar o menu de blocos básico do MakeCode na criação de animações na matriz de LEDs utilizando como tema a fauna brasileira.</t>
  </si>
  <si>
    <t>- Engrenagens: construção de um protótipo utilizando engrenagens que simule um cenário em movimento dos animais em extinção da fauna brasileira.
- Competição de projetos</t>
  </si>
  <si>
    <t>[Competição de Robótica] Animais animados - Conhecendo o projeto</t>
  </si>
  <si>
    <t>- O que são engrenagens.
- Os diferentes tipos de engrenagem e sua aplicação na sociedade.
- Atividade sobre o tema.
- Apresentação do protótipo "animais em movimento".
- Competição de projetos</t>
  </si>
  <si>
    <t>- Explorar o que são engrenagens e sua aplicabilidade na sociedade.
- Conhecer o projeto "animais em movimento" e como ele deve funcionar na prática.
- Conhecer a proposta de competição e as etapas de desenvolvimento do projeto</t>
  </si>
  <si>
    <t>- Engrenagens: construção de um protótipo utilizando engrenagens que simule um cenário em movimento dos animais em extinção da fauna brasileira.</t>
  </si>
  <si>
    <t>[Competição de Robótica] Animais animados - Montando as engrenagens</t>
  </si>
  <si>
    <t>- Construção do protótipo.
- Posicionamento das engrenagens: o encaixe das engrenagens para proporcionar o movimento da plataforma.</t>
  </si>
  <si>
    <t>- Entender o que são engrenagens e qual a sua função no mundo das máquinas e para a sociedade.
- Iniciar a construção do protótipo utilizando engrenagens com o tema "animais em extinção".</t>
  </si>
  <si>
    <t>- Protótipo: construção do cenário com o tema animais em extinção da fauna brasileira.
- Instalando a placa micro:bit com o programa aniamis animados.</t>
  </si>
  <si>
    <t>[Competição de Robótica] Animais animados - Incorporando a placa ao protótipo</t>
  </si>
  <si>
    <t>- Código de programação.
- Finalizar a construção do protótipo com a montagem das engrenagens e o cenário com os animais.</t>
  </si>
  <si>
    <t>- Construir e finalizar cenario do protótipo animais em movimento.
- Aplicar o programa na placa micro:bit. em seguida agregar a placa ao protótipo.</t>
  </si>
  <si>
    <t>- EF06CO03</t>
  </si>
  <si>
    <t>- Descrever com precisão a solução de um problema, construindo o programa que implementa a solução descrita.</t>
  </si>
  <si>
    <t>- Comunicação científica
- Prototipagem
- Programação</t>
  </si>
  <si>
    <t>[Competição de Robótica] Animais animados - Montando nossa apresentação do protótipo</t>
  </si>
  <si>
    <t>- Customização de protótipo
- Apresentação do protótipo</t>
  </si>
  <si>
    <t>- Customizar um protótipo, usando materiais não estruturados e materiais escolares.
- Criar uma apresentação para a competição de projetos.</t>
  </si>
  <si>
    <t>[Competição de Robótica] Animais animados - Hora da competição</t>
  </si>
  <si>
    <t>- Competição de projetos
- Critérios de avaliação de um projeto</t>
  </si>
  <si>
    <t>- Apresentar um protótipo de cenário móvel, com animais animados na placa micro:bit</t>
  </si>
  <si>
    <t>- EF07CO03</t>
  </si>
  <si>
    <t>- Construir soluções computacionais de problemas de diferentes áreas do conhecimento, de forma individual e colaborativa, selecionando as estruturas de dados e técnicas adequadas, aperfeiçoando e articulando saberes escolares.</t>
  </si>
  <si>
    <t>- Música: blocos de música no MakeCode.</t>
  </si>
  <si>
    <t>Criando sons com o micro:bit I</t>
  </si>
  <si>
    <t>- Apresentação da notação europeia.
- Como aparecem as notas no teclado virtual.
- Como as notas se dividem em oitavas.
- Blocos de música no MakeCode.</t>
  </si>
  <si>
    <t>- Conhecer os conceitos básicos de notas musicais e oitavas.
- Experimentar as possibilidades do uso da seção de blocos de música.
- Investigar a capacidade da placa de criar e tocar melodias.
- Distinguir se os sons representados quando executados não soam igual ao que eu canto ou a que estou acostumado a ouvir.</t>
  </si>
  <si>
    <t>Criando sons com o micro:bit II</t>
  </si>
  <si>
    <t>- O que é BPM?.
- A relação do andamento (BPM) na velocidade da música.
- Tempo e duração de notas musicais.
- As pausas na composição musical.</t>
  </si>
  <si>
    <t>- Identificar o que é andamento (BPM) e como ele interfere na composição musical.
- Explorar como as durações de tempo e os intervalos são associados às notas musicais.
- Experimentar as variações de comandos no teclado virtual do bloco de música.
- Identificar a capacidade da placa de organizar e construir melodias no micro:bit.</t>
  </si>
  <si>
    <t>- Sensor de temperatura no micro:bit.</t>
  </si>
  <si>
    <t>TermoBit I</t>
  </si>
  <si>
    <t>- Termõmetro.
- Funções pré-programadas no menu de ferramentas.
- Sensor de temperatura no micro:bit.</t>
  </si>
  <si>
    <t>- Identificar a importância do termômetro na aferição de temperatura em diferentes situações do dia a dia.
- Entender o que é a função pré-programada no menu de ferramentas do MakeCode.
- Identificar o sensor de temperatura e compreender o seu funcionamento na placa micro:Bit.</t>
  </si>
  <si>
    <t>TermoBit II</t>
  </si>
  <si>
    <t>- O sensor de temperatura do micro:bit.
- Bloco de temperatura.
- Programação.</t>
  </si>
  <si>
    <t>- Compreender as diferentes aplicações do sensor de temperatura na robótica.
- Construir um progrma para identificar temperturaturas em ambientes externos e internos.</t>
  </si>
  <si>
    <t>- Micro:bit: blocos de matematica, números aleatórios, programação.</t>
  </si>
  <si>
    <t>Jogando com a matemática</t>
  </si>
  <si>
    <t>- Blocos de matemática:.
- Operações fundamentais.
- Números aleatórios.
- Programação.</t>
  </si>
  <si>
    <t>- Identificar os blocos de matemática no menu de ferramentas do MakeCode.
- Explorar os blocos de operações matematicas com o objetivo de executar ações específicas no código programação.</t>
  </si>
  <si>
    <t>- Micro:bit: blocos de repetição, programação.</t>
  </si>
  <si>
    <t>Vamos de novo: conhecendo os blocos de repetição</t>
  </si>
  <si>
    <t>- Função loops.
- Blocos de repetição.</t>
  </si>
  <si>
    <t>- Identificar a função loop no menu de ferramentas do MakeCode.
- Explorar os blocos de repetição para determinar um número de ações que será executado no código de programação.</t>
  </si>
  <si>
    <t>- EF15CO02</t>
  </si>
  <si>
    <t>- Construir e simular algoritmos, de forma independente ou em colaboração, que resolvam problemas simples e do cotidiano com uso de sequências, seleções condicionais e repetições de instruções.</t>
  </si>
  <si>
    <t>- Sensores: sensor de temperatura, bloco de temperatura.
- Blocos de música.</t>
  </si>
  <si>
    <t>Alarme de temperatura</t>
  </si>
  <si>
    <t>- Sensor de temperatura.
- Blocos de música.
- Programação.
- Protótipo de alarme.</t>
  </si>
  <si>
    <t>- Explorar os recursos do sensor de temperatura e blocos de música no desenvolvimento de um alarme de temperatura.</t>
  </si>
  <si>
    <t>- EF15CO04</t>
  </si>
  <si>
    <t>- Aplicar a estratégia de decomposição para resolver problemas complexos, dividindo esse problema em partes menores, resolvendo-as e combinando suas soluções.</t>
  </si>
  <si>
    <t>- Mecânica/hidráulica: conceito, exemplos de sistemas hidraulicos.</t>
  </si>
  <si>
    <t>Mecânica/hidráulica: introdução.</t>
  </si>
  <si>
    <t>- Mecânica/hidráulica: conceito.
- Os primeiros mecanismos utilizando o sistema hidráulico.
- Exemplos de sistemas hidráulicos encontrados nosso dia a dia.</t>
  </si>
  <si>
    <t>- Entender o conceito básico de mecânica e hidráulica e sua aplicação no dia a dia.</t>
  </si>
  <si>
    <t>- Mecânica/hidráulica: o que são elevadores hidraulicos, transmissão de força por fluidos, desenvolvimento de um protótipo.</t>
  </si>
  <si>
    <t>Elevador hidráulico - Parte 1</t>
  </si>
  <si>
    <t>- O que são elevadores hidráulicos.
- Onde podem ser encontrados.
- Desenvolvimento de um protótipo de elevador hidráulico.</t>
  </si>
  <si>
    <t>- Entender o que são e onde podem ser utilizados os elevadores hidráulicos.
- Conhecer o sistema de movimento do elevador por meio da transmissão de força por fluidos.</t>
  </si>
  <si>
    <t>- Mecânica/hidráulica: prototipação do elevador hidráulico.</t>
  </si>
  <si>
    <t>Elevador hidráulico - Parte 2</t>
  </si>
  <si>
    <t>- Elevador hidráulico.
- Finalização do protótipo.</t>
  </si>
  <si>
    <t>- Construir um protótipo de elevador hidráulico utilizando materiais não estruturados.</t>
  </si>
  <si>
    <t>- Mecânica/hidráulica: conceito de braço robótico, aplicabilidade na sociedade.</t>
  </si>
  <si>
    <t>[Competição de Robótica] Braço robótico hidráulico - Parte 1</t>
  </si>
  <si>
    <t>- Braço robótico: conceito.
- As aplicações na sociedade.
- Competição de projetos</t>
  </si>
  <si>
    <t>- Entender o conceito e aplicação do braço robótico como dispositivo utilizado em diversos setores da sociedade.
- Compreender as etapas e os critérios da competição de robótica</t>
  </si>
  <si>
    <t>- Mecânica/hidráulica: prototipação do braço robótico.</t>
  </si>
  <si>
    <t>[Competição de Robótica] Braço robótico hidráulico - Parte 2</t>
  </si>
  <si>
    <t>- Braço robótico.
- Construção do protótipo.</t>
  </si>
  <si>
    <t>- Entender as etapas de construção do braço robótico hidráulico.
- Perceber o sistema de movimento dos braços e garra. por meio da transmissão de força por fluidos.</t>
  </si>
  <si>
    <t>- Mecânica/hidráulica: prototipação do braço robótico, avaliação.</t>
  </si>
  <si>
    <t>[Competição de Robótica] Braço robótico hidráulico - Parte 3</t>
  </si>
  <si>
    <t>- Braço robótico.
- Finalização do protótipo.</t>
  </si>
  <si>
    <t>- Compreender as etapas e o processo de construção do braço robótico hidráulico, bem como seu funcionamento.
- Criar uma apresentação para a competição de robótica</t>
  </si>
  <si>
    <t>[Competição de Robótica Braço robótico hidráulico - Hora da competição</t>
  </si>
  <si>
    <t>- Apresentar um protótipo de braço robótico hidráulico em uma competição</t>
  </si>
  <si>
    <t>- EF69CO04</t>
  </si>
  <si>
    <t>- Construir soluções de problemas usando a técnica de decomposição e automatizar tais soluções usando uma linguagem de programação.</t>
  </si>
  <si>
    <t>- A robótica como linguagem tecnológica utilizada na criação de soluções para problemas reais.</t>
  </si>
  <si>
    <t>A preguiça é mãe do progresso? Descubra como a robótica torna a nossa vida mais fácil</t>
  </si>
  <si>
    <t>- A robótica como expressão da criatividade humana.</t>
  </si>
  <si>
    <t>- Reconhecer a robótica como uma manifestação da criatividade humana aplicada à resolução de problemas do cotidiano e à busca pelo bem-estar da sociedade.</t>
  </si>
  <si>
    <t>- EF69CO05</t>
  </si>
  <si>
    <t>- Identificar os recursos ou insumos necessários (entradas) para a resolução de problemas, bem como os resultados esperados (saídas), determinando os respectivos tipos de dados, e estabelecendo a definição de problema como uma relação entre entrada e saída.</t>
  </si>
  <si>
    <t>- Estrutura e funcionamento dos computadores como sistemas computacionais, compreendendo a interação entre hardware e software e o papel dos periféricos, além da aplicação do pensamento computacional para entender processos básicos de operação.</t>
  </si>
  <si>
    <t>Não fique bugado! - Entenda o que faz um computador funcionar por dentro</t>
  </si>
  <si>
    <t>- Componentes básicos de um computador: hardware, software e periféricos.
- Tipos de computadores presentes no cotidiano (desktops, laptops, tablets, smartphones etc.).
- Fundamentos do pensamento computacional aplicado ao funcionamento do computador.
- Ciclo básico de operação do computador: entrada, processamento e saída de dados.</t>
  </si>
  <si>
    <t>- Reconhecer os componentes de um computador (hardware, software e periféricos) e diferentes tipos de computadores no dia a dia.
- Identificar o pensamento computacional no modo de operação de um computador enquanto aprofunda o entendimento sobre o funcionamento de computadores (entrada, processamento e saída de dados).</t>
  </si>
  <si>
    <t>- EF69CO02</t>
  </si>
  <si>
    <t>- Elaborar algoritmos que envolvam instruções sequenciais, de repetição e de seleção usando uma linguagem de programação.</t>
  </si>
  <si>
    <t>- Lógica de programação: construção e compreensão de algoritmos que utilizam variáveis, números aleatórios, condições e comparadores para tomada de decisão automatizada.</t>
  </si>
  <si>
    <t>Pedra, papel, tesoura! Aprenda a controlar a lógica e o acaso nos seus programas</t>
  </si>
  <si>
    <t>- Conceitos de variáveis em programação.
- Uso de números aleatórios em códigos.
- Estruturas condicionais (if, else).
- Operadores comparadores (==, !=, &gt;, &lt;, &gt;=, &lt;=).
- Integração lógica entre variáveis, números aleatórios, condições e comparadores.</t>
  </si>
  <si>
    <t>- Compreender os conceitos de variáveis, números aleatórios, condições e comparadores, entendendo de modo lógico a correlação entre os conceitos em uma programação.
- Programar integrando os conceitos de variáveis, números aleatórios, condições e comparadores.</t>
  </si>
  <si>
    <t>- Interação entre campo magnético terrestre e magnetômetros.</t>
  </si>
  <si>
    <t xml:space="preserve">Caçadores do ampo agnético perdido: use a bússola digital para desvendar os mistérios da direção
</t>
  </si>
  <si>
    <t>- Campo magnético terrestre e sua influência na orientação espacial.
- Direções cardeais e o uso da bússola tradicional.
- Funcionamento e aplicação do sensor magnetômetro.
- Bússola digital: princípios de funcionamento e relação com o campo magnético da Terra.</t>
  </si>
  <si>
    <t>- Compreender como o campo magnético terrestre define as direções cardeais e como isso é representado na bússola.
- Identificar e descrever o funcionamento do sensor magnetômetro e sua relação com o campo magnético terrestre na aplicação prática da bússola digital.</t>
  </si>
  <si>
    <t>- Programação e controle temporal em sistemas computacionais e robóticos.</t>
  </si>
  <si>
    <t>Me dá um tempo? - Controlando o tempo na robotica</t>
  </si>
  <si>
    <t>- Funcionamento dos temporizadores e delays em programação.
- Sensores touch: conceito, funcionamento e aplicações práticas.
- Aplicações de temporizadores e sensores touch em sistemas automatizados e robótica.
- Uso de variáveis e estruturas de repetição (loops) para criar códigos eficientes.
- Controle de tempo em sistemas automatizados: delay versus temporizadores.</t>
  </si>
  <si>
    <t>- Compreender o funcionamento dos temporizadores e sensores touch, identificando suas aplicações no cotidiano e em projetos de robótica.
- Implementar variáveis e estruturas de repetição para criar códigos eficientes em diferentes contextos de programação.
- Justificar o uso do delay e dos temporizadores como mecanismos essenciais para o controle do tempo em sistemas automatizados.</t>
  </si>
  <si>
    <t>- EF69CO01</t>
  </si>
  <si>
    <t>- Classificar informações, agrupando-as em coleções (conjuntos) e associando cada coleção a um ‘tipo de dado’.</t>
  </si>
  <si>
    <t>- Entrada e saída de dados em sistemas embarcados.</t>
  </si>
  <si>
    <t>Plot-Art: desenhando no micro:bit com matemática</t>
  </si>
  <si>
    <t>- Conceito de entrada e saída (I/O) em sistemas embarcados.
- Plano cartesiano: coordenadas X e Y aplicadas à matriz de LEDs.
- Funcionamento da matriz de LEDs do micro:bit.
- Programação do acionamento de LEDs de forma independente usando coordenadas cartesianas.</t>
  </si>
  <si>
    <t>- Relacionar o conceito de coordenadas do plano cartesiano à matriz de LEDs do micro:bit, compreendendo sua estrutura e funcionamento.
- Programar o acionamento independente de LEDs usando a linguagem de blocos, aplicando coordenadas cartesianas para controle preciso.</t>
  </si>
  <si>
    <t xml:space="preserve">13 e 14 </t>
  </si>
  <si>
    <t>- EF69CO03</t>
  </si>
  <si>
    <t>- Representação e visualização de informações em sistemas computacionais.</t>
  </si>
  <si>
    <t>Desanima não! - Faça animações usando a matriz de LEDs do micro:bit</t>
  </si>
  <si>
    <t>- Conceito e princípios da técnica de stop motion.
- Reconhecimento da matriz de LEDs do micro:bit como dispositivo de saída visual.
- Criação de frames de animação.
- Programação de sequências de animação.
- Produção colaborativa de animação digital.</t>
  </si>
  <si>
    <t>- Compreender a técnica de stop motion e sua aplicação na matriz de LEDs do micro:bit.
- Planejar e programar uma animação com uso de funções, controle de tempo e interatividade.
- Criar uma animação autoral integrando imagem, som e entrada por botões.</t>
  </si>
  <si>
    <t>- EF69CO08</t>
  </si>
  <si>
    <t>- Compreender e utilizar diferentes formas de armazenar, manipular, compactar e recuperar arquivos, documentos e metadados.</t>
  </si>
  <si>
    <t>- Tecnologias de som e luz.</t>
  </si>
  <si>
    <t>Solta o beat I: quando som e luz entram na dança</t>
  </si>
  <si>
    <t>- Som e luz como formas de expressão artística e tecnológica.
- Compreender a diferença entre intensidade sonora e volume, reconhecendo suas aplicações e impactos no cotidiano.
- Programar o micro:bit para medir a intensidade do som e representar os dados visualmente na matriz de LEDs, integrando-os a um protótipo interativo.</t>
  </si>
  <si>
    <t>- Explorar a relação entre som, luz e artes, reconhecendo a evolução tecnológica de rádios e caixas de som, e compreendendo o conceito de amplificação sonora.
- Compreender a diferença entre intensidade do som (física) e volume (percepção), refletindo sobre suas implicações no cotidiano.
- Programar o micro:bit para medir a intensidade sonora, representar graficamente os dados na matriz de LEDs e integrá-los a um protótipo maker interativo.</t>
  </si>
  <si>
    <t>- EF69CO06</t>
  </si>
  <si>
    <t>- Comparar diferentes casos particulares (instâncias) de um mesmo problema, identificando as semelhanças e diferenças entre eles, e criar um algoritmo para resolver todos, fazendo uso de variáveis (parâmetros) para permitir o tratamento de todos os casos de forma genérica.</t>
  </si>
  <si>
    <t>- Representação e visualização de informações: uso da matriz de LEDs para exibir dados sonoros e avaliação da eficácia da interface interativa.</t>
  </si>
  <si>
    <t>Solta o beat II: criando uma caixa de som</t>
  </si>
  <si>
    <t>- Construção e personalização de protótipos de caixas de som.
- Evolução dos rádios e caixas de som.
- Conceito de amplificação sonora (física do som).
- Dispositivos sonoros simples (alto-falantes, buzzers).
- Analisar a clareza e a precisão da representação gráfica dos dados sonoros no micro:bit, propondo melhorias para a comunicação visual.</t>
  </si>
  <si>
    <t>- Projetar e construir um protótipo funcional para amplificação de som utilizando dispositivos sonoros e material não estruturado.
- Personalizar o protótipo de forma temática, combinando amplificação sonora e efeitos visuais.
- Avaliar criticamente a eficácia da matriz de LEDs na visualização de dados sonoros, considerando clareza, precisão e aspectos estéticos da experiência interativa.</t>
  </si>
  <si>
    <t>- Sistemas embarcados e robótica educacional: integração de sensores, programação básica e cuidados no uso da shield Robotbit.</t>
  </si>
  <si>
    <t>Shield Masters: domine o coração do robô! - Descobrindo a shield Robotbit</t>
  </si>
  <si>
    <t>- Funcionalidades e aplicações da shield Robotbit.
- Integração de sensores à shield Robotbit.
- Programações simples para controle e interação com sensores.
- Procedimentos de cuidado e segurança no manuseio da Robotbit.
- Aplicações da Robotbit em projetos de robótica.</t>
  </si>
  <si>
    <t>- Compreender as funcionalidades e aplicações da shield Robotbit, reconhecendo seu potencial na criação de projetos de robótica.
- Integrar sensores à shield Robotbit, desenvolvendo programações simples que possibilitem a interação prática e a resolução de problemas.
- Aplicar procedimentos de cuidado e segurança no manuseio da shield Robotbit, garantindo o uso correto e a preservação dos equipamentos.</t>
  </si>
  <si>
    <t>- Tecnologias embarcadas e automação.</t>
  </si>
  <si>
    <t>[Competição de Robótica] Casa inteligente, vida descomplicada I: explorando a automação residencial</t>
  </si>
  <si>
    <t>- Sensores integrados do micro:bit e suas aplicações práticas.
- Representação de eventos reais com protótipos funcionais.
- Conceitos básicos de automação residencial.
- Impactos e benefícios da automação no cotidiano.
- Construção e aperfeiçoamento de protótipos maker (integração mecânica e tecnológica).
- Competição de projetos de robótica</t>
  </si>
  <si>
    <t>- Aplicar sensores integrados do micro:bit em projetos maker, representando eventos do mundo real através da criação de protótipos funcionais e criativos.
- Explorar conceitos de automação residencial, refletindo criticamente sobre seus impactos e benefícios na vida cotidiana.
- Construir e aperfeiçoar protótipos no ambiente maker, integrando princípios básicos da mecânica e tecnologia para conectar teoria e prática.
- Conhecer as etapas e os critérios para a competição de projetos de robótica em sala</t>
  </si>
  <si>
    <t>- Programação e automação.</t>
  </si>
  <si>
    <t>[Competição de Robótica] Casa inteligente, vida descomplicada II: iluminação inteligente</t>
  </si>
  <si>
    <t>- Programação em blocos com estruturas de controle e condicionais.
- Funcionamento do sensor de luminosidade.
- Aplicações do sensor em projetos de automação.
- Desenvolvimento e teste de protótipo funcional.
- Criação de uma lâmpada inteligente (ajuste automático conforme luminosidade).</t>
  </si>
  <si>
    <t>- Aplicar conceitos fundamentais de programação em blocos, utilizando estruturas de controle e condicionais para resolver problemas práticos.
- Explorar o sensor de luminosidade, compreendendo seu funcionamento e potencial de uso em projetos de automação.
- Programar e testar um protótipo funcional, integrando o sensor de luminosidade ao micro:bit para criar uma lâmpada inteligente ajustável conforme a luz do ambiente.</t>
  </si>
  <si>
    <t>- EF69CO07</t>
  </si>
  <si>
    <t>- Entender o processo de transmissão de dados, como a informação é quebrada em pedaços, transmitida em pacotes através de múltiplos equipamentos, e reconstruída no destino.</t>
  </si>
  <si>
    <t>- Integração de sensores e comunicação wireless.</t>
  </si>
  <si>
    <t>[Competição de Robótica] Casa inteligente, vida descomplicada III: explorando a tecnologia sem fio</t>
  </si>
  <si>
    <t>- Aplicação de sensores integrados do micro:bit em projetos maker.
- Conceitos básicos de automação residencial.
- Tecnologias wireless (bluetooth) e comunicação entre dispositivos.
- Desenvolvimento de protótipos funcionais usando sensores e comunicação sem fio.
- Reflexão crítica sobre impactos e benefícios da automação e conectividade no cotidiano.</t>
  </si>
  <si>
    <t>- Aplicar sensores integrados do micro:bit em projetos maker, representando situações do mundo real através da criação de protótipos funcionais e criativos.
- Explorar conceitos de automação residencial e tecnologias wireless, refletindo criticamente sobre suas aplicações, benefícios e impactos na vida cotidiana.
- Desenvolver e aperfeiçoar protótipos no ambiente maker, integrando programação, sensores e comunicação sem fio para conectar teoria e prática.</t>
  </si>
  <si>
    <t>- EF69CO10
- EF69CO04</t>
  </si>
  <si>
    <t>- Entender como é a estrutura e funcionamento da internet.
- Construir soluções de problemas usando a técnica de decomposição e automatizar tais soluções usando uma linguagem de programação.</t>
  </si>
  <si>
    <t>- Comunicação via rádio para controle remoto de dispositivos.</t>
  </si>
  <si>
    <t>[Competição de Robótica] Casa inteligente, vida descomplicada IV: o rádio como controle remoto</t>
  </si>
  <si>
    <t>- Programação em blocos com ênfase na comunicação via rádio do micro:bit.
- Funcionamento da antena de rádio e princípios da comunicação wireless.
- Uso de blocos específicos de envio e recebimento de mensagens via rádio.
- Desenvolvimento de protótipo funcional de controle remoto.
- Integração e teste do sistema de acionamento remoto.
- Apresentação dos projetos de robótica</t>
  </si>
  <si>
    <t>- Aplicar conceitos fundamentais de programação em blocos, utilizando estruturas de controle e blocos específicos da comunicação via rádio do micro:bit.
- Compreender o funcionamento da antena de rádio do micro:bit e desenvolver um programa que simule um controle remoto para acionar dispositivos à distância.
- Integrar e testar o sistema de comunicação via rádio em um protótipo funcional, garantindo o acionamento remoto de um eletrodoméstico ou mecanismo.
- Apresentar o protótipo, justificando suas funcionalidades</t>
  </si>
  <si>
    <t>- Prototipagem e controle de sistemas robóticos com sensores.</t>
  </si>
  <si>
    <t>Dispositivos robóticos! – Programando a diversão</t>
  </si>
  <si>
    <t>- Entrada, processamento e saída.
- Lógica sequencial e condicionais de movimento.
- Diferença entre sensores virtuais e sensores físicos.</t>
  </si>
  <si>
    <t>- Relembrar a lógica de entrada/processamento/saída em sistemas robóticos.
- Programar movimentos de um robô virtual no VEX Code VR usando lógica sequencial e condicionais.
- Relacionar sensores virtuais com sensores físicos.
- Explorar o uso de motores e sensores diversos para a movimentação e movimentação do protótipo (por ex: um touro mecânico, carro de bate e volta, autorama).</t>
  </si>
  <si>
    <t>- Representação físca das informações do código no projeto.</t>
  </si>
  <si>
    <t>Luz, brinquedo, ação! – Adicionando movimento</t>
  </si>
  <si>
    <t>- Criação de gráficos em tempo real.
- Exibição de dados em matriz de LEDs.</t>
  </si>
  <si>
    <t>- Representar visualmente dados de funcionamento do brinquedo (por exemplo, complexidade dos movimentos).
- Integrar o código para visualizar em tempo real os comandos dos movimentos do brinquedo.</t>
  </si>
  <si>
    <t>- Atuação condicional com feedback.</t>
  </si>
  <si>
    <t>Reage, brinquedo! - Programe a diversão!</t>
  </si>
  <si>
    <t>- Programação condicional com faixa de valores; atuação automática com LEDs, motores ou sirenes; resposta reativa a múltiplas variáveis.</t>
  </si>
  <si>
    <t>- Desenvolver sistemas automatizados que respondem a diferentes níveis de sensores com múltiplas reações.</t>
  </si>
  <si>
    <t>- Comunicação rádio e coordenação.</t>
  </si>
  <si>
    <t>Controle radical: brinquedo controlado por rádio</t>
  </si>
  <si>
    <t>- Comunicação sem fio via rádio entre micro:bits.
- Envio e recebimento de comandos.
- Sincronização entre controle remoto e robô.</t>
  </si>
  <si>
    <t>- Programar dois dispositivos para operar em conjunto com comunicação via rádio.
- Criar sistemas coordenados.</t>
  </si>
  <si>
    <t>- EF09CO02</t>
  </si>
  <si>
    <t>- Interação protótipo-ambiente.</t>
  </si>
  <si>
    <t>Brinquedos interativos: simulando comportamentos reativos</t>
  </si>
  <si>
    <t>- Utilização de estruturas matemáticas para tomada de decisão com base no movimento aleatório.</t>
  </si>
  <si>
    <t>- Projetar e programar um protótipo robótico simples que utilize sensores ou motores para realizar uma tarefa específica.</t>
  </si>
  <si>
    <t>- Controle de motores com precisão.</t>
  </si>
  <si>
    <t>Servo ataca! – Controle de movimento preciso</t>
  </si>
  <si>
    <t>- Controle de movimento com servomotor.
- Definição de ângulos de atuação.
- Construção mecânica com segurança estrutural.</t>
  </si>
  <si>
    <t>- Programar o servomotor com diferentes ângulos de resposta.</t>
  </si>
  <si>
    <t>- Mini-desafio de integração.</t>
  </si>
  <si>
    <t>Show de robótica: protótipo final em funcionamento</t>
  </si>
  <si>
    <t>- Integração de sensores, motores e comunicação rádio
- Desenvolvimento de sistema coordenado com reação a múltiplos eventos.
- Montagem final do protótipo funcional.</t>
  </si>
  <si>
    <t>- Integrar sensores, atuadores e rádio em um sistema funcional com interface e resposta coordenada a eventos críticos.</t>
  </si>
  <si>
    <t>EF69CO02</t>
  </si>
  <si>
    <t>– Elaborar algoritmos que envolvam instruções sequenciais, de repetição e de seleção usando uma linguagem de programação.</t>
  </si>
  <si>
    <t>Elementos básicos de jogos digitais</t>
  </si>
  <si>
    <t>[Competição de Robótica] Jogo Iniciado! – Sprites e botões no comando</t>
  </si>
  <si>
    <t>- Introdução à biblioteca “Jogos” do MakeCode; criação de sprites; lógica de movimentação com botões.
- Apresentação da Competição de Projetos - Game Jam</t>
  </si>
  <si>
    <t>Compreender os elementos estruturais da biblioteca “Jogos” do MakeCode e iniciar a criação de um jogo simples com movimento e controle.
Reconhecer as etapas e critérios do Game Jam</t>
  </si>
  <si>
    <t>EF69CO06</t>
  </si>
  <si>
    <t>– Comparar diferentes casos particulares (instâncias) de um mesmo problema, identificando as semelhanças e diferenças entre eles, e criar um algoritmo para resolver todos, fazendo uso de variáveis (parâmetros) para permitir o tratamento de todos os casos de forma genérica.</t>
  </si>
  <si>
    <t>Coordenadas e Interatividade</t>
  </si>
  <si>
    <t>[Competição de Robótica] Não Saia da Tela! – Movimento com limites</t>
  </si>
  <si>
    <t>Utilização do plano cartesiano (X, Y); movimentação por coordenadas; detecção de colisões e tratamento de bordas.</t>
  </si>
  <si>
    <t>Aplicar o plano cartesiano no controle de sprites e criar jogos com movimentação e limitação espacial.</t>
  </si>
  <si>
    <t>EF69CO03</t>
  </si>
  <si>
    <t>– Descrever com precisão a solução de um problema, construindo o programa que implementa a solução descrita.</t>
  </si>
  <si>
    <t>Reação e Aleatoriedade</t>
  </si>
  <si>
    <t>[Competição de Robótica] Inimigo Aleatório! – Eventos e colisões</t>
  </si>
  <si>
    <t>Geração de números aleatórios; uso de variáveis de estado; condicionais para eventos de vitória e colisão.</t>
  </si>
  <si>
    <t>Criar um sistema de jogo com desafios de tempo e chance, utilizando variáveis e aleatoriedade.</t>
  </si>
  <si>
    <t>EF69CO05</t>
  </si>
  <si>
    <t>– Identificar os recursos ou insumos necessários (entradas) para a resolução de problemas, bem como os resultados esperados (saídas), determinando os respectivos tipos de dados, e estabelecendo a definição de problema como uma relação entre entrada e saída.</t>
  </si>
  <si>
    <t>Jogos com Sensores</t>
  </si>
  <si>
    <t>[Competição de Robótica] Mexeu, Jogou Parte 1! – Jogos com sensores físicos</t>
  </si>
  <si>
    <t>Uso de sensores embarcados (acelerômetro e gestos) como entrada de controle; desenvolvimento de jogos com interação por movimento.</t>
  </si>
  <si>
    <t>Usar sensores embarcados como entrada principal do jogo; desenvolver jogo desplugado com movimento físico.</t>
  </si>
  <si>
    <t>Contadores e Tempo</t>
  </si>
  <si>
    <t>[Competição de Robótica] Mexeu, Jogou parte 2! – Corrida contra o tempo.</t>
  </si>
  <si>
    <t>Controle de tempo com loops temporais; criação de cronômetro e lógica de “game over”; jogos baseados em tempo e resposta rápida.</t>
  </si>
  <si>
    <t>Criar jogo baseado em tempo e pressão com resposta rápida, cronômetro e lógica de “game over”.</t>
  </si>
  <si>
    <t>EF69CO01</t>
  </si>
  <si>
    <t>– Classificar informações, agrupando-as em coleções (conjuntos) e associando cada coleção a um ‘tipo de dado’.</t>
  </si>
  <si>
    <t>Sistemas de Pontuação e HUD</t>
  </si>
  <si>
    <t>[Competição de Robótica] Mexeu, Jogou Parte 3! – Pontue e Apareça</t>
  </si>
  <si>
    <t>Criação de variáveis de pontuação; atualização do placar em tempo real; construção de HUD visual no micro:bit.</t>
  </si>
  <si>
    <t>Controlar placar e lógica de jogo por pontos; construir feedback visual com o HUD da micro:bit</t>
  </si>
  <si>
    <t>EF69CO04</t>
  </si>
  <si>
    <t>– Construir soluções de problemas usando a técnica de decomposição e automatizar tais soluções usando uma linguagem de programação.</t>
  </si>
  <si>
    <t>Game Jam Maker</t>
  </si>
  <si>
    <t>[Competição de Robótica] Meu Jogo, Minhas Regras – Criação autoral</t>
  </si>
  <si>
    <t>Integração de movimentação, pontuação, tempo e HUD em jogo autoral; criação de jogo completo com sensores e lógica de interação.
Apresentação do jogo - Game Jam</t>
  </si>
  <si>
    <t>Criar um jogo autoral usando blocos de “Jogos” com integração de sensores, lógica, sprites e controle por tempo.
Criar um Pitch para o jogo
Apresentar o jogo em competição de robótica</t>
  </si>
  <si>
    <t>EF06CO06</t>
  </si>
  <si>
    <t>Comparar diferentes casos particulares (instâncias) de um mesmo problema, identificando as semelhanças e diferenças entre eles, e criar um algoritmo para resolver todos, fazendo uso de variáveis (parâmetros) para permitir o tratamento de todos os casos de forma genérica.</t>
  </si>
  <si>
    <t>Variáveis na programação: construindo variáveis utilizando como tema biomas do Brasil e animais em extinção.</t>
  </si>
  <si>
    <t>Animais fantáticos e onde habitam: variáveis - Parte 1</t>
  </si>
  <si>
    <t>-Os biomas do brasil.
Pesquisa sobre os animais de risco de extinção e onde habitam.
O que são variáveis?
_Utilizando variáveis na
programação abordando o tema de pesquisa</t>
  </si>
  <si>
    <t>Entender o que são
variáveis
e sua aplicabilidade no contexto
da programação.
Reconhecer os biomas do Brasil.</t>
  </si>
  <si>
    <t>Animais fantáticos e onde habitam: variáveis - Parte 2</t>
  </si>
  <si>
    <t>Conclusão do código de programação e a construção de um gráfico exemplificando a quantidade de animais que estão em risco de extinção em cada bioma do Brasil</t>
  </si>
  <si>
    <t>Aplicar as variáveis no contexto da programação.
Construir um gráfico quantitativo dos animais da fauna brasileira que correm risco de extinção e os biomas que habitam</t>
  </si>
  <si>
    <t>EF06CO03</t>
  </si>
  <si>
    <t>Descrever com precisão a solução de um problema, construindo o programa que implementa a solução descrita.</t>
  </si>
  <si>
    <t>Lógica de programação: trabalhando condicionais com o uso de fluxograma.
Animais de estimação: robôs pet</t>
  </si>
  <si>
    <t>Bit:Pet - Parte 1</t>
  </si>
  <si>
    <t>. Algoritmo.
Lógica de programação
. Fluxograma</t>
  </si>
  <si>
    <t>. Explorar a lógica de programação por meio de fluxogramas e linguagem natural</t>
  </si>
  <si>
    <t>EF06CO02</t>
  </si>
  <si>
    <t>Elaborar algoritmos que envolvam instruções sequenciais, de repetição e de seleção usando uma linguagem de programação.</t>
  </si>
  <si>
    <t>Condicionais: utilizando blocos de lógica na programação, utizando o tema animais de estimação.</t>
  </si>
  <si>
    <t>Bit:Pet - Parte 2</t>
  </si>
  <si>
    <t>O que são condicionais?
Aplicando as condicionais na programação.</t>
  </si>
  <si>
    <t>Entender o que são condicionais
e como são aplicadas no
contexto da programação</t>
  </si>
  <si>
    <t>EF06CO05</t>
  </si>
  <si>
    <t>Identificar os recursos ou insumos necessários (entradas) para a resolução de problemas, bem como os resultados esperados (saídas), determinando os respectivos tipos de dados, e estabelecendo a definição de problema como uma relação entre entrada e saída.</t>
  </si>
  <si>
    <t>Robô PET : Conhecimento sobre como funciona as articulações de um robô.
Construção de um protótipo de robô com articulavel utilizando materiais não estruturados.</t>
  </si>
  <si>
    <t>Bit:Pet - Parte 3</t>
  </si>
  <si>
    <t>Sensores na robótica.
Sensor de luminosidade no micro:bit</t>
  </si>
  <si>
    <t xml:space="preserve">
Explorar o uso de sensores no micro:bit
Construir um código de programação utilizando o sensor de luminosidade.</t>
  </si>
  <si>
    <t>EF06CO04</t>
  </si>
  <si>
    <t>Construir soluções de problemas usando a técnica de decomposição e automatizar tais soluções usando uma linguagem de programação.</t>
  </si>
  <si>
    <t>Sensores: sensor de luminosidade no micro;bit.
Programação: variáveis, condicionais e bloco de nível de luz.</t>
  </si>
  <si>
    <t>Bit:Pet - Parte 4</t>
  </si>
  <si>
    <t>Protótipo do robô Pet</t>
  </si>
  <si>
    <t>Entender como é realizado os movimentos de um robô.
Construir um protótipo de robô pet com articulações utilizando
materiais nãoestruturados e a micro:bit</t>
  </si>
  <si>
    <t>Desenvolvimento de um programa de jogo, aplicando os conhecimentos de variáveis e condicionais</t>
  </si>
  <si>
    <t>Micropet - Animais de estimação</t>
  </si>
  <si>
    <t>Programação do jogo micropet
Blocos de variáveis.
Blocos de condicionais</t>
  </si>
  <si>
    <t>Aplicar os conhecimentos de variáveis e condicionais
na construção do programa micropet.</t>
  </si>
  <si>
    <t>A comunicação via rádio,
O recurso de rádio no micro:bit.</t>
  </si>
  <si>
    <t>Teleporte pato 1</t>
  </si>
  <si>
    <t>O rádio como veículo de
comunicação.
Como funciona a transmissão via rádio
Conhecendo o sensor de rádio no
micro:bit.</t>
  </si>
  <si>
    <t xml:space="preserve">
Conhecer como a transmissão de informação ocorre via rádio
Explorar a função rádio no micro:bit</t>
  </si>
  <si>
    <t>Rádio: programação utilizando
blocos de rádio e variáveis</t>
  </si>
  <si>
    <t>Teleporte pato 2</t>
  </si>
  <si>
    <t xml:space="preserve">
Protótipo de comunicador.
Programação utilizando o recurso rádio do micro:bit</t>
  </si>
  <si>
    <t>Construir a programação do teleporte pato e
testar o seu funcionamento no micro:bit</t>
  </si>
  <si>
    <t>Computação desplugada: output e input,
perifericos do computador, números binários
e codificação.</t>
  </si>
  <si>
    <t>Desvendando o código</t>
  </si>
  <si>
    <t xml:space="preserve">
. Periféricos
. Output e input
. Diferença entre dados e informação
. Números binários e codificação.</t>
  </si>
  <si>
    <t>Entender os números binários como parte
da linguagem computacional
utilizada nas máquinas.</t>
  </si>
  <si>
    <t>Computação desplugada:
linguagem de máquina, pixel</t>
  </si>
  <si>
    <t>Pixel</t>
  </si>
  <si>
    <t>. Desenhos e pixels
. Linguagem de computador</t>
  </si>
  <si>
    <t>Identificar como os
computadores constroem
imagens utilizando números</t>
  </si>
  <si>
    <t>Circuito elétrico: circuitos abertos e
fechados, condutores, os pinos de entrada
e saída n micro:bit</t>
  </si>
  <si>
    <t>Vamos ligar os pinos.</t>
  </si>
  <si>
    <t>Conceito de tensão e corrente elétrica.
O que são condutores e onde são utilizados.
Circuitos abertos e fechados.</t>
  </si>
  <si>
    <t>Entender os conceitos de tensão, corrente elétrica e noções básicas de circuitos elétricos .</t>
  </si>
  <si>
    <t>Circuito elétrico: programação,
teste de conectividade
utilizando o micro:bit</t>
  </si>
  <si>
    <t>Vamos ligar os pinos II</t>
  </si>
  <si>
    <t>Circuito elétrico
Cabos de conectividade.
Programação</t>
  </si>
  <si>
    <t>Identificar os pinos do micro:bit. e sua aplicação para a robótica.
Aplicar os conceitos de condutividade na prática utilizando a placa micro:bit.</t>
  </si>
  <si>
    <t>Condutividade de materiais: teste de
condutividade com materiais
condutores e não condutores
utilizando a placa micro:bit e cabos.</t>
  </si>
  <si>
    <t>Teste de condutividade</t>
  </si>
  <si>
    <t>Teste de condutividade com
materiais condutores e não condutores utilizando o micro:bit</t>
  </si>
  <si>
    <t>Identificar bons e maus condutores de eletricidade por meio de teste de conectividade.</t>
  </si>
  <si>
    <t>EF07CO03</t>
  </si>
  <si>
    <t>Micro:bit: coordenadas
cartesiano, coodenadas
na matriz de LEDs .</t>
  </si>
  <si>
    <t>Coordenadas - Parte 1</t>
  </si>
  <si>
    <t>Coordenadas cartesianas
As coordenadas na matriz de LEDs</t>
  </si>
  <si>
    <t>Reconhecer as coordenadas cartesiano e sua
aplicação na matriz de LEDS .</t>
  </si>
  <si>
    <t>Micro:bit: função -
LEDs do menu de
ferramentas MakeCode.
Programação.</t>
  </si>
  <si>
    <t>Coordenadas - Parte 2</t>
  </si>
  <si>
    <t xml:space="preserve">
Programação utilizando a função LED do
menu de ferramentas do MakeCode.</t>
  </si>
  <si>
    <t>Identificar a função LED no menu de
ferramentas do MakeCode e como aplicá-lo
na programação para controlar o funcionamento
dos LEDS na matriz.</t>
  </si>
  <si>
    <t>EF15CO01</t>
  </si>
  <si>
    <t>Identificar as principais formas de organizar e
representar a informação de maneira estruturada (matrizes,
registros, listas e grafos) ou não estruturada (números, palavras,
valores verdade).</t>
  </si>
  <si>
    <t>Micro:bit: função matriz
do menu de ferramentas
do Makecode.</t>
  </si>
  <si>
    <t>Jogo de palavras</t>
  </si>
  <si>
    <t>Bloco matriz no micro:bit –
jogo de palavras</t>
  </si>
  <si>
    <t>Identificar o bloco matriz no menu de
ferramentas do MakeCode e explorar a
sua aplicação na programação.</t>
  </si>
  <si>
    <t>Plataforma MakeCode:
Extensões, extensão
robotbit.</t>
  </si>
  <si>
    <t>Conhecendo as
extensões do Makecode</t>
  </si>
  <si>
    <t>Conhecendo extensões do Makecode.
Instalando a extensão robotbit para
projetos executaveis utilizando
a shield.</t>
  </si>
  <si>
    <t>Identificar o item extensões no
menu de ferramentas do MakeCode.
Explorar os tipos de extensão que podem
ser utilizados na construção de um projeto.</t>
  </si>
  <si>
    <t>EF05CO11</t>
  </si>
  <si>
    <t xml:space="preserve">
- Identificar a adequação
de diferentes tecnologias computacionais
na resolução de problemas.</t>
  </si>
  <si>
    <t>Micro:bit: Placa de extensão
Shield.</t>
  </si>
  <si>
    <t>Conhecendo a shield</t>
  </si>
  <si>
    <t>Placa de extensão shield para o micro:bit:
Conhecendo os Pinos de conexão, Leds,
conectores, bateria, interruptor.</t>
  </si>
  <si>
    <t>Entender os recursos e aplicabilidades da
Shield como extensão do micro;bit no
desenvolvimento de projetos</t>
  </si>
  <si>
    <t>Controlando os LEDs.</t>
  </si>
  <si>
    <t>-LEDs da shield.
- Programação</t>
  </si>
  <si>
    <t>Construir
um programa para controlar o
funcionamento dos LEDs na shield</t>
  </si>
  <si>
    <t>Eletromecânica
e programação</t>
  </si>
  <si>
    <t>Comemorando o gol</t>
  </si>
  <si>
    <t>Protótipo - circuito elétrico, utilizando a
schield</t>
  </si>
  <si>
    <t>Reconhecer o conceito de circuito elétrico
aberto e fechado. Para isso, será construido
um protótipo simulando
um placar de gol utilizando,
a placa micro:bit e a extensão shield.</t>
  </si>
  <si>
    <t>Ligando os motores.</t>
  </si>
  <si>
    <t xml:space="preserve">
Conhecendo os motores DC do
kit de robótica:
O funcionamento e como podemos
utilizá-los em projetos de robótica.
Aprendendo a ligar os motores na Shield.
Construção de um programa
simples para o
funcionamento dos motores.</t>
  </si>
  <si>
    <t>Identificar os motores DC do Kit de robótica
e como realizar a ligação
na Shield.
Construir a programação
para o seu funcionamento.</t>
  </si>
  <si>
    <t>Servo motor</t>
  </si>
  <si>
    <t>Entender o que é um servo motor,
funcionalidade e aplicação na robótica.</t>
  </si>
  <si>
    <t>Trabalhando ângulos
com servo motor</t>
  </si>
  <si>
    <t xml:space="preserve">
Relembrando ângulos
Utilizando os ângulos no controle
do servo motor</t>
  </si>
  <si>
    <t>Aplicar o conceito de ângulos no
funcionamento do servo motor utilizando
a programação .</t>
  </si>
  <si>
    <t>Conhecendo o
potenciômetro</t>
  </si>
  <si>
    <t>Potenciômetro – Conceito.</t>
  </si>
  <si>
    <t>Identificar o potenciômetro como dispositivo
de regulagem manual que pode ser usado
no ajuste de volume,
movimento e no controle de iluminação</t>
  </si>
  <si>
    <t>Controlando o servo
motor com o
potenciõmetro</t>
  </si>
  <si>
    <t>Potenciômetro – trabalhando com o
servo motor</t>
  </si>
  <si>
    <t>Explorar o funcionamento do potenciômetro
no controle de movimento do servo motor</t>
  </si>
  <si>
    <t>Girassol – Parte 1</t>
  </si>
  <si>
    <t>Relembrando o sensor de luminosidade.
Programação utilizando sensor e
servo motor.</t>
  </si>
  <si>
    <t xml:space="preserve">
Explorar o uso do servo motor e do sensor de
luminosidade na construção de um protótipo que
simule por meio da programação o movimento do girassol</t>
  </si>
  <si>
    <t>Girassol – Parte 2</t>
  </si>
  <si>
    <t>Protótipo:
Construindo um protótipo representando
o girassol controlado pelo sensor de
luminosidade utilizando servo motor</t>
  </si>
  <si>
    <t xml:space="preserve">
Retomando a construção do protótipo que
simule por meio da programação o movimento do girassol</t>
  </si>
  <si>
    <t>Atuadores: servo-motor e aplicações biomiméticas em robótica</t>
  </si>
  <si>
    <t>Servo no grau! - Explorando o servo-motor e sensor ultrassônico para criar movimentos precisos e automáticos.</t>
  </si>
  <si>
    <t>Funcionamento do servo-motor
Controle e testes com shield
Aplicações robóticas do servo
Biomimética e robótica
Soluções inspiradas em seres vivos</t>
  </si>
  <si>
    <t>Compreender o funcionamento e o controle do servo-motor, integrando-o à shield em testes práticos.
Identificar aplicações do servo-motor em projetos robóticos e refletir sobre sua inspiração na movimentação de seres vivos.
Propor soluções criativas com base na biomimética para sistemas robóticos eficientes.</t>
  </si>
  <si>
    <t>Sensores ambientais: uso, leitura de dados e interpretação</t>
  </si>
  <si>
    <t>Vish! Molhou?! - Monitorando o ambiente com sensores que detectam água!</t>
  </si>
  <si>
    <t>Sensor de umidade: usos e funcionamento
Coleta e análise de dados
Avaliação de eficácia em diferentes contextos</t>
  </si>
  <si>
    <t>Explorar usos do sensor de umidade em diferentes contextos ambientais e tecnológicos.
Coletar e analisar dados obtidos com o sensor, interpretando sua eficácia em diversas condições.</t>
  </si>
  <si>
    <t>EF69CO08</t>
  </si>
  <si>
    <t>Compreender e utilizar diferentes formas de armazenar, manipular, compactar e recuperar arquivos, documentos e metadados.</t>
  </si>
  <si>
    <t>Comunicação entre dispositivos e representação visual de dados em interfaces gráficas</t>
  </si>
  <si>
    <t>Na Tela, Sem Mistério</t>
  </si>
  <si>
    <t>Comunicação I2C: conceito e aplicação com o display
Integração de sensores para exibir dados em tempo real</t>
  </si>
  <si>
    <t>Compreender como funciona a comunicação I2C e conectar corretamente o display
Programar a exibição de textos e dados de sensores no display usando o MakeCode.</t>
  </si>
  <si>
    <t>Tecnologia e automação aplicadas à agricultura sustentável</t>
  </si>
  <si>
    <t>IrrigaBot - Parte I - Do Arado ao Algoritimo</t>
  </si>
  <si>
    <t>Automação no campo
Programação para agricultura inteligente
Tecnologia e sustentabilidade
Gestão de recursos naturais</t>
  </si>
  <si>
    <t>Compreender como a tecnologia e a automação otimizam processos agrícolas
Introduzir conceitos de programação aplicados à automação.
Refletir criticamente sobre o uso da tecnologia na gestão de recursos naturais e no cultivo sustentável.</t>
  </si>
  <si>
    <t>Automação com servo-motor para irrigação sustentável</t>
  </si>
  <si>
    <t>IrrigaBot - Parte II - Integrando o atuador ao protótipo</t>
  </si>
  <si>
    <t>Aplicações do servo na irrigação
Programação de atuadores
Sustentabilidade hídrica
Construção de sistemas automatizados</t>
  </si>
  <si>
    <t>Entender o funcionamento e as aplicações do servo-motor na automação.
Programar o servo-motor para construir um irrigador automático funcional.
Refletir sobre o uso consciente da água e a importância da irrigação sustentável.</t>
  </si>
  <si>
    <t xml:space="preserve"> Descrever com precisão a solução de um problema, construindo o programa que implementa a solução descrita.
</t>
  </si>
  <si>
    <t>Interação sensor–atuador: coleta, resposta e análise de dados</t>
  </si>
  <si>
    <t>IrrigaBot - Parte III - Integrando os sensores ao protótipo</t>
  </si>
  <si>
    <t>Revisão do sensor de umidade
Programação reativa com micro:bit
Interpretação de dados e gráficos
Ajustes de sistemas automatizados</t>
  </si>
  <si>
    <t>Retomar conceitos do sensor de umidade e aplicá-los em um projeto prático de robótica.
Programar o micro:bit para responder aos dados do sensor com ações automatizadas.
Trabalhar com dados e gráficos para entender e ajustar o comportamento do sistema.</t>
  </si>
  <si>
    <t>Sistemas automatizados: lógica, integração e inovação</t>
  </si>
  <si>
    <t>IrrigaBot - Parte IV - Integrando um display ao protótipo.</t>
  </si>
  <si>
    <t>Lógica da automação baseada em sensores
Integração sensor + atuador
Prototipagem funcional
Pensamento inovador e miniaturização</t>
  </si>
  <si>
    <t>Compreender a lógica da automação ao acionar mecanismos com base em dados de sensores.
Integrar sensor, atuador, e display em uma programação funcional para um protótipo robótico.
Representar soluções reais por meio da miniaturização e do pensamento inovador.</t>
  </si>
  <si>
    <t>EF09CO02</t>
  </si>
  <si>
    <t>Pensamento Computacional: Resolução de problemas.</t>
  </si>
  <si>
    <t>Competição de Robótica I</t>
  </si>
  <si>
    <t>Introdução ao projeto e visão geral.</t>
  </si>
  <si>
    <t>Compreender a proposta do projeto e o objetivo final;</t>
  </si>
  <si>
    <t>EF09CO03</t>
  </si>
  <si>
    <t>Cultura Digital: Ética e cooperação.</t>
  </si>
  <si>
    <t>Competição de Robótica III</t>
  </si>
  <si>
    <t>Regulamento, Ética e Critérios de Avaliação.</t>
  </si>
  <si>
    <t>Compreender as normas e a importância da postura ética no jogo.</t>
  </si>
  <si>
    <t>EF09CO04</t>
  </si>
  <si>
    <t>Cultura Digital: Hardware e Periféricos.</t>
  </si>
  <si>
    <t>Prototipagem de chassi e Instalação de Atuadores.</t>
  </si>
  <si>
    <t>Prototipar a estrutura do carrinho e instalar os motores (atuadores) do kit.</t>
  </si>
  <si>
    <t>EF09CO05</t>
  </si>
  <si>
    <t>Pensamento Computacional: Algoritmos e Programação.</t>
  </si>
  <si>
    <t>Competição de Robótica VI</t>
  </si>
  <si>
    <t>Lógica de programação e rádio micro:bit.</t>
  </si>
  <si>
    <t>Desenvolver o algoritmo de controle remoto com estruturas condicionais.</t>
  </si>
  <si>
    <t>EF09CO06</t>
  </si>
  <si>
    <t>Pensamento Computacional: Depuração e Testes.</t>
  </si>
  <si>
    <t>Competição de Robótica V</t>
  </si>
  <si>
    <t>Testes na arena de percurso e combate.</t>
  </si>
  <si>
    <t>Identificar falhas de hardware ou software através da experimentação.</t>
  </si>
  <si>
    <t>EF09CO07</t>
  </si>
  <si>
    <t>Pensamento Computacional: Decomposição de Problemas.</t>
  </si>
  <si>
    <t>Ajustes mecânicos e refinamento lógico.</t>
  </si>
  <si>
    <t>Resolver problemas complexos de manobra e funcionamento. Ajustes mecânicos.</t>
  </si>
  <si>
    <t>EF09CO08</t>
  </si>
  <si>
    <t>Cultura Digital: Integração Hardware/Software.</t>
  </si>
  <si>
    <t>Competição de Robótica VII</t>
  </si>
  <si>
    <t>Estética e Pitch (Explicação Técnica).</t>
  </si>
  <si>
    <t>Finalizar o design e consolidar o entendimento da interação hardware-software.</t>
  </si>
  <si>
    <t>Sensores ambientais e coleta de dados</t>
  </si>
  <si>
    <t>Estação Meteorológica - Diagnóstico Inicial</t>
  </si>
  <si>
    <t>Instalação de sensores DHT11 e de luminosidade; coleta de dados ambientais via entrada analógica; estruturação e interpretação de variáveis físicas.</t>
  </si>
  <si>
    <t>Coletar dados ambientais com sensores embarcados, compreendendo os fenômenos físicos envolvidos e sua importância para o monitoramento climático.</t>
  </si>
  <si>
    <t>EF69CO07</t>
  </si>
  <si>
    <t>Entender o processo de transmissão de dados, como a informação é quebrada em pedaços, transmitida em pacotes através de múltiplos equipamentos, e reconstruída no destino.</t>
  </si>
  <si>
    <t>Comunicação ambiental entre dispositivos</t>
  </si>
  <si>
    <t>Código da Missão - Rede de Comunicação Climática</t>
  </si>
  <si>
    <t>Comunicação via rádio entre micro:bits; envio de alertas ambientais remotos; monitoramento à distância em redes de sensores.</t>
  </si>
  <si>
    <t>Criar sistemas de monitoramento ambiental remoto com comunicação sem fio, simulando tecnologias de cidades inteligentes.</t>
  </si>
  <si>
    <t>Resposta automatizada sustentável</t>
  </si>
  <si>
    <t>A Vida Se Adapta! – Ações automatizadas verdes</t>
  </si>
  <si>
    <t>Automatização de respostas ambientais; acionamento de LEDs, ventoinhas ou lâmpadas com base em sensores; criação de lógica reativa.</t>
  </si>
  <si>
    <t>Criar sistemas autônomos que respondem a dados do ambiente para promover conforto e economia de energia.</t>
  </si>
  <si>
    <t>EF69CO12</t>
  </si>
  <si>
    <t>Analisar o consumo de tecnologia na sociedade, compreendendo criticamente o caminho da produção dos recursos bem como aspectos ligados à obsolescência e à sustentabilidade.</t>
  </si>
  <si>
    <t>Eficiência energética e sensores</t>
  </si>
  <si>
    <t>Luz Inteligente ON – Energia sob Controle</t>
  </si>
  <si>
    <t>Programação de iluminação adaptativa com base na luminosidade; controle de LED com lógica condicional; simulação de eficiência energética.</t>
  </si>
  <si>
    <t>Programar sistemas de iluminação inteligente com base na luz ambiente, promovendo economia e eficiência energética.</t>
  </si>
  <si>
    <t>Classificar informações, agrupando-as em coleções (conjuntos) e associando cada coleção a um ‘tipo de dado’.</t>
  </si>
  <si>
    <t>Representação e visualização ambiental</t>
  </si>
  <si>
    <t>Painel Climático - Exibição Ambiental em Tempo Real</t>
  </si>
  <si>
    <t>Exibição de dados ambientais em display I2C; leitura simultânea de múltiplos sensores; atualização dinâmica de variáveis no visor.</t>
  </si>
  <si>
    <t>Criar uma interface visual clara e funcional para leitura de variáveis ambientais, como temperatura e luz, por meio do display.</t>
  </si>
  <si>
    <t>Integração de sensores e análise de dados</t>
  </si>
  <si>
    <t>Gráfico do Tempo – Datalogger do Clima</t>
  </si>
  <si>
    <t>Registro de dados; análise de gráficos climáticos; identificação de padrões ambientais e tendências.</t>
  </si>
  <si>
    <t>Utilizar o I2C para visualizar dados ambientais e interpretar padrões que ajudem na tomada de decisão ecológica.</t>
  </si>
  <si>
    <t>Projeto final: Simulação de Campo da ARCA 42</t>
  </si>
  <si>
    <t>Missão Final: Miniestação ARCA 42</t>
  </si>
  <si>
    <t>Integração de sensores, atuadores, display e rádio; construção de estação funcional com reação autônoma a variáveis ambientais.</t>
  </si>
  <si>
    <t>Integrar sensores, display, atuadores e comunicação para desenvolver um sistema que monitore e reaja às condições ambientais de forma sustentável.</t>
  </si>
  <si>
    <t>Apresentar o projeto, formar as equipes e entender as regras.</t>
  </si>
  <si>
    <t>Competição de Robótica II</t>
  </si>
  <si>
    <t>Ciclo</t>
  </si>
  <si>
    <t>ANO/SÉRIE</t>
  </si>
  <si>
    <t>Data</t>
  </si>
  <si>
    <t>Unidade</t>
  </si>
  <si>
    <t>Aula Unidade</t>
  </si>
  <si>
    <t>Aula Sala</t>
  </si>
  <si>
    <t>Título</t>
  </si>
  <si>
    <t>Formato de Aula</t>
  </si>
  <si>
    <t>Objetivo</t>
  </si>
  <si>
    <t>Conteúdos</t>
  </si>
  <si>
    <t>Entrega de projeto</t>
  </si>
  <si>
    <t>Habilidade - BNCC Computação - código</t>
  </si>
  <si>
    <t>Habilidade - BNCC Computação - texto</t>
  </si>
  <si>
    <t>Habilidades - BNCC - código</t>
  </si>
  <si>
    <t>Habilidades - BNCC - texto</t>
  </si>
  <si>
    <t>6º ano</t>
  </si>
  <si>
    <t>02 a 06/02</t>
  </si>
  <si>
    <t>Introdução à computação: iniciando meus estudos</t>
  </si>
  <si>
    <t>Primeiros passos na tecnologia</t>
  </si>
  <si>
    <t>Material digital</t>
  </si>
  <si>
    <t>Identificar os três eixos principais que estruturam o ensino de tecnologia: pensamento computacional, mundo digital e cultura digital. 
Explicar com suas próprias palavras o que é pensamento computacional e quais são seus quatro pilares fundamentais: decomposição, padrões, abstração e algoritmo. 
Descrever os conceitos iniciais de pensamento computacional na idealização de um projeto tecnológico pessoal, como jogos, filmes ou aplicativos.</t>
  </si>
  <si>
    <t>Eixos estruturantes da tecnologia: pensamento computacional, mundo digital e cultura digital.
Pilares do pensamento computacional: decomposição, reconhecimento de padrões, abstração e algoritmo.
Planejamento inicial de projetos criativos em tecnologia com base em interesses pessoais e nas habilidades desejadas.</t>
  </si>
  <si>
    <t>n/a</t>
  </si>
  <si>
    <t>(EF03CO06)
(EF05CO05)</t>
  </si>
  <si>
    <t>(EF03CO06) Reconhecer que, para um computador realizar tarefas, ele se comunica com o mundo exterior com o uso de interfaces físicas (dispositivos de entrada e saída).
(EF05CO05) Identificar os componentes principais de um computador (dispositivos de entrada / saída, processadores e armazenamento).</t>
  </si>
  <si>
    <t>Entrada e saída no computador</t>
  </si>
  <si>
    <t>Listar os principais dispositivos tecnológicos presentes no ambiente escolar, como computadores, teclados, monitores, projetores, microfones, entre outros.
Explicar as diferenças entre dispositivos de entrada e dispositivos de saída, identificando suas funções no uso do computador.
Classificar corretamente os dispositivos tecnológicos do ambiente escolar em dispositivos de entrada e dispositivos de saída.</t>
  </si>
  <si>
    <t>Identificação dos dispositivos tecnológicos na escola
Dispositivos de entrada e suas funções (mouse, teclado, microfone, câmera)
Dispositivos de saída e suas funções (monitor, impressora, projetor, caixa de som)</t>
  </si>
  <si>
    <t xml:space="preserve">(EF03CO06)
(EF05CO05) </t>
  </si>
  <si>
    <t>09 a 13/02</t>
  </si>
  <si>
    <t>Explorando o mouse</t>
  </si>
  <si>
    <t>Identificar as partes e funcionalidades básicas do mouse (botões esquerdo, direito e scroll) em um ambiente de programação visual.
Explicar como utilizar o mouse para realizar ações como clicar, arrastar e soltar blocos no ambiente de programação Start Lab.
Aplicar as funcionalidades do mouse na criação de programas simples com blocos, explorando a interação com o personagem e as ferramentas criativas do ambiente.</t>
  </si>
  <si>
    <t>Dispositivo de entrada: o mouse e suas funcionalidades (botão esquerdo, botão direito, scroll).
Interação com blocos de programação no ambiente Start Lab (clicar, arrastar, soltar e deletar).
Utilização das ferramentas criativas no Start Lab com o mouse (personalização do personagem e exploração dos blocos).</t>
  </si>
  <si>
    <t>Criando com Teclado</t>
  </si>
  <si>
    <t>Identificar os principais comandos do teclado na programação utilizando o Start Lab.
Reconhecer a função do bloco diga para construir códigos criativos no Start Lab.
Aplicar comandos do teclado e do mouse para elaborar mensagens interativas no ambiente de programação.</t>
  </si>
  <si>
    <t>Exploração do teclado (teclas especiais e caracteres).
Uso da bandeira verde e blocos de Eventos (início do algoritmo).
Personalização de mensagens com blocos da categoria Aparência.</t>
  </si>
  <si>
    <t>Sim</t>
  </si>
  <si>
    <t>16 a 20/02</t>
  </si>
  <si>
    <t>Semana Carvanal (Feriados e Planejamento/Replanejamento)</t>
  </si>
  <si>
    <t>23 a 27/02</t>
  </si>
  <si>
    <t xml:space="preserve">Cultura Digital: uma aventura no fórum com Cody </t>
  </si>
  <si>
    <t xml:space="preserve">Explorando a cultura digital </t>
  </si>
  <si>
    <t>Identificar comportamentos respeitosos e inadequados nas interações digitais.
Aplicar princípios de respeito e ética nas interações digitais.
Analisar como as emoções digitais afetam as interações online.</t>
  </si>
  <si>
    <t>Reflexão sobre emoções nas interações digitais.
Importância do comportamento respeitoso nos ambientes digitais.
Regras de convivência pessoais.</t>
  </si>
  <si>
    <t>(EF06CO09) (EF06CO10)</t>
  </si>
  <si>
    <t>(EF06CO09) - Apresentar conduta e linguagem apropriadas ao se comunicar em ambiente digital, considerando a ética e o respeito. (Nesta habilidade é importante que os alunos possam vivenciar, discutir e refletir sobre o comportamento ao se comunicar em ambiente digital, principalmente na internet, mas não limitada a ela (por exemplo também em aplicativos de conversa) (EF06CO10) Analisar o consumo de tecnologia na sociedade, compreendendo criticamente o caminho da produção dos recursos bem como aspectos ligados à obsolescência e a sustentabilidade.  ​</t>
  </si>
  <si>
    <t xml:space="preserve">O poder das respostas  </t>
  </si>
  <si>
    <t>Aplicar estratégias para responder de maneira respeitosa em interações digitais.
Diferenciar respostas respeitosas de impulsivas em situações de comunicação digital.
Avaliar o impacto das emoções nas respostas digitais.</t>
  </si>
  <si>
    <t>Conceito de pirâmide das emoções.
Identificação de respostas impulsivas e reflexivas.
Impacto das emoções nas interações digitais.</t>
  </si>
  <si>
    <t>02 a 06/03</t>
  </si>
  <si>
    <t xml:space="preserve">Tirando dúvidas corretamente </t>
  </si>
  <si>
    <t xml:space="preserve">Aplicar estratégias para fazer perguntas claras no fórum.
Analisar exemplos de perguntas inadequadas e suas melhorias.
Criar perguntas objetivas e respeitosas no fórum.
</t>
  </si>
  <si>
    <t xml:space="preserve">Como fazer perguntas claras e objetivas.
Estratégias de criação de boas perguntas.
Análise de perguntas inadequadas. </t>
  </si>
  <si>
    <t xml:space="preserve">Desvendando a Obsolescência Programada </t>
  </si>
  <si>
    <t>Compreender o conceito de obsolescência programada e seus impactos.
Analisar as consequências ambientais do consumo excessivo de tecnologia.
Propor soluções para reduzir o desperdício de aparelhos tecnológicos.</t>
  </si>
  <si>
    <t>Conceito de obsolescência programada.
Impactos ambientais do lixo eletrônico.
Soluções para consumo sustentável de tecnologia.</t>
  </si>
  <si>
    <t xml:space="preserve">(EF06CO10) (EF06CO09) </t>
  </si>
  <si>
    <t>(EF06CO10) Analisar o consumo de tecnologia na sociedade, compreendendo criticamente o caminho da produção dos recursos bem como aspectos ligados à obsolescência e a sustentabilidade.  (EF06CO09) - Apresentar conduta e linguagem apropriadas ao se comunicar em ambiente digital, considerando a ética e o respeito. (Nesta habilidade é importante que os alunos possam vivenciar, discutir e refletir sobre o comportamento ao se comunicar em ambiente digital, principalmente na internet, mas não limitada a ela (por exemplo também em aplicativos de conversa)</t>
  </si>
  <si>
    <t>09 a 13/03</t>
  </si>
  <si>
    <t>x</t>
  </si>
  <si>
    <t xml:space="preserve">Avaliação da unidade: 
- Introdução à computação: iniciando meus estudos
- Cultura Digital: uma aventura no fórum com Cody </t>
  </si>
  <si>
    <t xml:space="preserve">- </t>
  </si>
  <si>
    <t>-</t>
  </si>
  <si>
    <t>16 a 20/03</t>
  </si>
  <si>
    <t>Lógica de programação: exploração criativa pt1</t>
  </si>
  <si>
    <t>Iniciando a exploração</t>
  </si>
  <si>
    <t>Vídeo</t>
  </si>
  <si>
    <t>Selecionar personagens na biblioteca do ambiente de programação.
Duplicar e editar personagens para criar novos personagens combinados.
Renomear os personagens criados.</t>
  </si>
  <si>
    <t>Ambientalização no StartLab.
Criação e edição de personagens.
Composição e personalização de personagens.</t>
  </si>
  <si>
    <t>(EF06CO02)</t>
  </si>
  <si>
    <t>(EF06CO02) Elaborar algoritmos que envolvam instruções sequenciais, de repetição e de seleção usando uma linguagem de programação.</t>
  </si>
  <si>
    <t>(EF69AR06)</t>
  </si>
  <si>
    <t>(EF69AR06) Desenvolver processos de criação em artes visuais, com base em temas ou interesses artísticos, de modo individual, coletivo e colaborativo, fazendo uso de materiais, instrumentos e recursos convencionais, alternativos e digitais.</t>
  </si>
  <si>
    <t>Ensinando o computador</t>
  </si>
  <si>
    <t>Conhecer a área de código do startlab.
Localizar os blocos de eventos, controle e aparência.
Implementar um algoritmo para alterar fantasias.</t>
  </si>
  <si>
    <t>Revisão e continuação do projeto anterior.
Introdução à programação no StartLab.
Criação de sequências de animação.</t>
  </si>
  <si>
    <t>23 a 27/03</t>
  </si>
  <si>
    <t>Reconhecendo padrões</t>
  </si>
  <si>
    <t>Reconhecer padrões e automatizar tarefas.
Depurar e refinar códigos para eficiência.
Adicionar, modificar e nomear os personagens no StartLab.</t>
  </si>
  <si>
    <t>Introdução à programação no StartLab.
Adicionar e modificar fantasias no Start Lab.
Otimização de códigos com blocos de controle.</t>
  </si>
  <si>
    <t>Explorando cenários</t>
  </si>
  <si>
    <t>Diferenciar atores e cenários no StartLab.
Modificar cenários no StartLab.
Comparar e diferenciar ferramentas de edição de imagens.</t>
  </si>
  <si>
    <t>Seleção e adição de cenários
Copiar e colar elementos visuais
Diferenças nas ferramentas de edição</t>
  </si>
  <si>
    <t>30/03 a 02/04</t>
  </si>
  <si>
    <t>15 e 16</t>
  </si>
  <si>
    <t>Semana para nivelamento</t>
  </si>
  <si>
    <t>06 a 10/04</t>
  </si>
  <si>
    <t>17 e 18</t>
  </si>
  <si>
    <t>Avaliação das unidades: 
- Lógica de programação: exploração criativa pt 1</t>
  </si>
  <si>
    <t>22 a 24/04</t>
  </si>
  <si>
    <t>19 e 20</t>
  </si>
  <si>
    <t>Recuperação do bimestre</t>
  </si>
  <si>
    <t>22 a 30/04</t>
  </si>
  <si>
    <t>Lógica de programação: exploração criativa pt 2</t>
  </si>
  <si>
    <t>Cenários criativos</t>
  </si>
  <si>
    <t>Modificar cenários variados
Implementar o algoritmo que trocam os cenários
Compartilhar o projeto finalizado</t>
  </si>
  <si>
    <t>Criação de cenários personalizados.
Programação da troca de cenários.
Salvar e compartilhar o projeto.</t>
  </si>
  <si>
    <t>Cartão animado</t>
  </si>
  <si>
    <t>Utilizar atores e cenários para um cartão animado.
Adicionar e organizar textos e personagens no cenário.
Identificar boas práticas de segurança online.</t>
  </si>
  <si>
    <t>Escolha de temas para o cartão animado.
Selecionar os atores do cartão
Noções de segurança online, evitando o compartilhamento de informações pessoais.</t>
  </si>
  <si>
    <t>04 a 08/05</t>
  </si>
  <si>
    <t>Efeitos divertidos</t>
  </si>
  <si>
    <t>Compreender como a alteração de efeitos visuais modifica o comportamento do personagem.
Aplicar repetição com aumento e retorno de valores para controlar efeitos visuais.
Analisar a necessidade de ajustar valores para manter a legibilidade e o funcionamento do algoritmo.</t>
  </si>
  <si>
    <t>Efeitos visuais em personagens (cor e turbilhão).
Lógica de repetição com aumento e diminuição de valores.
Controle de efeitos para manter o comportamento esperado do algoritmo.</t>
  </si>
  <si>
    <t>Reutilização de Código</t>
  </si>
  <si>
    <t>Reutilizar e adaptar códigos desenvolvidos previamente
Experimentar diferentes efeitos visuais para os personagens.
Utilizar a lógica de repetição com aumento positiva e negativa para criar efeitos dinâmicos.</t>
  </si>
  <si>
    <t>Algoritmos com repetições positivas e negativas
Uso de blocos de aparência para modificar efeitos visuais.
Abstração e reutilização de códigos em diferentes atores do projeto.</t>
  </si>
  <si>
    <t>11 a 15/05</t>
  </si>
  <si>
    <t>25 e 26</t>
  </si>
  <si>
    <t>Avaliação das unidades: 
- Lógica de programação: exploração criativa pt 2</t>
  </si>
  <si>
    <t>18 a 22/05</t>
  </si>
  <si>
    <t>Tipos de dados: criando uma coleção de máquinas</t>
  </si>
  <si>
    <t>Criando um concurso de máquinas</t>
  </si>
  <si>
    <t>Compreender a proposta do projeto "Concurso de Máquinas".
Identificar a necessidade de organizar itens em coleções.
Planejar a seleção de itens reais e a criação de um item fictício para o concurso.</t>
  </si>
  <si>
    <t>O que é uma coleção
Coleção de elementos
Planejamento de Projeto Interativo</t>
  </si>
  <si>
    <t>(EF06CO01)</t>
  </si>
  <si>
    <t>(EF06CO01) Classificar informações, agrupando-as em coleções (conjuntos) e associando cada coleção a um ‘tipo de dados</t>
  </si>
  <si>
    <t>Criando fantasias</t>
  </si>
  <si>
    <t>Utilizar as ferramentas de desenho do Start Lab para criar elementos visuais.
Nomear fantasias de atores de forma significativa.
Compreender que elementos podem ser representados por números, textos e imagens</t>
  </si>
  <si>
    <t>Ferramentas de desenho (Start Lab)
Representação de Dados (número, texto, imagem)
Organização de Fantasias/Atores</t>
  </si>
  <si>
    <t>25 a 29/05</t>
  </si>
  <si>
    <t>Sorteando elementos</t>
  </si>
  <si>
    <t>Aplicar blocos de evento para iniciar a execução do programa.
Utilizar o bloco "Mudar fantasia para" para exibir fantasias.
Implementar o bloco "número aleatório" para sortear imagens dinamicamente.</t>
  </si>
  <si>
    <t>Blocos de Eventos (bandeira verde)
Blocos de Aparência (Mudar fantasia para)
Bloco de operadores (número aleatório)</t>
  </si>
  <si>
    <t>(EF06CO05)</t>
  </si>
  <si>
    <t xml:space="preserve">(EF06CO05) Identificar os recursos ou insumos necessários (entradas) para a resolução de problemas, bem como os resultados esperados (saídas), determinando os respectivos tipos de dados, e estabelecendo a definição de problema como uma relação entre entrada e saída. </t>
  </si>
  <si>
    <t>Adicionando interação</t>
  </si>
  <si>
    <t>Criar um botão interativo para iniciar a interação do usuário.
Utilizar blocos de "Diga" para exibir mensagens de boas-vindas.
Implementar o bloco "Pergunte e Espere" para coletar respostas do usuário.</t>
  </si>
  <si>
    <t>Criação de Botões
Blocos de Aparência (Diga)
Sensores (Pergunte e Espere, Resposta)</t>
  </si>
  <si>
    <t>01 a 03/06</t>
  </si>
  <si>
    <t>31 e 32</t>
  </si>
  <si>
    <t>08 a 12/06</t>
  </si>
  <si>
    <t>Validando respostas</t>
  </si>
  <si>
    <t>Aplicar o bloco condicional "Se Então" para verificar condições.
Utilizar operadores de comparação (contém) para validar respostas.
Compreender o tipo de dado booleano (verdadeiro/falso).</t>
  </si>
  <si>
    <t>Estruturas condicionais (Se Então)
Operadores de comparação (contém)
Tipo de dado Booleano</t>
  </si>
  <si>
    <t>(EF06C001) Classificar informações, agrupando-as em coleções (conjuntos) e associando cada coleção a um tipo de dados.</t>
  </si>
  <si>
    <t xml:space="preserve">Comparando respostas </t>
  </si>
  <si>
    <t>Diferenciar o uso dos operadores "igualdade" e "contém".
Utilizar o sensor "nome da fantasia de ator" para validação dinâmica.
Ajustar a lógica de validação para considerar variações na entrada do usuário.</t>
  </si>
  <si>
    <t>Operador de igualdade
Sensor "Nome da Fantasia"
Validação dinâmica de respostas</t>
  </si>
  <si>
    <t>(EF06CO05)
(EF06C001)</t>
  </si>
  <si>
    <t>(EF06C001) Classificar informações, agrupando-as em coleções (conjuntos) e associando cada coleção a um tipo de dados.
(EF06C005) Identificar os insumos necessários (entradas) para a resolução de problemas, bem como os resultados esperados (saídas), determinando os respectivos tipos de dados, estabelecendo a definição de problema como uma relação entre entrada e saída.</t>
  </si>
  <si>
    <t>15 a 19/06</t>
  </si>
  <si>
    <t>Melhorando a experiência</t>
  </si>
  <si>
    <t>Implementar o bloco condicional "Se então senão" para fornecer feedback completo.
Criar mensagens personalizadas para acertos e erros do usuário.
Desenvolver abordagem respeitosa e incentivadora ao lidar com erros.</t>
  </si>
  <si>
    <t>Blocos de Controle ("Se então senão")
Feedback ao usuário
Design de interação (UX)</t>
  </si>
  <si>
    <t>Reflexão</t>
  </si>
  <si>
    <t>Refletir sobre a conexão dos novos conhecimentos com saberes prévios.
Identificar novas ideias e a ampliação do pensamento proporcionada pela unidade.
Formular perguntas e desafios futuros para aprofundar o aprendizado.</t>
  </si>
  <si>
    <t>Revisão de conceitos (coleções, tipos de dados, condicionais)
Processo de aprendizagem e reflexão
Identificação de desafios e próximos passos</t>
  </si>
  <si>
    <t>22 a 26/06</t>
  </si>
  <si>
    <t>37 e 38</t>
  </si>
  <si>
    <t>Avaliação da unidade: 
- Tipos de dados: criando uma coleção de máquinas</t>
  </si>
  <si>
    <t>27 a 31/07</t>
  </si>
  <si>
    <t>39 e 40</t>
  </si>
  <si>
    <t>27/07 a 31/08</t>
  </si>
  <si>
    <t xml:space="preserve">Laços de repetição: explorando narrativas indígenas em busca da palavra secreta </t>
  </si>
  <si>
    <t>Primeiros passos na criação</t>
  </si>
  <si>
    <t xml:space="preserve">Compreender o propósito do projeto Palavra Secreta e como experiências pessoais podem inspirar a criação de jogos.
Identificar o que é uma antologia e reconhecer como elementos culturais podem compor a temática de um projeto.
Refletir e definir a temática do próprio projeto, escolhendo uma possível palavra secreta.
</t>
  </si>
  <si>
    <t>Conceito de antologia
Conhecer o objetivo do projeto
Escolha da temática e definição da palavra secreta</t>
  </si>
  <si>
    <t xml:space="preserve">(EF06CO02) </t>
  </si>
  <si>
    <t>Elaborar algoritmos que envolvam instruções sequenciais, 
de repetição e de seleção usando uma linguagem de programação.</t>
  </si>
  <si>
    <t>(EF67LP28)</t>
  </si>
  <si>
    <t xml:space="preserve">Ler, de forma autônoma, e compreender – selecionando procedimentos e estratégias de leitura adequados a diferentes objetivos e levando em conta características dos gêneros e suportes –, romances infantojuvenis, contos populares, contos de terror, lendas brasileiras, indígenas e africanas, narrativas de aventuras, narrativas de enigma, mitos, crônicas, autobiografias, histórias em quadrinhos, mangás, poemas de forma livre e fixa (como sonetos e cordéis), vídeo-poemas, poemas visuais, dentre outros, expressando avaliação sobre o texto lido e estabelecendo preferências por gêneros, temas, autores. 
</t>
  </si>
  <si>
    <t>Cenário e personagem</t>
  </si>
  <si>
    <t xml:space="preserve">Selecionar cenário e ator no Start Lab.
Entender como registrar a frase com lacuna usando o comentário.
Aplicar blocos de aparência para mostrar mensagem de boas-vindas </t>
  </si>
  <si>
    <t>Escolha e ajuste de cenário e personagem (posicionar e redimensionar).
Definição da palavra secreta e registro da frase com lacuna em comentário.
Programação inicial com "quando bandeira verde for clicada" e blocos de aparência (mensagem e temática).</t>
  </si>
  <si>
    <t>03/08 a 07/08</t>
  </si>
  <si>
    <t>Programando a pergunta</t>
  </si>
  <si>
    <t>Identificar os blocos "pergunte" e "resposta" na categoria Sensores.
Explicar como usar o operador de igualdade em um bloco "se" para comparar a resposta com a palavra secreta.
Aplicar uma estrutura condicional que exiba mensagem de feedback quando a resposta estiver correta.</t>
  </si>
  <si>
    <t>Blocos de entrada e saída: "pergunte" e "resposta" (Sensores).
Estrutura condicional "se" e operador de igualdade para comparação de texto.
Testes e validação: importância da acentuação e mensagens de feedback.</t>
  </si>
  <si>
    <t xml:space="preserve"> Elaborar algoritmos que envolvam instruções sequenciais, 
de repetição e de seleção usando uma linguagem de programação.</t>
  </si>
  <si>
    <t>Repetindo a pergunta até acertar</t>
  </si>
  <si>
    <t>Identificar os blocos "repita" e "repita até que".
Aplicar "repita até que" para permitir várias tentativas até acertar.
Analisar o efeito de colocar comandos dentro ou fora do laço para controlar mensagens.</t>
  </si>
  <si>
    <t>Diferença entre "repita" (n vezes) e "repita até que" (condição).
Posicionamento de comandos dentro/fora do laço e impacto no fluxo do programa.
Testes e ajustes (timers/esperas) para validar comportamento do jogo de adivinhação.</t>
  </si>
  <si>
    <t>10/08 a 14/08</t>
  </si>
  <si>
    <t>Criando as dicas</t>
  </si>
  <si>
    <t>Listar etapas para criar botões e fantasias de dica no código.
Programar botões para trocar de fantasia e revelar dicas quando clicados.
Criar três dicas relevantes à palavra secreta e integrá-las ao jogo.</t>
  </si>
  <si>
    <t>Criação e edição de fantasias (capa e conteúdo) para os botões de dica.
Blocos de controle e eventos: "quando for clicado" e "quando bandeira verde for clicada".
Design das dicas (contraste de cores, tamanho do texto e opção do jogador usar ou não).</t>
  </si>
  <si>
    <t>Ajustando o tempo do jogo</t>
  </si>
  <si>
    <t>Compreender o conceito de variável como uma "caixinha" que guarda valores.
Aprender como inicializar e alterar a variável tempo durante o jogo.
Implementar um temporizador que reduza o valor de tempo em 1 a cada segundo até chegar a zero.</t>
  </si>
  <si>
    <t>Definição e nomeação de variáveis (boas práticas de nome).
Blocos para setar, adicionar/subtrair valor e repetir até (condição tempo = 0).
Controle de tempo real com "esperar 1 segundo" e evento "quando bandeira verde clicado".</t>
  </si>
  <si>
    <t xml:space="preserve">
17/08 a 21/08</t>
  </si>
  <si>
    <t>Últimos ajustes e finalização</t>
  </si>
  <si>
    <t>Identificar os blocos usados para controlar o tempo e para exibir mensagens.
Aplicar o comando espere para sincronizar mensagens iniciais e o início do temporizador.
Criar uma lógica que pare todos os scripts ao exibir uma mensagem de vitória ou derrota.</t>
  </si>
  <si>
    <t>Comando "espere" e sincronização do temporizador.
Estruturas de repetição e posicionamento de blocos (dentro/fora do REPITA).
Comando para parar todos os scripts e revelar a palavra secreta ao fim do tempo.</t>
  </si>
  <si>
    <t>Desenhando formas geométicas</t>
  </si>
  <si>
    <t>Compreender como a variável de tempo é ajustada e utilizada no jogo, incluindo penalidades por uso de dicas.
Aplicar subtrações e ajustes no tempo ao programar dicas com custo, configurando tempos de espera e validando o comportamento final.
Analisar situações que levam o tempo a ficar negativo, criando mensagens informativas e regras que evitem esse problema.</t>
  </si>
  <si>
    <t>Implementação de dicas que retiram segundos do tempo, incluindo mensagens de aviso e penalidade.
Uso de variáveis, operações aritméticas (subtração) e configuração de tempos de espera.
Comparadores lógicos para verificar fim de jogo, evitar tempo negativo e validar o comportamento final do código.</t>
  </si>
  <si>
    <t>(EF06CO02) 
(EF06CO09)</t>
  </si>
  <si>
    <t>Elaborar algoritmos que envolvam instruções sequenciais, de repetição e de seleção usando uma linguagem de programação.
 Apresentar conduta e linguagem apropriadas ao se comunicar em ambiente digital, considerando a ética e o respeito.</t>
  </si>
  <si>
    <t>24/08 a 28/08</t>
  </si>
  <si>
    <t xml:space="preserve">Avaliação da unidade:
- Laços de repetição: explorando narrativas indígenas em busca da palavra secreta </t>
  </si>
  <si>
    <t>31/08 a 04/09</t>
  </si>
  <si>
    <t>Estratégias Computacionais: formas e cores</t>
  </si>
  <si>
    <t>Compreender como formas geométricas podem ser construídas por repetição de comandos
Utilizar blocos de repetição para criar padrões visuais
Identificar a relação entre ação repetida e resultado final (forma geométrica)</t>
  </si>
  <si>
    <t>Repetição de comandos (loops)
Movimentação e orientação no plano (andar e girar)
Construção de formas a partir de padrões repetitivos</t>
  </si>
  <si>
    <t>(EF06CO03)
(EF06CO05)</t>
  </si>
  <si>
    <t xml:space="preserve"> Descrever com precisão a solução de um problema, construindo o programa que implementa a solução descrita. 
 Identificar os recursos ou insumos necessários (entradas) para a resolução de problemas, bem como os resultados esperados (saídas), determinando os respectivos tipos de dados, e estabelecendo a definição de problema como uma relação entre entrada e saída.  </t>
  </si>
  <si>
    <t>Reutilizando o código</t>
  </si>
  <si>
    <t>Reconhecer padrões matemáticos em diferentes formas geométricas
Modificar parâmetros (repetição e giro) para gerar novos resultados
Explorar variações de um mesmo algoritmo para resolver novos problemas</t>
  </si>
  <si>
    <t>Relação entre número de lados e ângulo das formas geométricas
Parâmetros de controle (quantidade de repetições e ângulo)
Variação de algoritmos para gerar diferentes resultados</t>
  </si>
  <si>
    <t>(EF06CO03)
(EF06CO06)</t>
  </si>
  <si>
    <t xml:space="preserve"> Descrever com precisão a solução de um problema, construindo o programa que implementa a solução descrita. 
 Comparar diferentes casos particulares (instâncias) de um mesmo problema, identificando as semelhanças e diferenças entre eles, e criar um algoritmo para resolver todos, fazendo uso de variáveis (parâmetros) para permitir o tratamento de todos os casos de forma genérica.</t>
  </si>
  <si>
    <t>07/09 a 11/09</t>
  </si>
  <si>
    <t>Funções</t>
  </si>
  <si>
    <t>Identificar problemas de repetição e desorganização no código
Criar blocos reutilizáveis (funções) para organizar soluções
Compreender a função como uma forma de reutilizar algoritmos</t>
  </si>
  <si>
    <t>Blocos personalizados (funções)
Organização e reutilização de código
Modularização de algoritmos</t>
  </si>
  <si>
    <t>Descrever com precisão a solução de um problema, construindo o programa que implementa a solução descrita. 
Comparar diferentes casos particulares (instâncias) de um mesmo problema, identificando as semelhanças e diferenças entre eles, e criar um algoritmo para resolver todos, fazendo uso de variáveis (parâmetros) para permitir o tratamento de todos os casos de forma genérica.</t>
  </si>
  <si>
    <t>Envio de mensagens</t>
  </si>
  <si>
    <t>Combinar diferentes funções para criar sequências de ações
Utilizar condições para controlar o comportamento do programa
Construir um algoritmo interativo baseado em escolha do usuário</t>
  </si>
  <si>
    <t>Estruturas condicionais (decisão)
Sequência de execução de comandos
Integração de funções em um sistema interativo</t>
  </si>
  <si>
    <t xml:space="preserve"> Descrever com precisão a solução de um problema, construindo o programa que implementa a solução descrita. 
Identificar os recursos ou insumos necessários (entradas) para a resolução de problemas, bem como os resultados esperados (saídas), determinando os respectivos tipos de dados, e estabelecendo a definição de problema como uma relação entre entrada e saída.  </t>
  </si>
  <si>
    <t>14/09 a 18/09</t>
  </si>
  <si>
    <t>21/09 a 25/09</t>
  </si>
  <si>
    <t>Avaliação da unidade:
- Estratégias Computacionais: fomas e cores</t>
  </si>
  <si>
    <t>28/09 a 02/10</t>
  </si>
  <si>
    <t>Estratégias Computacionais: corrida das somas</t>
  </si>
  <si>
    <t>Corrida matemática</t>
  </si>
  <si>
    <t>Definir o estado inicial de um sistema (posição dos personagens)
Criar uma sequência de ações automatizadas (movimento do personagem)
Utilizar repetição para simular comportamento contínuo</t>
  </si>
  <si>
    <t>Inicialização de variáveis e estado do sistema
Movimentação contínua com repetição
Estrutura básica de um jogo (personagem e ação)</t>
  </si>
  <si>
    <t xml:space="preserve"> Descrever com precisão a solução de um problema, construindo o programa que implementa a solução descrita. 
 Identificar os recursos ou insumos necessários (entradas) para a resolução de problemas, bem como os resultados esperados (saídas), determinando os respectivos tipos de dados, e estabelecendo a definição de problema como uma relação entre entrada e saída. </t>
  </si>
  <si>
    <t>Condições</t>
  </si>
  <si>
    <t>Aplicar estruturas condicionais para tomada de decisão
Relacionar entrada do usuário com comportamento do sistema
Utilizar repetição com condição (até chegar ao final)</t>
  </si>
  <si>
    <t>Estruturas condicionais (SE / ENTÃO)
Entrada do usuário (resposta)
Controle de fluxo baseado em condições</t>
  </si>
  <si>
    <t>05/10 a 09/10</t>
  </si>
  <si>
    <t>21 e 22</t>
  </si>
  <si>
    <t>Avaliação de Substituição do 3º bimestre</t>
  </si>
  <si>
    <t>Desafio com aleatoriedade</t>
  </si>
  <si>
    <t>Utilizar variáveis para armazenar valores dinâmicos
Aplicar números aleatórios para gerar desafios diferentes
Construir expressões combinando texto e variáveis</t>
  </si>
  <si>
    <t>Geração de números aleatórios
Uso de variáveis dinâmicas em cálculos
Construção de expressões matemáticas no código</t>
  </si>
  <si>
    <t>Finalização</t>
  </si>
  <si>
    <t>Implementar estruturas completas de decisão (SE / SENÃO)
Criar regras de sistema (recompensa e penalidade)
Finalizar um algoritmo completo com condição de término</t>
  </si>
  <si>
    <t>Estruturas condicionais completas (SE / SENÃO)
Regras de sistema (pontuação, avanço, erro)
Loops com condição de parada (finalização do programa)</t>
  </si>
  <si>
    <t>12/10 a 16/10</t>
  </si>
  <si>
    <t>23 e 24</t>
  </si>
  <si>
    <t>19/10 a 23/10</t>
  </si>
  <si>
    <t xml:space="preserve">Avaliação da unidade
- Estratégias Computacionais: corrida das somas
</t>
  </si>
  <si>
    <t>24 e 25</t>
  </si>
  <si>
    <t>26/10 a 30/10</t>
  </si>
  <si>
    <t xml:space="preserve">Análise de dados: uma aventura com planilhas
</t>
  </si>
  <si>
    <t>Organização de informações</t>
  </si>
  <si>
    <t>Identificar formas de organizar informações.
Interpretar a situação apresentada.
Escrever um plano de distribuição das fichas.</t>
  </si>
  <si>
    <t>Planejamento e gerenciamento de recursos monetários
Sistema de distribuição de valores para cada pessoa
Colaboração e trabalho em equipe</t>
  </si>
  <si>
    <t>(EF06CO03)
(EF07CO03)</t>
  </si>
  <si>
    <t xml:space="preserve"> Descrever com precisão a solução de um problema, construindo o programa que implementa a solução descrita. 
 Construir soluções computacionais de problemas de diferentes áreas do conhecimento, de forma individual e colaborativa, selecionando as estruturas de dados e técnicas adequadas, aperfeiçoando e articulando saberes escolares.</t>
  </si>
  <si>
    <t xml:space="preserve">(EF67LP28) </t>
  </si>
  <si>
    <t>Ler, de forma autônoma, e compreender – selecionando procedimentos e estratégias de leitura adequados a diferentes objetivos e levando em conta características dos gêneros e suportes –, romances infantojuvenis, contos populares, contos de terror, lendas brasileiras, indígenas e africanas, narrativas de aventuras, narrativas de enigma, mitos, crônicas, autobiografias, histórias em quadrinhos, mangás, poemas de forma livre e fixa (como sonetos e cordéis), vídeo-poemas, poemas visuais, dentre outros, expressando avaliação sobre o texto lido e estabelecendo preferências por gêneros, temas, autores. 
"</t>
  </si>
  <si>
    <t>A mágica das planilhas</t>
  </si>
  <si>
    <t>Compreender as funcionalidades básicas do Google Planilhas.
Utilizar o Google Planilha para criar uma tabela.
Organizar dados em colunas e linhas usando o Google Planilhas.</t>
  </si>
  <si>
    <t>Funcionalidades básicas do Google Planilhas, como selecionar colunas e linhas, utilizar menus e ferramentas de formatação, e ajustar o tamanho das colunas
Títulos para colunas
Estrutura básica de uma planilha</t>
  </si>
  <si>
    <t xml:space="preserve">(EF07CO03)
(EF07CO11) </t>
  </si>
  <si>
    <t xml:space="preserve"> Construir soluções computacionais de problemas de diferentes áreas do conhecimento, de forma individual e colaborativa, selecionando as estruturas de dados e técnicas adequadas, aperfeiçoando e articulando saberes escolares.
Criar, documentar e publicar, de forma individual ou colaborativa, produtos (vídeos, podcasts, web sites) usando recursos de tecnologia.</t>
  </si>
  <si>
    <t>02/11 a 06/11</t>
  </si>
  <si>
    <t>Brincando com operadores</t>
  </si>
  <si>
    <t>Utilizar operações matemáticas (soma, subtração, divisão e multiplicação) e fórmulas utilizando o Google Planilhas.
Compreender o uso de referências de célula para cálculos no Google Planilhas.
Aplicar operadores matemáticos e referências de célula para calcular valores totais e restantes.</t>
  </si>
  <si>
    <t>Operadores matemáticos básicos
Referências de célula para realizar cálculos automáticos
Funcionalidade de preenchimento automático do Google Planilhas</t>
  </si>
  <si>
    <t>Truque das funções</t>
  </si>
  <si>
    <t>Compreender como utilizar funções básicas para realizar cálculos.
Analisar os resultados obtidos a partir do uso de funções.
Identificar padrões em dados.</t>
  </si>
  <si>
    <t>Funções básicas como SOMA, MULTIPLY e MINUS
Referências de intervalo (ex: B2:B13) para aplicar funções a um conjunto de células
Interpretação e análise dos resultados obtidos a partir do uso de funções</t>
  </si>
  <si>
    <t>09/11 a 13/11</t>
  </si>
  <si>
    <t>Adicionando condições</t>
  </si>
  <si>
    <t>Reconhecer o uso da função SE.
Aplicar a função SE.
Criar mensagens personalizadas.</t>
  </si>
  <si>
    <t>Função SE para criar mensagens condicionais que aparecem automaticamente com base em valores específicos nas células da planilha
Modificação de valores de acordo com o uso da função SE
Reflexão sobre como utilizar mensagens para descrever dados</t>
  </si>
  <si>
    <t>(EF06CO03)</t>
  </si>
  <si>
    <t xml:space="preserve"> Descrever com precisão a solução de um problema, construindo o programa que implementa a solução descrita.</t>
  </si>
  <si>
    <t>Segredos da porcentagem</t>
  </si>
  <si>
    <t>Utilizar operações matemáticas (soma, subtração, divisão e multiplicação) e fórmulas utilizando Google Planilhas.
Aplicar formatação em porcentagens.
Personalizar formatação em planilhas eletrônicas.</t>
  </si>
  <si>
    <t>Uso da função de formatação para exibir corretamente porcentagens de gasto
Formatação de células da planilha
Reflexão sobre variações nos gastos e a importância de visualizar os dados de maneira clara</t>
  </si>
  <si>
    <t xml:space="preserve">(EF06CO03) 
(EF07CO03)
(EF07CO11) </t>
  </si>
  <si>
    <t>Descrever com precisão a solução de um problema, construindo o programa que implementa a solução descrita. 
 Construir soluções computacionais de problemas de diferentes áreas do conhecimento, de forma individual e colaborativa, selecionando as estruturas de dados e técnicas adequadas, aperfeiçoando e articulando saberes escolares.
Criar, documentar e publicar, de forma individual ou colaborativa, produtos (vídeos, podcasts, web sites) usando recursos de tecnologia.</t>
  </si>
  <si>
    <t>16/11 a 20/11</t>
  </si>
  <si>
    <t>32 e 33</t>
  </si>
  <si>
    <t>Abertura da avaliação da unidade:
- Análise de dados: uma aventura com planilhas</t>
  </si>
  <si>
    <t>Decifrando dados</t>
  </si>
  <si>
    <t>Identificar o uso das funções máximo, mínimo e contagem.
Aplicar as funções de máximo, mínimo e contagem.
Interpretar informações a partir de dados.</t>
  </si>
  <si>
    <t>Uso das funções de máximo, mínimo e contar para extrair informações importantes de conjuntos de dados em planilhas eletrônicas
Fórmulas para aplicar as funções de planilha em diferentes conjuntos de dados, tanto na vertical quanto na horizontal
Formatação das células da planilha.</t>
  </si>
  <si>
    <t>(EF07CO03)</t>
  </si>
  <si>
    <t xml:space="preserve"> Construir soluções computacionais de problemas de diferentes áreas do conhecimento, de forma individual e colaborativa, selecionando as estruturas de dados e técnicas adequadas, aperfeiçoando e articulando saberes escolares.</t>
  </si>
  <si>
    <t>Arte dos gráficos</t>
  </si>
  <si>
    <t>Compreender a visualização de dados utilizando gráficos.
Gerar gráficos utilizando o Google Planilha.
Identificar diferentes tipos de gráficos.</t>
  </si>
  <si>
    <t>Gráficos com séries de dados numéricos e textuais
Tipos de gráficos
Comparação dos dados organizados em tabela aos dados gerados em gráfico</t>
  </si>
  <si>
    <t xml:space="preserve">(EF07CO11) </t>
  </si>
  <si>
    <t>Criar, documentar e publicar, de forma individual ou colaborativa, produtos (vídeos, podcasts, web sites) usando recursos de tecnologia.</t>
  </si>
  <si>
    <t>23/11 a 27/11</t>
  </si>
  <si>
    <t>Avaliação da unidade:
- Análise de dados: uma aventura com planilhas</t>
  </si>
  <si>
    <t>34 e 35</t>
  </si>
  <si>
    <t>30/11 a 04/12</t>
  </si>
  <si>
    <t>36 e 37</t>
  </si>
  <si>
    <t>07/12 a 11/12</t>
  </si>
  <si>
    <t>Avaliação de Substituição do 4º bimestre</t>
  </si>
  <si>
    <t>38 e 39</t>
  </si>
  <si>
    <t>7º ano</t>
  </si>
  <si>
    <t>Introdução à computação: conhecendo o teclado e o mouse</t>
  </si>
  <si>
    <t>Mãos no teclado</t>
  </si>
  <si>
    <t>Recordar a origem do padrão QWERTY e as funções das teclas que auxiliam na digitação (F, J, Caps Lock, Shift e AltGr).
Compreender o posicionamento correto das mãos e o uso combinado das teclas para formar letras maiúsculas, acentos e caracteres especiais.
Aplicar diferentes combinações de teclas para digitar com precisão e agilidade textos que contenham letras acentuadas e símbolos</t>
  </si>
  <si>
    <t>Uso das teclas de modificação: Caps Lock, Shift e AltGr para escrever letras maiúsculas e acessar caracteres alternativos.
Inserção de acentos e símbolos: combinação de teclas de acento com letras e uso do Shift para caracteres superiores.
Exploração do teclado QWERTY: reconhecimento das funções e posições das teclas que facilitam a digitação e o uso correto dos sinais gráficos.</t>
  </si>
  <si>
    <t>EF03CO06</t>
  </si>
  <si>
    <t>(EF03CO06) Reconhecer que, para um computador realizar tarefas, ele se comunica com o mundo exterior com o uso de interfaces físicas (dispositivos de entrada e saída)</t>
  </si>
  <si>
    <t>Atalhos em ação</t>
  </si>
  <si>
    <t>Conhecer os principais atalhos de teclado usados em editores de texto.
Explicar como combinações com Ctrl e Shift modificam seleção e formatação.
Aplicar atalhos de teclado para editar textos sem usar o mouse.</t>
  </si>
  <si>
    <t>Atalhos essenciais (seleção, copiar/colar/recortar, desfazer, salvar, localizar).
Atalhos de formatação e ajuste de fonte (Ctrl+B/I/U; Ctrl+Shift+./, Ctrl+Shift+,; Ctrl+Backspace).
Uso de atalhos em uma atividade gamificada e de memorização</t>
  </si>
  <si>
    <t>Mouse e 
seus botões</t>
  </si>
  <si>
    <t>Identificar as funções do clique simples, duplo e triplo.
Aplicar o clique duplo para selecionar palavras em um documento.
Criar uma sequência que combine cliques e atalhos de teclado para formatar texto rapidamente.</t>
  </si>
  <si>
    <t>Funções do clique simples, duplo e triplo.
Posicionamento do cursor e seleção de texto com o mouse.
Combinação de cliques com atalhos de teclado para aumentar agilidade.</t>
  </si>
  <si>
    <t>Mais funções do mouse</t>
  </si>
  <si>
    <t>Conhecer a ação de arrastar e soltar para mover texto e imagens em um documento.
Compreender como o botão direito abre menus contextuais e suas opções comuns.
Praticar as funções do mouse: arrastar e soltar, botão direito e demais tipos de cliques.</t>
  </si>
  <si>
    <t>Operações do mouse (segurar e arrastar, botão direito, clique duplo)
Coordenação motora e prática em atividade gamificada
Uso do botão direito</t>
  </si>
  <si>
    <t>Introdução à computação: aprofundando meus estudos</t>
  </si>
  <si>
    <t>Pacote de dados</t>
  </si>
  <si>
    <t>Reconhecer o conceito fundamental de transmissão de dados através de analogias do cotidiano.
Compreender a importância da divisão de informações em pacotes de dados para a comunicação digital.
Aplicar estratégias para ordenar e reagrupar pacotes de dados, simulando a recepção de mensagens.</t>
  </si>
  <si>
    <t>Conceito de transmissão de dados e sua analogia no ambiente escolar.
Divisão de informações em pacotes de dados.
Estratégias para organização de pacotes de dados.</t>
  </si>
  <si>
    <t>EF06CO07 </t>
  </si>
  <si>
    <t xml:space="preserve">(EF06CO07) Entender o processo de transmissão de dados, como a informação é quebrada em pedaços, transmitida em pacotes através de múltiplos equipamentos, e reconstruída no destino. </t>
  </si>
  <si>
    <t>Regras de transmissão de dados</t>
  </si>
  <si>
    <t>Identificar o conceito de protocolo como um conjunto de regras para a transmissão de dados.
Aplicar regras de transmissão de dados em uma simulação para garantir a entrega de mensagens.
Explicar a importância dos protocolos para a confiabilidade e organização da comunicação em redes.</t>
  </si>
  <si>
    <t>Conceito e função dos protocolos na internet
Simulação de transmissão de dados em rede
Analogias para entender pacotes de dados</t>
  </si>
  <si>
    <t>EF07CO06</t>
  </si>
  <si>
    <t xml:space="preserve">(EF07CO06) Compreender o papel de protocolos para a transmissão de dados. </t>
  </si>
  <si>
    <t>A internet: endereços e dados</t>
  </si>
  <si>
    <t>Identificar os conceitos de endereço IP e DNS como elementos cruciais para a localização de informações na internet.
Explicar o processo de transmissão de dados em pacotes e a função dos servidores no acesso a sites.
Analisar a importância da comunicação paralela e da capacidade dos servidores na experiência de navegação em múltiplas abas.</t>
  </si>
  <si>
    <t>Protocolos da Internet: IP e DNS
Transmissão de dados e pacotes
Servidores e acesso paralelo a páginas web</t>
  </si>
  <si>
    <t>EF08CO06</t>
  </si>
  <si>
    <t>(EF08CO06) Entender como é a estrutura e funcionamento da internet.</t>
  </si>
  <si>
    <t>Organizando arquivos digitais</t>
  </si>
  <si>
    <t>Identificar os formatos comuns de arquivos digitais (ex: .zip, .gif, .jpg, texto) e sua finalidade.
Compreender o conceito de compactação de arquivos e a diferença entre arquivos compactados e descompactados.
Aplicar procedimentos para baixar, extrair e organizar arquivos digitais em pastas no computador local.</t>
  </si>
  <si>
    <t>Conceito e identificação de arquivos compactados (.zip).
Procedimento para download e extração de arquivos.
Organização de arquivos em pastas por tipo (imagens, textos, etc.).</t>
  </si>
  <si>
    <t>EF06CO08</t>
  </si>
  <si>
    <t>(EF06CO08) Compreender e utilizar diferentes formas de armazenar, manipular, compactar e recuperar arquivos, documentos e metadados.</t>
  </si>
  <si>
    <t>Avaliação da unidade: 
- Introdução à computação: conhecendo o teclado e o mouse
- Introdução à computação: aprofundando meus estudos</t>
  </si>
  <si>
    <t>Segurança Cibernética: práticas para proteção digital pt 1</t>
  </si>
  <si>
    <t>Rastros na Internet</t>
  </si>
  <si>
    <t>Compreender a diferença entre dados e informações no contexto digital.
Identificar práticas inseguras no uso da internet que podem comprometer dados pessoais.
Refletir sobre os próprios rastros digitais e como eles podem ser utilizados por terceiros.</t>
  </si>
  <si>
    <t>Diferença entre dados e informações digitais.
Como interações online geram perfis pessoais.
Introdução ao conceito de segurança digital e rastros deixados na internet.</t>
  </si>
  <si>
    <t>EF07CO07</t>
  </si>
  <si>
    <t xml:space="preserve">(EF07CO07) Identificar problemas de segurança cibernética e experimentar formas de proteção. </t>
  </si>
  <si>
    <t>Ameaças digitais</t>
  </si>
  <si>
    <t>Analisar como dados pessoais podem ser usados em golpes digitais.
Relacionar ameaças cibernéticas a comportamentos inseguros online.
Identificar formas seguras de agir frente a mensagens e links suspeitos.</t>
  </si>
  <si>
    <t>Tipos de ameaças digitais: malware e phishing.
Estratégias utilizadas por golpistas para obter dados pessoais.
Dicas práticas de prevenção e segurança na internet.</t>
  </si>
  <si>
    <t>Desinformação online</t>
  </si>
  <si>
    <t>Analisar como a engenharia social e a desinformação ameaçam a segurança digital.
Reconhecer riscos associados à exposição de dados pessoais na internet.
Propor estratégias de proteção contra golpes que utilizam dados e imagens pessoais.</t>
  </si>
  <si>
    <t>Ameaças digitais: engenharia social e desinformação (fake news).
Desinformação (fake news) e manipulação de conteúdo (imagens, áudios).
Riscos do compartilhamento de dados e imagens na internet.</t>
  </si>
  <si>
    <t>Empatia digital</t>
  </si>
  <si>
    <t>Refletir sobre atitudes pessoais que impactam a segurança e o respeito no ambiente digital.
Reconhecer a importância da empatia e do respeito nas interações online.
Avaliar os riscos de compartilhamentos impulsivos e conteúdos prejudiciais.</t>
  </si>
  <si>
    <t>Ações individuais e sua relação com a segurança digital.
Empatia, respeito e convivência saudável na internet.
Riscos da disseminação de conteúdos ofensivos ou falsos.</t>
  </si>
  <si>
    <t xml:space="preserve">EF07CO07
EF07CO08
</t>
  </si>
  <si>
    <t xml:space="preserve">(EF07CO07) Identificar problemas de segurança cibernética e experimentar formas de proteção. 
(EF07CO08) Demonstrar empatia sobre opiniões divergentes na web. </t>
  </si>
  <si>
    <t>Avaliação das unidades: 
- Segurança Cibernética: práticas para proteção digital pt 1</t>
  </si>
  <si>
    <t xml:space="preserve">Segurança Cibernética: práticas para proteção digital pt 2
</t>
  </si>
  <si>
    <t>Planejando nosso roteiro</t>
  </si>
  <si>
    <t>Planejar um produto digital com base em temas de segurança digital.
Selecionar um formato e uma mensagem adequada para o público-alvo.
Organizar a estrutura narrativa do produto com começo, meio e fim.</t>
  </si>
  <si>
    <t>Escolha do tema, formato e mensagem do produto digital.
Estrutura narrativa: identificação do problema, solução e encerramento.
Roteirização e planejamento de produção com base na temática escolhida.</t>
  </si>
  <si>
    <t>(EF07CO11)</t>
  </si>
  <si>
    <t>(EF07CO11) Criar, documentar e publicar, de forma individual ou colaborativa, produtos (vídeos, podcasts, web sites) usando recursos de tecnologia.</t>
  </si>
  <si>
    <t>Produção criativa</t>
  </si>
  <si>
    <t>Aplicar conhecimentos prévios para iniciar a produção de um produto digital.
Utilizar ferramentas tecnológicas para criar cenários, personagens e sequências de ações.
Explorar recursos de programação ou gravação para construir narrativas digitais.</t>
  </si>
  <si>
    <t>Interface e funcionalidades básicas do Start Lab.
Criação de personagens, cenários e fantasias.
Início da produção de vídeos, animações ou áudios digitais.</t>
  </si>
  <si>
    <t>Finalização do produto</t>
  </si>
  <si>
    <t>Finalizar o produto digital utilizando recursos de programação e edição.
Revisar elementos técnicos e narrativos da produção digital.
Aprimorar o projeto com base em testes e ajustes de blocos e interações.</t>
  </si>
  <si>
    <t>Inserção e organização de blocos de programação (evento, aparência, controle).
Coordenação de diálogos e transições entre cenários e fantasias.
Avaliação e ajustes finais do projeto digital.</t>
  </si>
  <si>
    <t>Hora de compartilhar</t>
  </si>
  <si>
    <t>Apresentar o produto digital criado, explicando sua mensagem e estrutura.
Refletir sobre os conhecimentos adquiridos durante a unidade.
Valorizar a produção própria e a dos colegas como forma de multiplicação de saberes.</t>
  </si>
  <si>
    <t>Compartilhamento e apresentação dos produtos digitais.
Discussão sobre aprendizados em segurança digital.
Reflexão sobre curiosidades e descobertas feitas ao longo da unidade.</t>
  </si>
  <si>
    <t>Avaliação da unidade: 
- Segurança Cibernética: práticas para proteção digital pt 2</t>
  </si>
  <si>
    <t>Análise de algoritmos: debugando a lógica do número primo</t>
  </si>
  <si>
    <t>Debugar o código</t>
  </si>
  <si>
    <t>Configurar o ambiente de programação, alterando cenários e atores.
Utilizar o bloco "pergunte e espere" para interagir com o usuário.
Criar e manipular variáveis para armazenar dados de entrada.</t>
  </si>
  <si>
    <t>Ambiente de programação visual (Start Lab).
Variáveis e atribuição de valores.
Interação com o usuário (entrada de dados).</t>
  </si>
  <si>
    <t>(EF07C002)</t>
  </si>
  <si>
    <t>(EF07C002) Analisar programas para detectar e remover erros, ampliando a confiança na sua correção.</t>
  </si>
  <si>
    <t>Lógica condicional</t>
  </si>
  <si>
    <t>Identificar padrões numéricos a partir do resto da divisão.
Implementar estruturas condicionais para tomar decisões no código.
Utilizar operadores de comparação para verificar igualdade de valores.</t>
  </si>
  <si>
    <t>Estruturas Condicionais (If/Else).
Variáveis de Controle de Fluxo.
Depuração com Blocos de Saída.</t>
  </si>
  <si>
    <t>Laços de repetição</t>
  </si>
  <si>
    <t>Decompor um problema complexo em etapas menores e gerenciáveis.
Implementar laços de repetição para iterar sobre uma sequência de números.
Utilizar variáveis para contar ocorrências dentro de um loop.</t>
  </si>
  <si>
    <t>Conceito de número primo.
Laços de repetição (loops).
Contadores em programação.</t>
  </si>
  <si>
    <t>Classificando números com lógica</t>
  </si>
  <si>
    <t>Finalizar a lógica de verificação de números primos.
Utilizar fantasias de atores para representar diferentes estados do programa.
Remover blocos de depuração para otimizar a execução do código.</t>
  </si>
  <si>
    <t>Lógica de classificação (primo/não primo).
Controle de fluxo condicional.
Interação visual com atores (fantasias).</t>
  </si>
  <si>
    <t>Bugs de memória</t>
  </si>
  <si>
    <t>Criar uma variável para armazenar uma lista de números divisíveis.
Concatenar strings e variáveis para exibir informações detalhadas.
Reinicializar variáveis para garantir a correta execução do algoritmo.</t>
  </si>
  <si>
    <t>Concatenação de strings.
Armazenamento de listas (implícito em "números divisíveis" como string).
Inicialização de variáveis.</t>
  </si>
  <si>
    <t>Teste de mesa</t>
  </si>
  <si>
    <t>Aplicar a técnica de teste de mesa para simular a execução de um algoritmo.
Identificar e depurar erros lógicos em programas.
Analisar o estado das variáveis em cada passo da execução do código.</t>
  </si>
  <si>
    <t>Teste de mesa (desk checking).
Depuração (debugging).
Análise de variáveis.</t>
  </si>
  <si>
    <t>Organizando códigos</t>
  </si>
  <si>
    <t>Organizar o código em blocos lógicos para melhorar a legibilidade.
Criar e utilizar blocos personalizados para modularizar o programa.
Decompor o problema em módulos para facilitar a manutenção e depuração.</t>
  </si>
  <si>
    <t>Modularização de código.
Funções/blocos personalizados.
Organização e legibilidade do código.</t>
  </si>
  <si>
    <t>Bugs de tempo</t>
  </si>
  <si>
    <t>Otimizar a performance de algoritmos para números grandes.
Implementar uma parada antecipada na execução do script.
Analisar o trade-off entre performance e a completude da informação exibida.</t>
  </si>
  <si>
    <t>Otimização de algoritmos.
Controle de fluxo (parar script).
Eficiência computacional.</t>
  </si>
  <si>
    <t>Avaliação das unidades: 
Análise de algoritmos: debugando a lógica do número primo</t>
  </si>
  <si>
    <t>Avaliação de recuperação do bimestre</t>
  </si>
  <si>
    <t>Listas: lógica e magia na programação</t>
  </si>
  <si>
    <t>Personagens e cenários</t>
  </si>
  <si>
    <t>Identificar o processo de criação e edição de personagens e cenários no ambiente StartLab.
Aplicar a técnica de renomeação de personagens e cenários para facilitar a organização do projeto.
Utilizar blocos de código para definir posições e trocas aleatórias de personagens e cenários.</t>
  </si>
  <si>
    <t>Navegação e uso da ferramenta StartLab para criação de projetos.
Edição e renomeação de personagens e cenários.
Programação básica com blocos para aleatoriedade e controle de posição no ambiente de programação visual.</t>
  </si>
  <si>
    <t xml:space="preserve">(EF07CO03) </t>
  </si>
  <si>
    <t>Construir soluções computacionais de problemas de diferentes áreas do conhecimento, de forma individual e colaborativa, selecionando as estruturas de dados e técnicas adequadas, aperfeiçoando e articulando saberes escolares.</t>
  </si>
  <si>
    <t xml:space="preserve">(EF07MA34) 
(EF07LP07)
</t>
  </si>
  <si>
    <t>Planejar e realizar experimentos aleatórios ou simulações que envolvem cálculo de probabilidades ou estimativas por meio de frequência de ocorrências.
Identificar, em textos lidos ou de produção própria, a estrutura básica da oração: sujeito, predicado, complemento (objetos direto e indireto).</t>
  </si>
  <si>
    <t>Listas e variáveis</t>
  </si>
  <si>
    <t>Explicar o uso de variáveis para armazenar e exibir personagens e cenários selecionados no projeto.
Criar variáveis e listas para registrar ações e customizar interações no StartLab.
Manipular listas e variáveis para personalizar ações e executar comandos sequenciais.</t>
  </si>
  <si>
    <t>Criação e uso de variáveis para armazenar dados no Start Lab.
Configuração de listas para organizar e executar ações desejadas.
Aplicação de blocos para manipulação de variáveis e execução de ações no ambiente de programação.</t>
  </si>
  <si>
    <t xml:space="preserve">(EF07CO01) </t>
  </si>
  <si>
    <t>Criar soluções de problemas para os quais seja adequado o uso de registros e matrizes unidimensionais para descrever suas informações e automatizá-las usando uma linguagem de programação.</t>
  </si>
  <si>
    <t>Criando ações e mensagens</t>
  </si>
  <si>
    <t>Localizar e criar variáveis para selecionar ações de listas no StartLab.
Explicar a utilização de blocos de mensagem para organizar e transmitir ações.
Aplicar sequências de ações aleatórias em frases, ajustando verbos e complementos.</t>
  </si>
  <si>
    <t>Criação e manipulação de variáveis para seleção de ações.
Uso de blocos de mensagem para coordenar ações de personagens.
Estruturação de frases dinâmicas com ajustes verbais no Start Lab.</t>
  </si>
  <si>
    <t xml:space="preserve">(EF07CO01) 
(EF07CO03) </t>
  </si>
  <si>
    <t>Criar soluções de problemas para os quais seja adequado o uso de registros e matrizes unidimensionais para descrever suas informações e automatizá-las usando uma linguagem de programação.
Construir soluções computacionais de problemas de diferentes áreas do conhecimento, de forma individual e colaborativa, selecionando as estruturas de dados e técnicas adequadas, aperfeiçoando e articulando saberes escolares.</t>
  </si>
  <si>
    <t>Sons e movimentos com mensagens</t>
  </si>
  <si>
    <t>Identificar as opções de sons e ações no editor de programação.
Aplicar comandos de sons e movimentos para criar efeitos personalizados no projeto.
Experimentar diferentes blocos para programar ações sincronizadas e efeitos visuais.</t>
  </si>
  <si>
    <t>Blocos de som e efeitos sonoros
Programação de ações e movimentos com blocos
Sincronização entre sons e movimentos</t>
  </si>
  <si>
    <t>Truque de mágica</t>
  </si>
  <si>
    <t>Identificar e configurar sprites e cenários para criar uma simulação interativa.
Aplicar comandos de movimentação e aleatoriedade para criar o efeito de embaralhamento dos copos.
Experimentar eventos e mensagens para controlar a sequência de ações no jogo.</t>
  </si>
  <si>
    <t>Duplicação e personalização de sprites
Uso de coordenadas para posicionamento de objetos
Comando de aleatoriedade e repetição para movimentação</t>
  </si>
  <si>
    <t>Lógica e aleatoriedade</t>
  </si>
  <si>
    <t>Explicar o funcionamento de uma lista e o uso de variáveis para armazenar posições fixas no código.
Aplicar um algoritmo de embaralhamento que garanta a alternância das posições dos copos, sem valores aleatórios indesejados.
Testar e ajustar o comportamento do programa para assegurar que os copos troquem de posição corretamente, criando uma experiência de jogo confiável.</t>
  </si>
  <si>
    <t>Criação e manipulação de listas para posições fixas
Implementação de variáveis para sorteio e troca de valores fixos
Troca controlada de posições dos itens da lista e repetição para embaralhamento</t>
  </si>
  <si>
    <t>Tornando o jogo mais rápido</t>
  </si>
  <si>
    <t>Ajustar a velocidade de execução do embaralhamento usando variáveis de tempo para criar um desafio mais dinâmico.
Configurar o número de repetições e o uso de um bloco de loop contínuo para aumentar a aleatoriedade do embaralhamento.
Duplicar e posicionar novos copos, integrando-os ao algoritmo de embaralhamento para adicionar complexidade ao jogo.</t>
  </si>
  <si>
    <t>Controle de velocidade com variáveis de tempo
Implementação de loops contínuos para embaralhamento
Inclusão de novos copos e ajuste de coordenadas para posições adicionais</t>
  </si>
  <si>
    <t>Criar soluções de problemas para os quais seja adequado o uso de registros e matrizes unidimensionais para descrever suas informações e automatizá-las usando uma linguagem de programação.
 Construir soluções computacionais de problemas de diferentes áreas do conhecimento, de forma individual e colaborativa, selecionando as estruturas de dados e técnicas adequadas, aperfeiçoando e articulando saberes escolares.</t>
  </si>
  <si>
    <t>Mágica com programação</t>
  </si>
  <si>
    <t>Identificar e remover elementos redundantes no código para simplificar e otimizar o projeto.
Aplicar ajustes visuais sutis em sprites para criar diferenciais que permitam localizar a moeda durante o jogo.
Configurar mensagens e comandos para mostrar brevemente a posição da moeda, criando um truque de mágica programado.</t>
  </si>
  <si>
    <t>Refatoração e simplificação de código para eliminar redundâncias
Ajuste visual estratégico em sprites para criação de pistas ocultas
Uso de mensagens e controles de tempo para revelar e ocultar a moeda</t>
  </si>
  <si>
    <t>Avaliação da unidade:
- Listas: lógica e magia na programação</t>
  </si>
  <si>
    <t xml:space="preserve">Decomposição: trabalhando o reuso de código com funções
</t>
  </si>
  <si>
    <t>Estruturando meu jogo</t>
  </si>
  <si>
    <t>Compreender a decomposição de problemas na construção de soluções computacionais.
Reconhecer estruturas de dados em projetos digitais.
Utilizar entradas de dados para armazenar e organizar informações.</t>
  </si>
  <si>
    <t>Decomposição de problemas.
Estrutura de dados do tipo lista.
Entrada e saídas de dados</t>
  </si>
  <si>
    <t>(EF07CO05)</t>
  </si>
  <si>
    <t xml:space="preserve"> Criar algoritmos fazendo uso da decomposição e do reúso no processo de solução de forma colaborativa e cooperativa e automatizá-los usando uma linguagem de programação</t>
  </si>
  <si>
    <t>Jogando a primeira rodada</t>
  </si>
  <si>
    <t>Relacionar conhecimentos escolares a soluções computacionais.
Implementar condicionais na lógica de pontuação.
Manipular listas e variáveis no jogo digital.</t>
  </si>
  <si>
    <t>Lógica condicional.
Manipulação de listas.
Manipulação de variáveis.</t>
  </si>
  <si>
    <t>Jogando 3 rodadas</t>
  </si>
  <si>
    <t>Compreender o uso de funções na organização do código.
Relacionar o reúso de código à eficiência de soluções computacionais.
Aplicar repetições para controlar rodadas no jogo digital.</t>
  </si>
  <si>
    <t>Funções com parâmetros.
Reúso de código.
Repetição com índice.</t>
  </si>
  <si>
    <t>Definindo o total do placar</t>
  </si>
  <si>
    <t>Identificar padrões na estrutura do código.
Revisar e organizar funções para aprimorar a solução digital.
Reconhecer como diferentes técnicas contribuem para a solução computacional.</t>
  </si>
  <si>
    <t>Reconhecimento de padrões.
Revisão e organização do código.
Refinando do código.</t>
  </si>
  <si>
    <t>Avaliação da unidade:
- Decomposição: trabalhando o reuso de código com funções</t>
  </si>
  <si>
    <t>Cyberbullying: questionando comportamentos para promover empatia</t>
  </si>
  <si>
    <t>Iniciando nossa jornada</t>
  </si>
  <si>
    <t>Analisar e refletir sobre situações que apresentam comportamentos característicos de bullying e cyberbullying.
Reconhecer comportamentos que caracterizam o bullying.
Entender o cyberbullying como um derivado virtual do bullying.</t>
  </si>
  <si>
    <t>Cultura digital
Cyberbullying
Respeito aos direitos autorais e uso adequado de imagens</t>
  </si>
  <si>
    <t xml:space="preserve">(EF07CO09) </t>
  </si>
  <si>
    <t>Reconhecer e debater sobre cyberbullying.</t>
  </si>
  <si>
    <t>Definindo o que é cyberbullying</t>
  </si>
  <si>
    <t>Nomear as diferenças entre bullying e cyberbullying, destacando o conceito de recorrência.
Explicar como a recorrência e o ambiente influenciam na caracterização de uma situação como bullying ou cyberbullying.
Analisar diferentes cenários de interações online e avaliar se configuram bullying, cyberbullying ou apenas uma brincadeira isolada.</t>
  </si>
  <si>
    <t>Diferença entre bullying e cyberbullying (ambiente e recorrência).
O impacto da intimidação online no comportamento e desempenho das vítimas.
Reflexão sobre como agir em situações de cyberbullying, seja como vítima, praticante ou observador.</t>
  </si>
  <si>
    <t>Como agir nessas situações?</t>
  </si>
  <si>
    <t>Nomear os três perfis envolvidos no cyberbullying: vítima, agressor e observador.
Analisar situações reais de cyberbullying e propor soluções adequadas para cada perfil envolvido.
Explicar como cada perfil pode agir diante de uma situação de cyberbullying para minimizar impactos negativos.</t>
  </si>
  <si>
    <t>Os três perfis do cyberbullying: vítima, agressor e observador.
Estratégias para lidar com o cyberbullying em cada uma dessas posições.
Reflexão sobre como denunciar e combater o cyberbullying de forma responsável.</t>
  </si>
  <si>
    <t>Conscientizando a escola</t>
  </si>
  <si>
    <t>Listar diferentes formas de conscientização sobre o cyberbullying na escola e na comunidade.
Explicar a importância de iniciativas coletivas para prevenir e combater o cyberbullying.
Criar e divulgar materiais de conscientização sobre cyberbullying, como cartazes, vídeos, podcasts ou apresentações.</t>
  </si>
  <si>
    <t>Estratégias de conscientização sobre o cyberbullying na escola.
Criação de campanhas e materiais educativos.
A importância do primeiro passo na resolução de problemas sociais.</t>
  </si>
  <si>
    <t xml:space="preserve">Avaliação da unidade:
- Cyberbullying: questionando comportamentos para promover empatia
</t>
  </si>
  <si>
    <t>Investigação com grafos</t>
  </si>
  <si>
    <t>Entendendo grafos</t>
  </si>
  <si>
    <t>Grafos como estruturas de representação de conexões
Nó e aresta como elementos fundamentais de um grafo
Construção incremental de um grafo a partir de informações contextuais</t>
  </si>
  <si>
    <t>Compreender o que é um grafo e identificar seus elementos básicos
Representar elementos e relações de um problema real como nós e arestas
Construir um grafo físico no mural</t>
  </si>
  <si>
    <t xml:space="preserve">(EF07CO04) </t>
  </si>
  <si>
    <t>Explorar
propriedades básicas de grafos</t>
  </si>
  <si>
    <t>Graus dos nós</t>
  </si>
  <si>
    <t>Grau do nó como propriedade local do grafo
Relação entre grau e centralidade de um nó
Cálculo e comparação do grau entre diferentes nós</t>
  </si>
  <si>
    <t>Calcular o grau de cada nó a partir do grafo desenhado
Relacionar grau alto com maior acesso e influência no contexto do problema
Reconhecer o grau como uma propriedade mensurável do grafo</t>
  </si>
  <si>
    <t>Grafo direcionado</t>
  </si>
  <si>
    <t>Grafo direcionado e a propriedade direção das arestas
Diferença entre relações simétricas e assimétricas num grafo
Representação de relações de mão única como arestas com seta</t>
  </si>
  <si>
    <t>Compreender a diferença entre arestas bidirecionais e direcionadas
Representar relações assimétricas no mural físico usando setas
Interpretar o significado da direção de uma aresta no contexto de um problema real</t>
  </si>
  <si>
    <t>Grafo ponderado</t>
  </si>
  <si>
    <t>Grafo ponderado e o conceito de peso como valor numérico nas arestas
Cálculo e comparação de distâncias entre nós usando pesos
Análise combinada de propriedades do grafo — grau, direção e pesO</t>
  </si>
  <si>
    <t>Compreender o conceito de peso e representá-lo nas arestas de um grafo
Calcular e comparar distâncias entre nós usando os pesos das arestas
Aplicar as três propriedades — grau, direção e peso — de forma integrada para chegar a uma conclusão</t>
  </si>
  <si>
    <t>Ciclos e Circuitos</t>
  </si>
  <si>
    <t>Conceito de caminho fechado (Ciclo).
Relação entre ciclos e repetição de informação.
Identificação de caminhos em um grafo.</t>
  </si>
  <si>
    <t>Identificar visualmente a existência de ciclos em uma rede.
Compreender como um ciclo permite que a informação retorne à origem.
Representar graficamente o fluxo de informações cíclicas.</t>
  </si>
  <si>
    <t>Estruturas de Hierarquia</t>
  </si>
  <si>
    <t>Estruturas de grafos direcionados sem ciclos.
Conceito de níveis e camadas em uma rede.
Fluxo unidirecional de informação e autoridade.</t>
  </si>
  <si>
    <t>Diferenciar colaborativa de uma rede hierárquica.
Utilizar setas (direção) para representar relações de poder ou ordem de processos.
Organizar elementos do projeto de forma verticalizada.</t>
  </si>
  <si>
    <t>Grafos em Árvore</t>
  </si>
  <si>
    <t>Estrutura das árvores em grafos (raiz, galhos e folhas).
Diferença entre árvores e redes com ciclos.
Fluxo e expansão de informações em estruturas hierárquicas.</t>
  </si>
  <si>
    <t>Construir uma árvore completa a partir de um nó raiz.
Identificar nós intermediários e nós folha em uma rede.
Representar visualmente como uma informação se espalha em uma estrutura hierárquica.</t>
  </si>
  <si>
    <t xml:space="preserve">(EF07CO04)
(EF09CO01) </t>
  </si>
  <si>
    <t xml:space="preserve"> Explorar propriedades básicas de grafos
Criar soluções de problemas para os quais seja adequado o uso de árvores e grafos para descrever suas informações e automatizá-las usando uma linguagem de programação.
</t>
  </si>
  <si>
    <t>Integração dos Conceitos de Grafos</t>
  </si>
  <si>
    <t>Comparação entre redes emaranhadas e redes organizadas em árvore.
Revisão dos conceitos de ciclo, centralidade, hierarquia e árvore.
Organização visual de informações em mapas de conexões.</t>
  </si>
  <si>
    <t xml:space="preserve">Avaliação da unidade:
- Investigação com grafos
</t>
  </si>
  <si>
    <t>8º ano</t>
  </si>
  <si>
    <t>Introdução à computação: explorando recursos de edição de texto</t>
  </si>
  <si>
    <t>Conhecendo o explorador de arquivos</t>
  </si>
  <si>
    <t>Identificar as partes básicas de navegação do computador (área de trabalho, barra de tarefas, configurações, etc).
Entender o explorador de arquivos e suas pastas.
Criar e nomear pastas na área de trabalho.</t>
  </si>
  <si>
    <t>Estrutura básica do computador.
Tipos de arquivo.
Organização de arquivos e pastas.</t>
  </si>
  <si>
    <t xml:space="preserve">(EF06CO08) </t>
  </si>
  <si>
    <t xml:space="preserve">(EF06CO08) Compreender e utilizar diferentes formas de armazenar, manipular, compactar e recuperar arquivos, documentos e metadados. </t>
  </si>
  <si>
    <t>Iniciando o roteior dos sonhos</t>
  </si>
  <si>
    <t xml:space="preserve">Abrir e salvar documentos no Google Docs. 
Realizar pesquisas seguras na internet, checando fontes confiáveis
Inserir textos simples (negrito, itálico, sublinhado). </t>
  </si>
  <si>
    <t xml:space="preserve">Editores de texto (Docs) 
Pesquisa segura na internet 
Organização básica de texto (parágrafo, título) </t>
  </si>
  <si>
    <t>(EF06CO09)
(EF07CO11)</t>
  </si>
  <si>
    <t>(EF06CO09) Apresentar conduta e linguagem apropriadas ao se comunicar em ambiente digital, considerando a ética e o respeito.  
(EF07CO11) Criar, documentar e publicar, de forma individual ou colaborativa, produtos (vídeos, podcasts, web sites) usando recursos de tecnologia.</t>
  </si>
  <si>
    <t>Adicionando imagens e símbolos</t>
  </si>
  <si>
    <t>Inserir imagens no documento, explorando seus direitos autorais
Inserir símbolos e emojis para personalizar o texto. 
Aprimorar o visual do documento, ajustando a disposição das imagens.</t>
  </si>
  <si>
    <t>Inserção de imagens 
Símbolos e emojis 
Layout e disposição de imagens</t>
  </si>
  <si>
    <t>(EF06CO09)
(EF09CO09)</t>
  </si>
  <si>
    <t xml:space="preserve">(EF06CO09) Apresentar conduta e linguagem apropriadas ao se comunicar em ambiente digital, considerando a ética e o respeito.
(EF09CO09) 	Criar ou utilizar conteúdo em meio digital, compreendendo questões éticas relacionadas a direitos autorais e de uso de imagem.  </t>
  </si>
  <si>
    <t>Estilizando o texto</t>
  </si>
  <si>
    <t>Aplicar formatação de fonte, cor, tamanho e alinhamento.
Utilizar estilos para títulos e subtítulos.
Usar atalhos de formatação (Ctrl+B, Ctrl+I, Ctrl+U).</t>
  </si>
  <si>
    <t>Formatação de fonte (cor, tamanho, tipo).
Alinhamento de texto.
Estilos de título e subtítulo.</t>
  </si>
  <si>
    <t xml:space="preserve">(EF07CO11) Criar, documentar e publicar, de forma individual ou colaborativa, produtos (vídeos, podcasts, web sites) usando recursos de tecnologia.  </t>
  </si>
  <si>
    <t>Comparando locais com tabelas</t>
  </si>
  <si>
    <t>Criar e editar tabelas para organizar dados.
Ajustar bordas, alinhamento e espaçamento em tabelas.
Utilizar tabelas para comparar informações de forma estruturada.</t>
  </si>
  <si>
    <t>Criação e edição de tabelas.
Formatação de tabelas.
Organização de dados para análise e comparação.</t>
  </si>
  <si>
    <t xml:space="preserve">(EF07CO11)  </t>
  </si>
  <si>
    <t>Revisão ortográfica</t>
  </si>
  <si>
    <t>Utilizar o corretor ortográfico e gramatical do Google Docs, refletindo sobre a sua precisão.
Realizar leitura crítica e ajustes no texto.
Usar atalhos para navegação rápida no documento.</t>
  </si>
  <si>
    <t>Corretor ortográfico e gramatical.
Revisão textual.
Atalhos de navegação (Ctrl+Home, Ctrl+End, Ctrl+F).</t>
  </si>
  <si>
    <t xml:space="preserve">(EF06CO09) </t>
  </si>
  <si>
    <t xml:space="preserve">(EF06CO09) Apresentar conduta e linguagem apropriadas ao se comunicar em ambiente digital, considerando a ética e o respeito.  </t>
  </si>
  <si>
    <t>Criando um menu de navegação</t>
  </si>
  <si>
    <t>Utilizar estilos de título para gerar um sumário automático.
Atualizar o sumário após alterações no documento.
Revisar a formatação geral do documento para consistência.</t>
  </si>
  <si>
    <t>Sumário automático.
Estilos de título (cabeçalhos).
Navegação estruturada em documentos.</t>
  </si>
  <si>
    <t>Apresentando o projeto</t>
  </si>
  <si>
    <t>Exportar o documento final como PDF.
Organizar a apresentação do trabalho.
Preparar uma apresentação oral do projeto.</t>
  </si>
  <si>
    <t>Exportação de documentos (PDF).
Técnicas de apresentação oral.
Organização de projetos digitais.</t>
  </si>
  <si>
    <t>Avaliação da unidade: 
- Introdução à computação: explorando recursos de edição de texto</t>
  </si>
  <si>
    <t>Lógica de programação: jogos, arte e criatividade pt 1</t>
  </si>
  <si>
    <t>Pega pega</t>
  </si>
  <si>
    <t>Video</t>
  </si>
  <si>
    <t>Relembrar quais são as regras do pega pega
Compreender como se movimenta um personagem com o ponteiro do mouse
Localizar personagens e cenários no startlab</t>
  </si>
  <si>
    <t>Personagens e cenários
Movimentar personagens com o modo seguindo o ponteiro do mouse e com deslize por 1 segundo. 
Aplicar laço de repetição (sempre)</t>
  </si>
  <si>
    <t>(EF07CO02)</t>
  </si>
  <si>
    <t>(EF07CO02) Analisar programas para detectar e remover erros, ampliando a confiança na sua correção.</t>
  </si>
  <si>
    <t>(EF08MA18)</t>
  </si>
  <si>
    <t>(EF08MA18) Reconhecer e construir figuras obtidas por composições de transformações geométricas (translação, reflexão e rotação), com o uso de instrumentos de desenho ou de softwares de geometria dinâmica.</t>
  </si>
  <si>
    <t>Correr ou deslizar?</t>
  </si>
  <si>
    <t>Compreender o uso do bloco mova passos e aplicá-lo para controlar o movimento de personagens
Identificar diferenças entre os blocos de movimento
Entender a importância do critério de parada em algoritmos e sua aplicação prática.</t>
  </si>
  <si>
    <t>Utilizar blocos de movimento
Criar critério de parada
Aplicar estrutura condicional (se então)</t>
  </si>
  <si>
    <t>(EF08CO04)</t>
  </si>
  <si>
    <t>(EF08CO04) Construir soluções computacionais de problemas de diferentes áreas do conhecimento, de forma individual e colaborativa, selecionando as estruturas de dados e técnicas adequadas, aperfeiçoando e articulando saberes escolares.</t>
  </si>
  <si>
    <t>Quem é mais rápído?</t>
  </si>
  <si>
    <t>Localizar os blocos de controle no ambiente do StartLab
Compreender que as variáveis podem aumentar ou diminuir um valor
Experimentar diferentes valores de incrimento em uma variável</t>
  </si>
  <si>
    <t xml:space="preserve">Criação de variável
Aplicar de incremento á variável
Criar condição inicial </t>
  </si>
  <si>
    <t>Pega pega e esconde esconde</t>
  </si>
  <si>
    <t>Implementar a funcionalidade de esconder e mostrar personagens em um jogo.
Depurar erros lógicos relacionados ao controle de visibilidade de atores.
Assegurar o estado inicial correto dos elementos de um jogo.</t>
  </si>
  <si>
    <t>Eventos em programação.
Controle de aparência de atores.
Depuração de código.</t>
  </si>
  <si>
    <t>Avaliação das unidades: 
- Lógica de programação: jogos, arte e criatividade pt 1</t>
  </si>
  <si>
    <t>Lógica de programação: jogos, arte e criatividade pt 2</t>
  </si>
  <si>
    <t>Desenho com caneta</t>
  </si>
  <si>
    <t>Localizar e aplicar a extensão da caneta no ambiente do StartLab
Compreender as funcionalidades da extensão da caneta
Modificar o tamanho de um personagem no startlab</t>
  </si>
  <si>
    <t>Aplicar extensão da caneta
Utilizar cores e tamanhos da caneta
Selecionar tamanho do ator</t>
  </si>
  <si>
    <t>Caneta simétrica</t>
  </si>
  <si>
    <t>Reconhecer que a tela do startlab é uma representação do plano cartesiano
Reconhecer padrões de código para reutilizar trechos do código
Aplicar efeitos de aparência para melhorar a usabilidade do programa</t>
  </si>
  <si>
    <t>Duplicar atores e códigos
Aplicar operadores matemáticos
Compreender plano cartesiano do StartLab</t>
  </si>
  <si>
    <t>(EF07CO02)
(EF08CO04</t>
  </si>
  <si>
    <t>(EF07CO02) Analisar programas para detectar e remover erros, ampliando a confiança na sua correção.
(EF08CO04) Construir soluções computacionais de problemas de diferentes áreas do conhecimento, de forma individual e colaborativa, selecionando as estruturas de dados e técnicas adequadas, aperfeiçoando e articulando saberes escolares.</t>
  </si>
  <si>
    <t>Mais canetas</t>
  </si>
  <si>
    <t>Manipular coordenadas x e y do plano carteasiano 
Reconhecer padrões de código para reutilizar trechos do código
Identificar trechos do código que alteram a simetria</t>
  </si>
  <si>
    <t>(EF08CO04</t>
  </si>
  <si>
    <t>Levanta a caneta</t>
  </si>
  <si>
    <t>Modificar a visualização de personagens no startlab
Diferenciar o critério se do critério senão 
Compreender as diferenças entre levantar e usar a caneta</t>
  </si>
  <si>
    <t>Aplicar recursos da extensão da caneta
Reutilizar códigos reconhecendo padrões
Localizar os blocos de controle no ambiente do Startlab</t>
  </si>
  <si>
    <t>Avaliação da unidade: 
- Lógica de programação: jogos, arte e criatividade pt 2</t>
  </si>
  <si>
    <t>Recursão: desenhando padrões que se repetem</t>
  </si>
  <si>
    <t>Contagem regressiva</t>
  </si>
  <si>
    <t>Criar uma contagem regressiva utilizando lógica de programação.
Adicionar e configurar cenários e atores para uma narrativa interativa.
Diferenciar laços de repetição em algoritmos.</t>
  </si>
  <si>
    <t>Contagem regressiva.
Configuração de cenários e atores.
Blocos de repetição (sempre e repita).</t>
  </si>
  <si>
    <t>(EF08MA01)</t>
  </si>
  <si>
    <t xml:space="preserve">(EF08MA01) Efetuar cálculos com potências de expoentes inteiros e aplicar esse conhecimento na representação de números em notação científica. </t>
  </si>
  <si>
    <t>Comunicação dos atores</t>
  </si>
  <si>
    <t>Fazer atores se comunicarem usando transmissão de mensagens.
Automatizar a contagem regressiva com laços de repetição.
Utilizar variáveis para armazenar e alterar valores dinamicamente.</t>
  </si>
  <si>
    <t>Transmissão de mensagem.
Laço de repetição (bloco Repita).
Variáveis.</t>
  </si>
  <si>
    <t>Iteração x Recursão</t>
  </si>
  <si>
    <t>Comparar os métodos iterativo e recursivo para resolver problemas.
Aplicar a recursão na criação de uma contagem regressiva.
Criar funções personalizadas com critérios de parada.</t>
  </si>
  <si>
    <t>Método iterativo.
Método recursivo.
Critério de parada.</t>
  </si>
  <si>
    <t>(EF08CO01)</t>
  </si>
  <si>
    <t xml:space="preserve">(EF08CO01) Construir soluções de problemas usando a técnica de recursão e automatizar tais soluções usando uma linguagem de programação. </t>
  </si>
  <si>
    <t>Recursão no dia a dia</t>
  </si>
  <si>
    <t>Resolver problemas matemáticos utilizando algoritmos recursivos.
Utilizar recursão com múltiplos parâmetros em funções.
Analisar o fluxo de execução de uma função recursiva.</t>
  </si>
  <si>
    <t>Recursão com múltiplos parâmetros.
Critério de parada.
Operação de multiplicação em recursão.</t>
  </si>
  <si>
    <t>Arte generativa</t>
  </si>
  <si>
    <t>Criar arte generativa utilizando programação e eventos.
Utilizar a extensão da caneta para desenhar formas geométricas.
Coordenar a comunicação entre palco e ator para ações de desenho.</t>
  </si>
  <si>
    <t>Arte generativa.
Eventos (clique no palco).
Extensão da caneta.</t>
  </si>
  <si>
    <t>Desenhos recursivos</t>
  </si>
  <si>
    <t>Transformar desenhos baseados em laços de repetição em código recursivo.
Implementar funções recursivas com um único parâmetro de entrada.
Definir e aplicar critérios de parada para evitar loops infinitos.</t>
  </si>
  <si>
    <t>Recursão para desenhos.
Critério de parada em recursão.
Decremento de parâmetros.</t>
  </si>
  <si>
    <t>Constelações dinâmicas</t>
  </si>
  <si>
    <t>Criar desenhos recursivos variados utilizando múltiplos parâmetros.
Aplicar números aleatórios para gerar padrões visuais únicos.
Controlar a distância e direção dos desenhos com parâmetros.</t>
  </si>
  <si>
    <t>Recursão com múltiplos parâmetros.
Números aleatórios.
Critério de parada.</t>
  </si>
  <si>
    <t>Criando padrões naturais</t>
  </si>
  <si>
    <t>Recriar padrões naturais, como a flor de girassol, usando recursão.
Aplicar o conceito do ângulo dourado (137,5°) em desenhos generativos.
Compreender a relação entre a sequência de Fibonacci e padrões naturais.</t>
  </si>
  <si>
    <t>Recursão em padrões naturais.
Ângulo dourado (137,5°).
Sequência de Fibonacci.</t>
  </si>
  <si>
    <t>22/06 a 26/06</t>
  </si>
  <si>
    <t>Avaliação da unidade: 
- Recursão: desenhando padrões que se repetem</t>
  </si>
  <si>
    <t>Lógica de programação: fundamentos e desafios em Python</t>
  </si>
  <si>
    <t>Operações e print</t>
  </si>
  <si>
    <t>Recordar os tipos de dados básicos em Python: int, float e str.
Reconhecer a diferença entre divisão comum (/), divisão inteira (//) e resto (%) em Python.
Aplicar operadores aritméticos e o comando print para resolver problemas.</t>
  </si>
  <si>
    <t>Ambiente Colab: executar células, conectar e salvar cópia.
Operadores aritméticos (+, -, *, /, //, %).
Tipos de dados (int, float, str).</t>
  </si>
  <si>
    <t>Variável</t>
  </si>
  <si>
    <t>Utilizar variáveis em algoritmos simples.
Explicar por que é necessário converter string em inteiro para realizar cálculos.
Identificar a diferença entre string e inteiro.</t>
  </si>
  <si>
    <t>Conceito de variável e reutilização de valores.
Função input().
Estrutura básica do algoritmo: entrada, processamento e saída.</t>
  </si>
  <si>
    <t>Bool e Condicionais</t>
  </si>
  <si>
    <t>Identificar o tipo de dado booleano (True e False).
Reconhecer operadores de comparação em expressões lógicas.
Descrever o funcionamento básico da estrutura condicional if.</t>
  </si>
  <si>
    <t>Tipos de dados em Python (int, float, str, bool) e função type().
Sintaxe de condicionais (if, dois pontos, indentação), print e comentários.
Operadores de comparação ( (&gt;, &lt;, &gt;=, &lt;=, ==, !=))</t>
  </si>
  <si>
    <t>If else</t>
  </si>
  <si>
    <t>Identificar a estrutura condicional if e else em um algoritmo.
Reconhecer situações em que uma condição leva a dois caminhos possíveis.
Relacionar operadores de comparação com tomadas de decisão no código.</t>
  </si>
  <si>
    <t>Estrutura condicional (if / else).
Operadores de comparação ( (&gt;, &lt;, &gt;=, &lt;=, ==, !=)).
Lógica de decisão (tomada de decisão no algoritmo).</t>
  </si>
  <si>
    <t>Listas</t>
  </si>
  <si>
    <t>Identificar a estrutura de dados lista em Python.
Reconhecer o conceito de índice e indexação em listas.
Utilizar fatiamento (slicing) para selecionar elementos de uma lista.</t>
  </si>
  <si>
    <t>Listas (estrutura de dados).
Indexação (índices positivos e negativos).
Fatiamento (slicing: início, fim e passo).</t>
  </si>
  <si>
    <t xml:space="preserve">(EF08CO02)
</t>
  </si>
  <si>
    <t>Criar soluções de problemas para os quais seja adequado o uso de listas para descrever suas informações e automatizá-las usando uma linguagem de programação, empregando ou não a recursão como uma técnica de resolver o problema.</t>
  </si>
  <si>
    <t>Manipulação de Listas</t>
  </si>
  <si>
    <t>Identificar métodos de manipulação de listas (append, insert, remove, pop).
Reconhecer como adicionar e remover elementos de uma lista.
Verificar a existência de um elemento em uma lista utilizando o operador in.</t>
  </si>
  <si>
    <t>Métodos de listas (append, insert, remove, pop).
Manipulação de elementos em listas.
Operador de pertencimento (in).</t>
  </si>
  <si>
    <t xml:space="preserve">(EF08CO02)
</t>
  </si>
  <si>
    <t>Laço de repetição for</t>
  </si>
  <si>
    <t>Identificar padrões de repetição em conjuntos de dados.
Generalizar operações para diferentes tamanhos de listas.
Automatizar processos repetitivos em algoritmos.</t>
  </si>
  <si>
    <t>Iteração com for.
Formatação de strings com f-string.
Controle de intervalo com range().</t>
  </si>
  <si>
    <t>Laço de repetição while</t>
  </si>
  <si>
    <t>Identificar situações em que a repetição depende de uma condição de parada.
Reconhecer a diferença entre repetição por quantidade fixa e repetição por critério.
Generalizar um processo interativo que se repete até o usuário encerrar.</t>
  </si>
  <si>
    <t>Laço while.
Condição booleana (True/False) aplicada à repetição.
Controle de fluxo: break.</t>
  </si>
  <si>
    <t xml:space="preserve">(EF08CO04)
</t>
  </si>
  <si>
    <t>Avaliação da unidade:
-  Lógica de programação: fundamentos e desafios em Python</t>
  </si>
  <si>
    <t>Algoritmos clássicos: listas, jogos e ordenação com Python</t>
  </si>
  <si>
    <t>Listas e laços</t>
  </si>
  <si>
    <t>Identificar as diferentes estruturas de repetição (for, range e enumerate) para percorrer listas em Python.
Empregar o laço for para acessar e exibir elementos individuais de uma coleção de dados.
Diferenciar o acesso direto aos elementos do acesso via índices para escolher a abordagem mais adequada ao problema.</t>
  </si>
  <si>
    <t>Iteração de Listas: o uso do laço for para percorrer sequências de elementos.
Variáveis de Controle e Índices: a utilização de range() e colchetes [] para localizar posições específicas na memória.
Função Enumerate: técnica para obter simultaneamente o índice numérico e o valor do item durante a repetição.</t>
  </si>
  <si>
    <t>Gerando listas de números</t>
  </si>
  <si>
    <t>Implementar a geração de dados aleatórios através da importação e uso da biblioteca random.
Construir algoritmos que garantam a unicidade de elementos em uma lista utilizando estruturas de decisão (if not in) e repetição (while).
Aplicar métodos de exclusão de elementos (remove e pop) para simular o sorteio e a atualização de filas ou listas dinâmicas.</t>
  </si>
  <si>
    <t>Bibliotecas Externas: importação e aplicação do módulo random para valores aleatórios.
Lógica de Unicidade: verificação de pertinência com operadores de identidade e controle de fluxo.
Manipulação Dinâmica de Listas: métodos de inserção (append), remoção por valor (remove) e remoção por índice (pop).</t>
  </si>
  <si>
    <t>Ordenando listas</t>
  </si>
  <si>
    <t>Compreender a importância da ordenação de dados para a eficiência na localização e organização de informações no cotidiano e na computação.
Descrever o funcionamento do algoritmo Bubble Sort por meio da comparação adjacente e troca de elementos.
Esquematizar os passos lógicos necessários para que um computador execute uma tarefa de ordenação de forma sequencial e precisa.</t>
  </si>
  <si>
    <t>Algoritmos de Ordenação: conceitos fundamentais sobre como organizar sequências de dados.
Método Bubble Sort: técnica de "flutuação" baseada em comparações sucessivas e trocas de posição.
Eficiência de Busca: a relação entre listas ordenadas e a facilidade de recuperação de informações (ex: listas de contatos).</t>
  </si>
  <si>
    <t>Implementando o algoritmo</t>
  </si>
  <si>
    <t>Implementar a lógica de comparação e troca de valores (swapping) utilizando a sintaxe de desempacotamento do Python.
Construir uma estrutura de laços aninhados para percorrer e ordenar integralmente uma lista de elementos.
Diagnosticar e corrigir erros de índice (index out of range) através do ajuste dos limites de repetição com a função range().</t>
  </si>
  <si>
    <t>Troca de Variáveis (Swapping): técnica de atribuição simultânea para inverter posições em uma lista.
Laços Aninhados: o uso de um for dentro de outro para gerenciar múltiplas passagens de verificação (rodadas).
Depuração e Ajuste de Índices: controle do tamanho da lista com len() e compensação de limites para evitar erros de execução.</t>
  </si>
  <si>
    <t>(EF08CO03)</t>
  </si>
  <si>
    <t>Utilizar algoritmos clássicos de manipulação sobre listas.</t>
  </si>
  <si>
    <t>Avaliação da unidade:
- Algoritmos clássicos: listas, jogos e ordenação com Python</t>
  </si>
  <si>
    <t>Educação Midiática: aprendendo a interagir com mídias digitais</t>
  </si>
  <si>
    <t>Desvendando fake news</t>
  </si>
  <si>
    <t>Analisar postagens para avaliar sua confiabilidade.
Aplicar o uso de uma tabela de análise para classificar postagens como verdadeiras, falsas ou duvidosas.
Refletir como curtidas, comentários e compartilhamentos influenciam a visibilidade de um conteúdo nas redes sociais.</t>
  </si>
  <si>
    <t>Compartilhamento de informações na internet.
Critérios de avaliação de confiabilidade.
Responsabilidade e ética no uso da internet.</t>
  </si>
  <si>
    <t xml:space="preserve">(EF08C007)
</t>
  </si>
  <si>
    <t>Compartilhar informações por meio de redes sociais, compreendendo a dinâmica de funcionamento, de forma responsável e avaliando sua confiabilidade, considerando o respeito e a ética.</t>
  </si>
  <si>
    <t>Criando postagens confiáveis</t>
  </si>
  <si>
    <t>Compreender o impacto das redes sociais no comportamento social e na forma como as informações são compartilhadas.
Criar um post informativo para redes sociais, considerando fontes confiáveis e uma apresentação clara.
Avaliar a confiabilidade de informações pesquisadas na internet para a criação de conteúdo.</t>
  </si>
  <si>
    <t>Criação de conteúdo responsável.
Verificação de informações.
Responsabilidade e ética no uso da internet.</t>
  </si>
  <si>
    <t>Protegendo seus dados</t>
  </si>
  <si>
    <t>Identificar os tipos de dados pessoais solicitados em formulários online.
Reconhecer os riscos do compartilhamento de dados.
Compreender a importância de proteger dados em ambientes digitais.</t>
  </si>
  <si>
    <t>Tipos de dados
Riscos no compartilhamento de dados.
Privacidade e segurança online.</t>
  </si>
  <si>
    <t xml:space="preserve">(EF08C008)
</t>
  </si>
  <si>
    <t>Distinguir os tipos de dados pessoais que são solicitados e associados aos espaços digitais e os riscos associados.</t>
  </si>
  <si>
    <t>Entendendo os algoritmos</t>
  </si>
  <si>
    <t>Compreender o funcionamento dos algoritmos nas redes sociais
Analisar como os dados comportamentais influenciam a personalização do conteúdo exibido.
Compreender o impacto dos algoritmos na experiência do usuário nas redes sociais.</t>
  </si>
  <si>
    <t>Algoritmos nas redes sociais.
Perfis comportamentais.
Impacto dos dados comportamentais.</t>
  </si>
  <si>
    <t xml:space="preserve">(EF08C007)
</t>
  </si>
  <si>
    <t xml:space="preserve">Avaliação da unidade
- Educação Midiática: aprendendo a interagir com mídias digitais
</t>
  </si>
  <si>
    <t>Uso consciente e responsável da IA</t>
  </si>
  <si>
    <t>IA no cotidiano</t>
  </si>
  <si>
    <t>Identificar os mecanismos de algoritmos e refletir sobre os impactos positivos e negativos do uso da IA na sociedade.
Analisar a presença de vieses e estereótipos em informações sugeridas por plataformas digitais, distinguindo senso comum de fatos.
Avaliar a confiabilidade de fontes eletrônicas, considerando como as bolhas algorítmicas limitam o acesso a diferentes pontos de vista.</t>
  </si>
  <si>
    <t>Algoritmos, filtros de engajamento e personalização.
Vieses algorítmicos, estereótipos e senso comum.
Curadoria digital, fontes e bolhas de informação.</t>
  </si>
  <si>
    <t>(EF08CO11)
(EF09CO10)</t>
  </si>
  <si>
    <t>Avaliar a precisão, relevância, adequação, abrangência e vieses que ocorrem em fontes de informação eletrônica.
Avaliar a veracidade, credibilidade e relevância da informação em seus diferentes formatos, sendo capaz de identificar o propósito pelo qual foi disseminada.</t>
  </si>
  <si>
    <t>Desmistificando os mitos</t>
  </si>
  <si>
    <t>Identificar como utilizar ferramentas de Inteligência Artificial para investigar a veracidade de informações e mitos populares.
Analisar a qualidade das fontes e evidências científicas apresentadas por plataformas digitais ao confrontar notícias falsas.
Utilizar ferramentas de IA para investigar mitos, compreendendo como diferentes prompts alteram a qualidade e a precisão das respostas.</t>
  </si>
  <si>
    <t>Checagem de fatos com IA e Gemini.
Fontes científicas e evidências digitais.
Checagem com IA, Engenharia de Prompt e verificação de fatos.</t>
  </si>
  <si>
    <t>NotebookLM para estruturar uma pesquisa</t>
  </si>
  <si>
    <t>Selecionar fontes confiáveis e utilizar a IA como apoio para organizar ideias, produzir textos e identificar limitações ou erros (alucinações) das ferramentas.
Comparar diferentes tipos de fontes eletrônicas, como artigos e vídeos, para ampliar a abrangência da investigação sobre um tema.
Organizar referências digitais utilizando critérios de adequação e relevância para estruturar uma pesquisa fundamentada.</t>
  </si>
  <si>
    <t>Curadoria, organização de ideias e limitações da IA.
Uso do NotebookLM para pesquisa.
Organização e seleção de fontes.</t>
  </si>
  <si>
    <t>Criando um podcast</t>
  </si>
  <si>
    <t>Elaborar perguntas estratégicas para fontes via IA e avaliar a adequação das respostas para fundamentar roteiros autorais e responsáveis.
Transformar dados extraídos de fontes digitais em notas estruturadas para a produção de roteiros de mídia.
Avaliar a adequação das respostas geradas por IA para fundamentar a criação de conteúdos autorais como podcasts.</t>
  </si>
  <si>
    <t>Interação com fontes, notas estruturadas e roteirização ética.
Transformação de dados em notas.
Roteirização de podcast com IA.</t>
  </si>
  <si>
    <t>Planejando uma campanha com IA</t>
  </si>
  <si>
    <t>Analisar estratégias de persuasão e como imagens/textos de IA influenciam opiniões e mudam conforme o público-alvo (faixa etária, interesses).
Identificar estratégias de persuasão e tons de voz (sério ou humorístico) em conteúdos digitais gerados por ferramentas tecnológicas.
Planejar elementos de uma campanha publicitária digital relacionando a capacidade de personalização da IA com as necessidades do público.</t>
  </si>
  <si>
    <t>Persuasão digital, público-alvo e influência de comportamento.
Estratégias persuasivas e público-alvo.
Publicidade digital e tons de campanha.</t>
  </si>
  <si>
    <t>Gerando imagens com IA</t>
  </si>
  <si>
    <t>Criar imagens que combatam estereótipos, refletindo criticamente sobre autoria, criatividade e representação visual na era digital.
Analisar criticamente como os vieses algorítmicos podem ser mitigados através de comandos (prompts) conscientes na geração de imagens.
Avaliar o impacto de imagens geradas por IA na construção de percepções sociais e na quebra de preconceitos.</t>
  </si>
  <si>
    <t>Diversidade visual, autoria e combate a preconceitos.
Combate a estereótipos com IA.
Vieses visuais e representatividade.</t>
  </si>
  <si>
    <t>Abertura da avaliação da unidade:
- Uso consciente e responsável da IA</t>
  </si>
  <si>
    <t>Criando o cartaz da campanha com Canva IA</t>
  </si>
  <si>
    <t>Aplicar recursos de design assistido por Inteligência Artificial para integrar diferentes mídias em uma peça de comunicação visual.
Criar materiais de divulgação que conectem conteúdos físicos e digitais através de elementos tecnológicos como QR Codes.
Avaliar a eficácia estética e funcional de um cartaz na transmissão de mensagens informativas sobre temas complexos.</t>
  </si>
  <si>
    <t>Design assistido por IA e Canva.
Integração de mídias e QR Code.
Produção de material de campanha.</t>
  </si>
  <si>
    <t>Apresentando seus cartazes para a turma</t>
  </si>
  <si>
    <t>Comunicar oralmente as etapas de investigação de um mito, utilizando dados e evidências para sustentar a desmistificação perante a comunidade escolar.
Justificar as escolhas estéticas e semânticas de imagens e slogans em uma produção autoral, relacionando-as aos objetivos da campanha.
Comunicar a investigação realizada e sintetizar a evolução do aprendizado através do registro "Antes eu pensava -&gt; agora eu sei".</t>
  </si>
  <si>
    <t>Apresentação e comunicação de dados.
Justificativa de escolhas criativas.
Reflexão sobre mudança de pensamento.</t>
  </si>
  <si>
    <t>Avaliação da unidade:
- Uso consciente e responsável da IA</t>
  </si>
  <si>
    <t>9º ano</t>
  </si>
  <si>
    <t>Redes sociais: conteúdo que se conecta com algoritmos</t>
  </si>
  <si>
    <t xml:space="preserve"> Introdução às Redes Sociais</t>
  </si>
  <si>
    <t>Analisar o cenário de uso da internet e redes sociais no Brasil.
Identificar as diferentes intencionalidades e comportamentos dos usuários em redes sociais.
Distinguir as características e usos de diversas plataformas de redes sociais.</t>
  </si>
  <si>
    <t>Uso da Internet e Redes Sociais no Brasil.
Intencionalidade e Comportamento do Usuário.
Diversidade de Plataformas e Formatos de Conteúdo.</t>
  </si>
  <si>
    <t>(EF09CO09)
(EF09C010)</t>
  </si>
  <si>
    <t>(EF09CO09) Criar ou utilizar conteúdo em meio digital, compreendendo questões éticas relacionadas a direitos autorais e de uso de imagem. 
(EF09C010) Avaliar a veracidade, credibilidade e relevância da informação em seus diferentes formatos, sendo capaz de identificar o propósito pelo qual foi disseminada."</t>
  </si>
  <si>
    <t>Algoritmo das redes sociais</t>
  </si>
  <si>
    <t>Explicar o conceito de algoritmo no contexto das redes sociais.
Analisar os fatores que influenciam a entrega de conteúdo pelos algoritmos.
Identificar estratégias para criar conteúdo com potencial de viralização.</t>
  </si>
  <si>
    <t>Algoritmos de Redes Sociais.
Interesse, Engajamento e Relevância.
Criação e Consumo de Conteúdo Digital.</t>
  </si>
  <si>
    <t>Primeira postagem no canva</t>
  </si>
  <si>
    <t>Utilizar o Canva para criar designs de postagens para redes sociais.
Selecionar e estilizar textos, aplicando diferentes fontes e efeitos.
Personalizar o fundo das postagens com cores e gradientes.</t>
  </si>
  <si>
    <t>Introdução ao Canva.
Edição de Texto e Fontes.
Personalização de Backgrounds.</t>
  </si>
  <si>
    <t>Animando textos</t>
  </si>
  <si>
    <t>Aplicar efeitos de animação a textos em postagens no Canva.
Gerenciar camadas e a linha do tempo para sincronizar elementos visuais.
Ajustar a duração e o posicionamento de elementos animados.</t>
  </si>
  <si>
    <t>Animação de Texto no Canva.
Edição de Vídeo e Camadas.
Sincronização de Elementos Visuais.</t>
  </si>
  <si>
    <t>Elementos visuais no canva</t>
  </si>
  <si>
    <t>Buscar e inserir elementos gráficos e imagens no Canva.
Diferenciar imagens com e sem direitos autorais, utilizando licenças Creative Commons.
Aplicar molduras para integrar elementos visuais de forma criativa.</t>
  </si>
  <si>
    <t>Busca e Inserção de Elementos Gráficos.
Direitos Autorais e Licenças Creative Commons.
Uso de Molduras e Upload de Mídias.</t>
  </si>
  <si>
    <t>Efeitos e camadas</t>
  </si>
  <si>
    <t>Criar efeitos visuais complexos, como uma barra de busca digitando.
Gerenciar a ordem das camadas para sobrepor e organizar elementos.
Sincronizar múltiplas animações e elementos para um resultado coeso.</t>
  </si>
  <si>
    <t>Criação de Efeitos de Digitação.
Gerenciamento Avançado de Camadas.
Sincronização de Animações Múltiplas.</t>
  </si>
  <si>
    <t>Efeitos sonoros</t>
  </si>
  <si>
    <t>Incorporar efeitos sonoros, como teclado e clique de mouse, ao projeto.
Sincronizar os áudios com as animações visuais na linha do tempo.
Explorar recursos de áudio adicionais no Canva para enriquecer o projeto.</t>
  </si>
  <si>
    <t>Inserção de Efeitos Sonoros.
Sincronização de Áudio e Vídeo.
Exploração de Recursos de Áudio do Canva.</t>
  </si>
  <si>
    <t>Compartilhando o post</t>
  </si>
  <si>
    <t>Elaborar legendas e hashtags eficazes para postagens em redes sociais.
Configurar as opções de compartilhamento e acesso do projeto no Canva.
Exportar o projeto final em formato de vídeo para publicação.</t>
  </si>
  <si>
    <t>Criação de Legendas e Hashtags.
Opções de Compartilhamento no Canva.
Exportação de Projetos para Redes Sociais.</t>
  </si>
  <si>
    <t>Avaliação da unidade: 
- Redes sociais: conteúdo que se conecta com algoritmos</t>
  </si>
  <si>
    <t xml:space="preserve">Educação Midiática: o poder da informação pt 1 </t>
  </si>
  <si>
    <t>Analisar postagens para avaliar sua confiabilidade.
Aplicar o uso de uma tabela de análise para classificar postagens como verdadeiras, falsas ou duvidosas.
Refletir como curtidas, comentários e compartilhamentos influenciam a visibilidade de um conteúdo nas redes sociais.</t>
  </si>
  <si>
    <t>Compartilhamento de informações na internet.
Critérios de avaliação de confiabilidade.
Responsabilidade e ética no uso da internet.</t>
  </si>
  <si>
    <t>(EF08CO07)</t>
  </si>
  <si>
    <t xml:space="preserve">(EF08CO07) Compartilhar informações por meio de redes sociais, compreendendo a sua dinâmica de funcionamento, de forma responsável e avaliando sua confiabilidade, considerando o respeito e a ética. </t>
  </si>
  <si>
    <t xml:space="preserve">Compreender o impacto das redes sociais no comportamento social e na forma como as informações são compartilhadas.
Criar um post informativo para redes sociais, considerando fontes confiáveis e uma apresentação clara. 
Avaliar a confiabilidade de informações pesquisadas na internet para a criação de conteúdo.
</t>
  </si>
  <si>
    <t>Criação de conteúdo responsável.
Verificação de informações.
Responsabilidade e ética no uso da internet.</t>
  </si>
  <si>
    <t>Identificar os tipos de dados pessoais solicitados em formulários online.
Reconhecer os riscos no compartilhamento de dados.
Compreender a importância de proteger dados em ambientes digitais.</t>
  </si>
  <si>
    <t>Tipos de dados.
Riscos no compartilhamento de dados.
Privacidade e segurança online.</t>
  </si>
  <si>
    <t>(EF08CO08)</t>
  </si>
  <si>
    <t xml:space="preserve">(EF08CO08) Distinguir os tipos de dados pessoais que são solicitados em espaços digitais e os riscos associados. </t>
  </si>
  <si>
    <t>Compreender o funcionamento dos algoritmos nas redes sociais.
Analisar como os dados comportamentais influenciam a personalização do conteúdo exibido.
Compreender o impacto dos algoritmos na experiência do usuário nas redes sociais.</t>
  </si>
  <si>
    <t>Algoritmos nas redes sociais.
Perfis comportamentais.
Impacto dos dados comportamentais.</t>
  </si>
  <si>
    <t xml:space="preserve">Avaliação da unidade: 
- Educação Midiática: o poder da informação pt 1 </t>
  </si>
  <si>
    <t>Educação Midiática: o poder da informação pt 2</t>
  </si>
  <si>
    <t>Desvendando termos de uso</t>
  </si>
  <si>
    <t>"Analisar os termos de uso das plataformas digitais e redes sociais.	"
"Compreender os direitos e deveres do usuário nos termos de uso.	"
"Avaliar as consequências de aceitar termos de uso sem a devida leitura.	"</t>
  </si>
  <si>
    <t xml:space="preserve">Termos de Uso e Política de Privacidade
Consequências dos termos de uso
Análise crítica de termos de uso </t>
  </si>
  <si>
    <t>(EF08CO09)</t>
  </si>
  <si>
    <t xml:space="preserve">(EF08CO09) Analisar criticamente as políticas de termos de uso das redes sociais e demais plataformas. </t>
  </si>
  <si>
    <t xml:space="preserve">Hora da segurança digital </t>
  </si>
  <si>
    <t>"Identificar cláusulas nos termos de uso que envolvem dados pessoais e uso comercial de conteúdo.	"
Discutir os direitos do usuário e as consequências de compartilhar dados pessoais.
Refletir sobre os riscos associados à aceitação de termos sem entender as implicações</t>
  </si>
  <si>
    <t xml:space="preserve">Direitos do usuário nos termos de uso.
Termos de Uso e Política de Privacidade
Análise crítica de termos de uso </t>
  </si>
  <si>
    <t xml:space="preserve">Impacto de tecnologias no cotidiano </t>
  </si>
  <si>
    <t xml:space="preserve">Refletir sobre como o uso de dispositivos digitais afeta nossos valores pessoais e hábitos diários. 
Avaliar o impacto do tempo de tela na saúde mental e no bem-estar
Organizar, de forma estruturada, argumentos sobre o uso consciente de dispositivos digitais, buscando propor alternativas práticas. </t>
  </si>
  <si>
    <t>Reflexão sobre valores e hábitos digitais
Pesquisa de informações 
Estruturação de argumentação</t>
  </si>
  <si>
    <t xml:space="preserve">Hora do debate </t>
  </si>
  <si>
    <t>Compreender as diferentes perspectivas sobre o impacto das tecnologias digitais na vida cotidiana.
Desenvolver argumentos sólidos e bem pesquisados sobre os prós ou contras do uso de dispositivos digitais
Propor soluções práticas para minimizar os efeitos negativos do uso excessivo de tecnologia.</t>
  </si>
  <si>
    <t xml:space="preserve">Estruturação do debate
Propostas de conscientização
Argumentação
</t>
  </si>
  <si>
    <t>(EF08CO10)</t>
  </si>
  <si>
    <t xml:space="preserve">(EF08CO10)Discutir questões sobre segurança e privacidade relacionadas ao uso dos ambientes virtuais. </t>
  </si>
  <si>
    <t>Avaliação da unidade: 
- Educação Midiática: o poder da informação pt 2</t>
  </si>
  <si>
    <t>O uso da IA para compreender e transformar realidades sociais</t>
  </si>
  <si>
    <t xml:space="preserve">Mapeando problemas </t>
  </si>
  <si>
    <t>Identificar problemas sociais reais observados e vividos na comunidade.
Categorizar os problemas identificados em diferentes áreas temáticas.
Organizar os registros iniciais dos problemas em pastas digitais colaborativas.</t>
  </si>
  <si>
    <t>Identificação de problemas sociais.
Categorização de problemas urbanos.
Organização de informações em ambientes digitais.</t>
  </si>
  <si>
    <t>(EF09CO06)</t>
  </si>
  <si>
    <t>(EF09CO06) Analisar problemas sociais de sua cidade e estado a partir de ambientes digitais, propondo soluções.</t>
  </si>
  <si>
    <t>Início da investigação</t>
  </si>
  <si>
    <t>Definir o problema social escolhido, identificando quem é afetado e suas causas.
Buscar dados e informações em fontes confiáveis para embasar a análise do problema.
Avaliar a confiabilidade e a atualidade das fontes selecionadas para o dossiê.</t>
  </si>
  <si>
    <t>Definição e contextualização de problemas.
Busca e seleção de fontes de dados confiáveis.
Registro e organização de dados coletados.</t>
  </si>
  <si>
    <t>Fontes, narrativas e viéses</t>
  </si>
  <si>
    <t>Compreender como um problema social é narrado de diferentes formas em ambientes digitais.
Comparar dados e narrativas de diversas fontes, identificando vieses e focos distintos.
Analisar o impacto do viés na interpretação e construção de soluções para problemas sociais.</t>
  </si>
  <si>
    <t>Conceituação de viés em narrativas digitais.
Análise comparativa de fontes de informação.
Impacto do viés na compreensão de problemas sociais.</t>
  </si>
  <si>
    <t>Análise de dados com IA</t>
  </si>
  <si>
    <t>Utilizar ferramentas de IA para organizar e categorizar dados coletados.
Identificar padrões, categorias e lacunas nos dados com o auxílio da IA.
Verificar e corrigir possíveis erros, generalizações ou vieses gerados pela IA.</t>
  </si>
  <si>
    <t>Uso de Inteligência Artificial para organização de dados.
Identificação de padrões e lacunas em conjuntos de dados.
Verificação e correção de vieses e erros da IA.</t>
  </si>
  <si>
    <t>Do problema à solução</t>
  </si>
  <si>
    <t>Propor soluções para problemas sociais, fundamentadas nos dados analisados.
Justificar a relevância e o impacto social das soluções desenvolvidas.
Utilizar a IA como ferramenta de apoio, mantendo o senso crítico na formulação de soluções.</t>
  </si>
  <si>
    <t>Desenvolvimento de soluções baseadas em dados.
Justificativa e impacto social das soluções propostas.
Uso da IA como apoio crítico na formulação de soluções.</t>
  </si>
  <si>
    <t>(EF09CO08)</t>
  </si>
  <si>
    <t>(EF09CO08) Discutir como a distribuição desigual de recursos de computação em uma economia global levanta questões de equidade, acesso e poder.</t>
  </si>
  <si>
    <t>Desigualdade Digital</t>
  </si>
  <si>
    <t>Analisar como a desigualdade digital afeta a eficácia das soluções propostas.
Pesquisar dados sobre cobertura de internet e alfabetização digital na região do problema.
Adaptar as soluções para garantir sua funcionalidade com e sem acesso digital.</t>
  </si>
  <si>
    <t>Análise da desigualdade digital e seu impacto em soluções.
Avaliação da acessibilidade de soluções tecnológicas.
Adaptação de soluções para diferentes níveis de acesso digital.</t>
  </si>
  <si>
    <t>Criando a apresentação</t>
  </si>
  <si>
    <t>Criar conteúdo digital visualmente atraente para apresentar a solução desenvolvida.
Aplicar boas práticas de direitos autorais, utilizando recursos como Creative Commons.
Utilizar ferramentas de IA para otimizar a criação de materiais de apresentação.</t>
  </si>
  <si>
    <t>Criação de conteúdo digital para apresentação de soluções.
Boas práticas de uso de imagens e direitos autorais (Creative Commons).
Utilização de ferramentas de IA para auxiliar na criação de apresentações.</t>
  </si>
  <si>
    <t>(EF09CO09)</t>
  </si>
  <si>
    <t>(EF09CO09) Criar ou utilizar conteúdo em meio digital, compreendendo questões éticas relacionadas a direitos autorais e de uso de imagem</t>
  </si>
  <si>
    <t>Apresentar, avaliar e refletir</t>
  </si>
  <si>
    <t>Apresentar a solução desenvolvida para um problema social de forma clara e concisa.
Participar ativamente da avaliação e do feedback construtivo dos projetos dos colegas.
Refletir sobre as aprendizagens e desafios enfrentados durante a construção do dossiê.</t>
  </si>
  <si>
    <t>Apresentação de projetos e soluções para a turma.
Avaliação e feedback construtivo entre pares.
Reflexão sobre o processo de desenvolvimento do dossiê.</t>
  </si>
  <si>
    <t>Avaliação da unidade: 
- O uso da IA para compreender e transformar realidades sociais</t>
  </si>
  <si>
    <t>Lógica de programação: primeiros passos com python</t>
  </si>
  <si>
    <t>Número Secreto</t>
  </si>
  <si>
    <t>Identificar as funcionalidades básicas do ambiente Google Colab, como a renomeação de notebooks e a execução de células de código (Play).
Aplicar comandos de entrada e saída de dados (input e print) para interagir com o usuário via console.
Construir variáveis para armazenar e manipular informações, compreendendo a atribuição de valores através do operador =</t>
  </si>
  <si>
    <t>Ambiente Google Colab.
Entrada e Saída (input/print).
Variáveis e Tipos (string/int).</t>
  </si>
  <si>
    <t>Aleatoriedade no Python</t>
  </si>
  <si>
    <t>Utilizar ferramentas de IA Generativa (Gemini) para sugerir melhorias e explicar funções lógicas em códigos existentes.
Aplicar a importação do módulo random para gerar valores dinâmicos e automatizar o sorteio do jogo.
Diferenciar tipos de dados estáticos de valores aleatórios gerados pela função randint</t>
  </si>
  <si>
    <t>IA Generativa (Gemini)
Módulo random
Números Inteiros (int)</t>
  </si>
  <si>
    <t>Quiz</t>
  </si>
  <si>
    <t>Planejar a estrutura lógica de um jogo de quiz, definindo temáticas, perguntas e respostas através de um brainstorming.
Implementar o uso de múltiplas variáveis para armazenar diferentes entradas de dados do usuário simultaneamente.
Construir estruturas condicionais aninhadas utilizando o comando if e operadores de comparação (==) para validar múltiplas respostas.</t>
  </si>
  <si>
    <t>Condicionais (if)
Operadores de Comparação (==)
Indentação de Código</t>
  </si>
  <si>
    <t>Padrões na entrada de dados</t>
  </si>
  <si>
    <t>Analisar o código em busca de erros de execução (bugs) e falta de feedback, utilizando a IA Generativa (Gemini) como ferramenta de suporte à revisão.
Aplicar métodos de manipulação de strings, como a função .lower(), para padronizar as entradas do usuário e evitar erros de diferenciação entre maiúsculas e minúsculas.
Empregar operadores lógicos (and) e a estrutura condicional composta (if/else) para validar múltiplas condições simultaneamente e fornecer retornos específicos ao usuário.</t>
  </si>
  <si>
    <t>Tratamento de Erros (Bugs)
Operadores Lógicos (and)
Condicional Composta (else)</t>
  </si>
  <si>
    <t>Jogo da memória</t>
  </si>
  <si>
    <t>Aplicar o conceito de laços de repetição utilizando a estrutura for para automatizar a geração de sequências de dados.
Implementar a técnica de concatenação de strings para agrupar múltiplos caracteres em uma única variável de texto.
Utilizar o módulo random associado a estruturas de repetição para criar mecanismos de aleatoriedade dinâmica em jogos.</t>
  </si>
  <si>
    <t>Estrutura de Repetição (for)
Concatenação de Strings (str)
Acumuladores de Dados</t>
  </si>
  <si>
    <t>Mais módulos</t>
  </si>
  <si>
    <t>Empregar o módulo time e a função sleep para gerenciar o ritmo de execução e criar intervalos de tempo entre as ações do jogo.
Implementar técnicas de manipulação de interface via console, como o salto de linhas com \n, para criar desafios de memorização visual.
Desenvolver sistemas de feedback dinâmico utilizando strings formatadas (f-strings) para exibir resultados personalizados e variáveis ao usuário.</t>
  </si>
  <si>
    <t>Manipulação de Tempo (time.sleep)
Formatação de Saída (f-strings)
Interface de Usuário via Console</t>
  </si>
  <si>
    <t>Qual é a senha?</t>
  </si>
  <si>
    <t>Identificar a estrutura de dados do tipo lista para armazenar múltiplos elementos de forma organizada através de índices.
Implementar o método .append() para inserir dados dinamicamente em uma lista a partir de entradas do usuário.
Construir um jogo de senha numérica utilizando laços de repetição for para preencher listas de tamanho pré-definido.</t>
  </si>
  <si>
    <t>Estruturas de Dados (Listas)
Método de Inserção (append)
Índices e Posições em Listas</t>
  </si>
  <si>
    <t>Criar soluções de problemas para os quais seja adequado o uso de listas para escrever suas informações e automatizá-las usando uma linguagem de programação, empregando ou não a recursão como uma técnica de resolver o problema.</t>
  </si>
  <si>
    <t>Refinando a saída de dados</t>
  </si>
  <si>
    <t>Analisar a importância da conversão de tipos de dados (int) para garantir a integridade de comparações lógicas entre entradas do usuário e valores predefinidos.
Construir funções customizadas utilizando a palavra-chave def para organizar, encapsular e reutilizar blocos de código de forma modular.
Diferenciar o uso de comandos de exibição (print) de comandos de retorno de valor (return) dentro do contexto de sub-rotinas e funções.</t>
  </si>
  <si>
    <t>Conversão de Tipos (int/str)
Definição de Funções (def)
Parâmetros e Retorno (return)</t>
  </si>
  <si>
    <t>Avaliação da unidade:
Lógica de programação: primeiros passos com python</t>
  </si>
  <si>
    <t>Planilhas: investigando nosso tempo de tela</t>
  </si>
  <si>
    <t>Entendendo nosso tempo de tela</t>
  </si>
  <si>
    <t>Organizar informações individuais em uma estrutura coletiva simples, por meio de registros em mural
Analisar como a falta de organização e estrutura dificulta a interpretação de informações e a tomada de decisões
Desenvolver a noção de que dados precisam de estrutura para que possam ser interpretados de forma mais clara</t>
  </si>
  <si>
    <t>Reflexão sobre como o design de aplicativos influencia o comportamento e a percepção do tempo no uso de tecnologias digitais
Construção coletiva de um mural como forma desplugada de organização de informações
Análise inicial de dados minimamente organizados</t>
  </si>
  <si>
    <t xml:space="preserve">(EF09CO02) </t>
  </si>
  <si>
    <t>Organizando as informações</t>
  </si>
  <si>
    <t>Construir uma estrutura de tabela manual (linhas e colunas) para organizar dados brutos de forma colaborativa
Diferenciar as limitações das tabelas estáticas (caderno) em relação às funcionalidades dinâmicas das planilhas eletrônicas
Planejar um método de coleta de dados sistemática para substituir estimativas subjetivas por registros reais de comportamento</t>
  </si>
  <si>
    <t>Estrutura base de uma tabela, utilizando linhas e colunas
Diferenças entre tabelas manuais e digitais
Análise de dados estruturados em tabela</t>
  </si>
  <si>
    <t>Digitalizando os dados</t>
  </si>
  <si>
    <t>Transferir os dados da tabela manual (caderno) para uma estrutura de planilha digital
Identificar os componentes fundamentais da interface (células, colunas e linhas) e as possibilidades de personalização da ferramenta
Aplicar técnicas básicas de estilização de planilhas para melhorar a legibilidade e a hierarquia das informações</t>
  </si>
  <si>
    <t>Criação de arquivos e navegação na interface do Planilhas Google
Inserção e organização de dados reais em células, colunas e linhas
Técnicas de estilização e estética para clareza na comunicação de dados</t>
  </si>
  <si>
    <t>Colocando a planilha para funcionar</t>
  </si>
  <si>
    <t>Executar cálculos automáticos de soma e média utilizando as funções e fórmulas fundamentais do Planilhas Google
Produzir gráficos que representem visualmente a distribuição dos dados
Interpretar padrões de comportamento e tendências a partir da análise das visualizações gráficas geradas</t>
  </si>
  <si>
    <t>Uso das funções SOMA, DIVIDE e fórmulas de divisão para o cálculo de médias
Criação e interpretação de gráficos
Compartilhamento do projeto para visualização e avaliação</t>
  </si>
  <si>
    <t>Avaliação da unidade:
Planilhas: investigando nosso tempo de tela</t>
  </si>
  <si>
    <t>Avaliação da unidade:
- Planilhas: investigando nosso tempo de tela</t>
  </si>
  <si>
    <t>Planilhas: analisando dados e gráficos</t>
  </si>
  <si>
    <t>Refletindo sobre os dados</t>
  </si>
  <si>
    <t>Coletar informações reais para construir uma base de dados de comparação
Organizar uma estrutura de dados no Google Planilhas, para possibilitar o processamento computacional
Compreender o formato correto para cada tipo de valor/dado</t>
  </si>
  <si>
    <t>Pesquisa e organização de dados de mercado para análise comparativa
Estruturação da base de dados na planilha
Formatação dos dados e valores em uma tabela estruturada</t>
  </si>
  <si>
    <t>Peça ajuda para a planilha!</t>
  </si>
  <si>
    <t>Executar o cálculo automático do preço por grama para uma lista de produtos utilizando fórmulas e funções
Implementar a função lógica SE e MÍNIMO para automatizar a classificação de produtos vantajosos
Avaliar como a automação de funções lógicas reduz erros humanos e agiliza a comparação de grandes volumes de informações</t>
  </si>
  <si>
    <t>Automação do cálculo de custo-benefício através de fórmulas de divisão
Uso da função lógica =SE para criação de diagnósticos automáticos
Lógica de comparação para identificação do produto mais vantajoso</t>
  </si>
  <si>
    <t>O que os gráficos nos dizem?</t>
  </si>
  <si>
    <t>Produzir representações visuais, para comunicar de forma clara a comparação de custo-benefício entre diferentes marcas
Analisar criticamente a integridade de um gráfico, identificando possíveis distorções e armadilhas visuais
Selecionar dados específicos e pertinentes de uma base complexa para criar visualizações que mantenham a ética e a transparência na informação</t>
  </si>
  <si>
    <t>Criação e configuração de modelos de gráficos para comparação de dados
Interpretação ética e crítica de escalas visuais para evitar a distorção de informações
Critérios para seleção de dados específicos e tomada de decisão entre visualizações únicas ou múltiplas</t>
  </si>
  <si>
    <t>Finalizando nossa planilha</t>
  </si>
  <si>
    <t>Aprimorar a legibilidade e a hierarquia visual da planilha através do uso de formatação avançada e regras de formatação condicional
Produzir um relatório portátil em formato PDF, para garantir que os dados e gráficos sejam acessíveis em diferentes dispositivos
Configurar a planilha para que ela seja visualizada e avaliada por terceiros</t>
  </si>
  <si>
    <t>Aplicação de formatação condicional para destaque automático de resultados lógicos
Configuração de layout de página e exportação de projetos em formato PDF para portabilidade
Configuração da planilha para visualização por terceiros, garantindo organização e clareza</t>
  </si>
  <si>
    <t>Avaliação da unidade:
- Planilhas: analisando dados e gráficos</t>
  </si>
  <si>
    <t>Fundamentos de criptografia: implementando de cifras em Python</t>
  </si>
  <si>
    <t>Primeira cifra manual</t>
  </si>
  <si>
    <t>Descobrir o conceito de  criptografia e sua importancia na segurança digital
Entender o que é a cifra de césar e como ela funciona
Aplicar técnicas simples de cifragem e decifragem manualmente</t>
  </si>
  <si>
    <t>Critografia
Cifra de César
Criptografia por deslocamento</t>
  </si>
  <si>
    <t xml:space="preserve">(EF09CO05)
</t>
  </si>
  <si>
    <t>Analisar técnicas de criptografia para armazenamento e transmissão de dados.</t>
  </si>
  <si>
    <t>Conhecendo o inimigo</t>
  </si>
  <si>
    <t>Compreender o conceito de força bruta, fishing e ransomware
Entender como ataques cibernéticos acontecem na vida real
Identificar vulnerabilidades de um sistema através de um ataque manual</t>
  </si>
  <si>
    <t>Ataques cibernéticos
Ataque de força bruta, phishing, ransomware
vulnerabilidade, segurança digital</t>
  </si>
  <si>
    <t xml:space="preserve">(EF09CO04)
</t>
  </si>
  <si>
    <t xml:space="preserve"> Compreender o funcionamento de malwares e outros ataques cibernéticos.</t>
  </si>
  <si>
    <t>Primeira cifra com código</t>
  </si>
  <si>
    <t>Compreender como o computador identifica as letras
Utilizar as funções ord() e chr() para cifrar letras
Cifrar a primeira mensagem em Python</t>
  </si>
  <si>
    <t>Índice, variáveis, string
ord() e chr()
primeiros passos com a prática</t>
  </si>
  <si>
    <t xml:space="preserve">(EF09CO05)
"
</t>
  </si>
  <si>
    <t>Automatizando o processo</t>
  </si>
  <si>
    <t>Compreender o funcionamento de estruturas de repetição
Automatizar a transformação de múltiplos caracteres em uma mensagem
Aplicar loops para reduzir repetições no código</t>
  </si>
  <si>
    <t>Loop for
if else, letra.isupper
otimização de código</t>
  </si>
  <si>
    <t>(EF09CO05)</t>
  </si>
  <si>
    <t xml:space="preserve">Analisar técnicas de criptografia para armazenamento e transmissão de dados.
</t>
  </si>
  <si>
    <t>Decifrando mensagens</t>
  </si>
  <si>
    <t>Compreender o conceito de funções em Python
Organizar códigos em blocos reutilizáveis
Criar funções para cifrar e decifrar mensagens.</t>
  </si>
  <si>
    <t>Função
reúso de código
def cifrar, def decifrar</t>
  </si>
  <si>
    <t>Quebrando a cifra</t>
  </si>
  <si>
    <t>Reforçar o conceito de força bruta com python
Utilizar range() e f-strings
Compreender como funciona um ataque de força bruta automatizado</t>
  </si>
  <si>
    <t>Ataque de força bruta
range(), f-string,
ataque de força bruta</t>
  </si>
  <si>
    <t>Compreender o funcionamento de malwares e outros ataques cibernéticos.</t>
  </si>
  <si>
    <t>Abertura da avaliação da unidade:
- Fundamentos de criptografia: implementando de cifras em Python</t>
  </si>
  <si>
    <t>Detector de fishing</t>
  </si>
  <si>
    <t>Identificar características comuns de mensagens de phishing
Desenvolver um detector simples de mensagens fraudulentas
Uso de IA como ferramenta e reflexão sobre segurança da informação</t>
  </si>
  <si>
    <t>Phishing, listas,
condicionais
uso de inteligência artificial</t>
  </si>
  <si>
    <t>Sistema interativo</t>
  </si>
  <si>
    <t>Integrar diferentes funções em um único sistema
Criar um  menu interativos com while True
Desenvolver um programa completo de comunicação segura</t>
  </si>
  <si>
    <t>Menu interativo
while True, break
integração de sistemas</t>
  </si>
  <si>
    <t>(EF09CO05)
(EF09CO04)</t>
  </si>
  <si>
    <t>Analisar técnicas de criptografia para armazenamento e transmissão de dados.
Compreender o funcionamento de malwares e outros ataques cibernéticos.</t>
  </si>
  <si>
    <t>Avaliação da unidade:
- Fundamentos de criptografia: implementando de cifras em Python</t>
  </si>
  <si>
    <t>Compreensão</t>
  </si>
  <si>
    <t>Contextos</t>
  </si>
  <si>
    <t>Somos diferentes e habitamos o mesmo mundo. Qual será o resultado disso?</t>
  </si>
  <si>
    <t>Existem momentos em que estamos cercados de pessoas, e outros em que estamos só com nossos pensamentos. O que aprendemos sobre nós quando estamos em silêncio?</t>
  </si>
  <si>
    <t>Os interesses mudam com o tempo — o que gostávamos na infância pode já não fazer sentido hoje. E alguns gostos nos acompanham desde sempre. O que será que isso revela sobre nossa história e sobre quem estamos nos tornando?</t>
  </si>
  <si>
    <t>Nem tudo o que gostamos nos faz bem. Às vezes seguimos interesses que nos afastam de quem queremos ser. O que faz um interesse ser saudável ou ético? O que quero manter na minha vida — e o que vale a pena mudar?</t>
  </si>
  <si>
    <t>Desde que existimos, os seres humanos inventam, aprendem, cuidam, narram, dançam, constroem e sentem. O que será que essas habilidades dizem sobre o que é ser humano? E como elas continuam vivas em nós hoje?</t>
  </si>
  <si>
    <t>Todos nós sabemos fazer algo — ouvir, organizar, criar, acalmar, liderar, cozinhar, consertar, desenhar… Mas nem sempre paramos para pensar: o que tenho feito com essas habilidades? Elas têm ajudado alguém? Me fazem crescer?</t>
  </si>
  <si>
    <t>Todos nós temos partes fortes e partes frágeis. Mas nem sempre olhamos com cuidado para aquilo que nos faz sentir inseguros, com medo ou expostos. Reconhecer essas partes pode nos tornar mais humanos, mais verdadeiros — e mais capazes de crescer.</t>
  </si>
  <si>
    <t>Todos nós temos dias difíceis. Todos sentimos medo, tristeza, insegurança. Mas o que fazemos com isso? Fugimos? Guardamos? Gritamos? Ou aprendemos a cuidar? Criar formas saudáveis de lidar com o que nos machuca é parte do que significa crescer.</t>
  </si>
  <si>
    <t>Questões essenciais</t>
  </si>
  <si>
    <t>Quais são as características sem as quais eu deixaria de ser quem sou?</t>
  </si>
  <si>
    <t>Habilidades</t>
  </si>
  <si>
    <t>Atitudes</t>
  </si>
  <si>
    <t>Práticas</t>
  </si>
  <si>
    <t>Competência Big Five</t>
  </si>
  <si>
    <t>Neuroticismo</t>
  </si>
  <si>
    <t>Abertura à experiência</t>
  </si>
  <si>
    <t>Conscienciosidade</t>
  </si>
  <si>
    <t>Neuroticismo
Conscienciosidade</t>
  </si>
  <si>
    <t>Currículo Paulista</t>
  </si>
  <si>
    <t>Estratégias</t>
  </si>
  <si>
    <t>Questionários de autopercepção; exercícios autobiográficos; autoentrevista.
Roda “Quem sou eu por dentro e por fora”
Estudantes compartilham (de forma oral ou escrita) características que veem em si mesmos — físicas e psicológicas. Pode incluir cartões, desenhos ou metáforas.
Espelho simbólico
Uso de textos, imagens, músicas ou personagens que espelham aspectos da identidade dos estudantes — para que se vejam e se reconheçam em outras narrativas.
Retrato Identitário
Atividade em que cada estudante constrói um autorretrato simbólico ou artístico, combinando traços visíveis e invisíveis que os tornam únicos.
Diário “Eu comigo”
Espaço regular para o registro pessoal de observações sobre si, sentimentos, pensamentos e transformações ao longo do tempo.
Círculo das Diferenças
Dinâmica de reconhecimento das diversidades dentro do grupo, sempre conectando com respeito, escuta e pertencimento.</t>
  </si>
  <si>
    <t>“Cinco minutos comigo”
Ritual semanal (ou diário) de pausa guiada com uma pergunta interna, seguida de registro (palavra, desenho, gesto). Exemplo de perguntas: “O que estou sentindo agora?”, “O que me trouxe alegria hoje?”, “O que me incomodou e por quê?”
Espaço do silêncio
Criação de um ambiente simbólico de escuta interna, onde os estudantes possam ficar em silêncio consigo mesmos — com apoio de luz suave, som ambiente ou apenas orientação para respiração e percepção corporal.
Cartas para mim mesmo
Escrita de cartas destinadas a si mesmo em diferentes momentos: “Carta para quem eu sou hoje”, “Carta para meu futuro eu”, “Carta de reconciliação comigo”.
Linha do tempo emocional
Atividade em que os estudantes representam como se sentem em momentos em que estão sozinhos (em casa, na escola, em viagem), observando variações e padrões.
Metáforas do eu
Cada estudante escolhe uma imagem ou metáfora para representar como se sente quando está só. Exemplo: “Me sinto como uma ilha tranquila”, “Me sinto como uma nuvem que muda o tempo todo”.</t>
  </si>
  <si>
    <t>Linha do tempo dos interesses
Estudantes constroem uma linha do tempo visual com fases da infância até o momento atual, registrando o que gostavam (temas, brincadeiras, músicas, matérias, etc.) em cada período.
Caixa de memórias simbólicas
Criar ou representar objetos, imagens ou palavras que simbolizem interesses marcantes de cada etapa da vida.
Entrevista com o eu mais jovem
Os estudantes escrevem (ou gravam) perguntas e respostas simulando uma conversa com o “eu criança”, explorando o que mudou e o que permaneceu.
Painel de transformações
Coletivo ou individual, o painel reúne interesses antigos e atuais, conectando-os com sentimentos, valores e aprendizados.
Diálogo entre fases da vida
Simulações ou escritas criativas em que o “eu de hoje” aconselha ou conversa com o “eu do passado” sobre os interesses de cada fase.</t>
  </si>
  <si>
    <t>Semáforo dos interesses
Estudantes listam seus interesses e os classificam em três categorias: “quero manter” (verde), “preciso revisar” (amarelo), “devo repensar ou deixar” (vermelho), com justificativas.
Diálogo interno dramatizado
Simular uma conversa entre dois “eus” (ex: um que quer continuar jogando 6h por dia e outro que quer dormir melhor). Recurso lúdico e potente para autorreflexão.
Mapa de bem-estar
Criar um gráfico ou mapa em que relacionam seus interesses com dimensões como: corpo, mente, relações, futuro, valores. Avaliam o impacto de cada um.
Roda de compartilhamento: o que me faz bem?
Atividade coletiva de partilha segura, onde os estudantes escutam os interesses dos colegas e refletem sobre diversidade e inspiração.
Cartas para o eu do futuro
Estudantes escrevem o que esperam que o “eu de daqui a 1 ano” ainda tenha interesse em cultivar — e o que não desejam levar adiante.</t>
  </si>
  <si>
    <t>Mapa das habilidades humanas
Os estudantes criam um painel coletivo com categorias de habilidades (ex: comunicação, criação, técnica, social, ética, emocional, física) e listam exemplos históricos e contemporâneos para cada uma.
Galeria de pessoas sábias
Pesquisa e apresentação de pessoas (atuais ou históricas) que desenvolveram habilidades marcantes — artistas, líderes, curadores, cientistas, mestres populares, etc.
Linha do tempo das invenções humanas
Criação de uma linha do tempo visual com marcos importantes das habilidades humanas — desde as primeiras pinturas rupestres até programadores, filósofos, ativistas e cozinheiras.
Roda de talentos esquecidos
Conversa em grupo sobre habilidades humanas que são menos valorizadas hoje (ex: escutar bem, cuidar, trançar, mediar conflitos, contar histórias) — e o que elas ensinam.
Árvore da humanidade
Metáfora visual em que os ramos são áreas de habilidade, e os frutos são exemplos do que essas habilidades geraram no mundo. Os estudantes escolhem com quais ramos se identificam.</t>
  </si>
  <si>
    <t>Inventário pessoal de habilidades
Cada estudante elabora uma lista de habilidades pessoais (não apenas escolares) e identifica situações em que as utilizou.
Entrevistas cruzadas
Em duplas, os estudantes entrevistam uns aos outros sobre o que percebem como suas principais habilidades. Depois, devolvem isso como forma de valorização mútua.
Painel “eu sei fazer”
Criação de um mural com frases e imagens que representam o que cada um sabe fazer — da habilidade mais técnica à mais relacional.
Cartas de habilidade para mim mesmo
Cada estudante escreve uma carta reconhecendo uma habilidade que desenvolveu ao longo da vida e refletindo sobre como pode ampliá-la.
Caixa de usos possíveis
Após mapear uma habilidade, os estudantes propõem 3 ou mais formas de usá-la para o bem comum ou em outros contextos (na escola, em casa, com amigos, no futuro).</t>
  </si>
  <si>
    <t>Roda da coragem (com combinados de escuta segura)
Espaço opcional de partilha de fragilidades com regras de escuta ativa e empatia. Pode ser feita por escrito, anônima ou em grupos pequenos.
Metáfora do iceberg
Atividade visual em que o estudante desenha um iceberg: na parte visível, o que os outros veem; na parte submersa, suas vulnerabilidades e medos mais íntimos.
Cartas que não serão entregues
Escrita de cartas confidenciais para si mesmo ou para alguém em quem se sente vulnerável. O foco é nomear, não necessariamente expor.
Poema das fragilidades
Produção poética ou criativa em que os estudantes usam metáforas para expressar suas fragilidades, protegendo o conteúdo direto mas elaborando o sentimento.
Escuta espelhada
Em duplas ou trios, estudantes compartilham (de forma livre ou guiada) uma pequena fragilidade pessoal e recebem de volta, do colega, um reconhecimento positivo ou força que ele vê naquela experiência.</t>
  </si>
  <si>
    <t>Kit de primeiros socorros emocionais
Estudantes criam um kit simbólico com recursos pessoais para momentos difíceis (ex: músicas, palavras, gestos, objetos, ações, pessoas de confiança).
Roteiro de autocuidado
Criação de um plano de ação pessoal para situações de fragilidade, incluindo o que fazer, o que evitar, com quem falar, o que lembrar-se de si mesmo.
Roda de estratégias compartilhadas
Roda de conversa em que os estudantes trocam estratégias saudáveis que já usaram ou gostariam de experimentar para lidar com emoções difíceis.
Diário da travessia
Registro de momentos em que o estudante reconheceu uma fragilidade e tentou lidar com ela de forma mais consciente, mesmo que pequena.
Role-playing de autocuidado
Simulações com situações desafiadoras (conflitos, frustrações, pressões) em que os estudantes testam formas possíveis de resposta com empatia e cuidado.</t>
  </si>
  <si>
    <t>Na escola e na vida, convivemos com pessoas diferentes — mas com algumas, criamos conexões mais fortes. Quem são essas pessoas? O que temos em comum? Como podemos estar juntos de forma positiva e criativa?</t>
  </si>
  <si>
    <t>Nem sempre todo mundo pensa igual. E tudo bem! Mas como dizer o que eu penso sem magoar? Como discordar sem brigar? Falar com respeito, mesmo em grupos diferentes, é uma habilidade importante para a escola e para a vida.</t>
  </si>
  <si>
    <t>Às vezes, o jeito como a gente fala pode machucar, ajudar ou confundir. Outras vezes, o silêncio fala mais do que as palavras. Será que sabemos como nossas palavras afetam os outros? E como a forma de escutar também faz diferença?</t>
  </si>
  <si>
    <t>Nem sempre falamos do mesmo jeito com todas as pessoas. Às vezes, somos mais cuidadosos com alguns, mais impacientes com outros. Será que a forma como falamos nos aproxima ou afasta das pessoas? E será que podemos escolher melhor como nos expressamos?</t>
  </si>
  <si>
    <t>Nem sempre as pessoas pensam como a gente. Às vezes, elas reagem de formas que não entendemos. Mas será que conseguimos enxergar as situações pelos olhos dos outros? Entender como os outros pensam pode mudar nossas relações — e até nossas decisões.</t>
  </si>
  <si>
    <t>Às vezes, sentimos com tanta força o que está acontecendo que nem percebemos se o que sentimos é nosso ou vem do outro. Em outras vezes, julgamos ou ignoramos o que o outro sente. Como aprender a ouvir as emoções dos outros — sem confundir com as nossas?</t>
  </si>
  <si>
    <t>Às vezes, pequenos gestos mudam o dia de alguém. Outras vezes, atitudes comuns podem machucar — mesmo sem intenção. O que realmente faz alguém se sentir bem? Como podemos aprender a reconhecer essas necessidades nas outras pessoas?</t>
  </si>
  <si>
    <t>Tudo que fazemos ou deixamos de fazer impacta alguém. Às vezes, uma escolha pessoal pode ajudar — ou machucar — alguém próximo. Como tomar decisões pensando também nos outros? Será que isso limita ou fortalece a nossa liberdade?</t>
  </si>
  <si>
    <t>Quem são as pessoas com as quais eu tenho afinidades?</t>
  </si>
  <si>
    <t>C.8.2 Diferenciar os próprios sentimentos dos sentimentos dos outros em diferentes situações.</t>
  </si>
  <si>
    <t>Extroversão</t>
  </si>
  <si>
    <t>Amabilidade</t>
  </si>
  <si>
    <t>Extroversão
Conscienciosidade</t>
  </si>
  <si>
    <t>Neuroticismo
Amabilidade</t>
  </si>
  <si>
    <t>Amabilidade
Conscienciosidade</t>
  </si>
  <si>
    <t>EF67LP23A</t>
  </si>
  <si>
    <t>EF69LP15 /</t>
  </si>
  <si>
    <t>EF69LP01A</t>
  </si>
  <si>
    <t>Mapa das afinidades
Estudantes constroem um mapa visual ou simbólico que conecta colegas por temas de interesse, talentos, gostos ou valores.
Dinâmica dos círculos de interesse
Rodas com temas diversos (música, esportes, leitura, animais, jogos, causas sociais etc.) nas quais os estudantes circulam e identificam suas afinidades.
Grupos por projeto espontâneo
Criação de pequenos projetos (mural, apresentação, vídeo, podcast, jogo) por afinidade temática — escolhidos e geridos pelos próprios estudantes.
Roda “eu e os outros”
Atividade de escuta e partilha em que os estudantes falam sobre o que admiram em alguém da turma com quem não tinham tanto contato.
Caderno coletivo de interesses
Registro compartilhado com listas, desenhos e textos que representem o que os alunos gostam de fazer, pensar ou aprender — como um retrato do grupo.</t>
  </si>
  <si>
    <t>Círculo de opiniões diferentes
Dinâmica em que os estudantes tomam posição sobre temas do cotidiano (ex: preferências, regras, ideias para a escola), praticando argumentação respeitosa e escuta ativa.
Jogo “concordo/discordo/tenho dúvidas”
Os estudantes se posicionam fisicamente em relação a uma ideia ou afirmação e são convidados a explicar seus pontos de vista com respeito.
Roteiro de fala respeitosa
Criação coletiva de frases que ajudam a expressar opiniões com empatia, como: “Na minha visão...”, “Eu entendo o que você disse, mas penso diferente porque...”, “Isso me fez pensar em...”.
Cena dramatizada de conflitos
Encenação de pequenos conflitos e discordâncias em sala, seguidas de análise sobre o que poderia ter sido dito de forma mais construtiva.
Painel das vozes
Mural onde os estudantes podem colar frases ou ideias que expressam seus pontos de vista sobre um tema trabalhado — incentivando multiplicidade de opiniões.</t>
  </si>
  <si>
    <t>Análise de falas cotidianas
Estudantes analisam frases comuns do dia a dia (“você nunca me escuta!”, “isso é ridículo!”, “calma aí...”) identificando formas e possíveis efeitos comunicativos.
Cena muda x cena empática
Dramatização em dupla de uma situação com má comunicação (sem escuta ou com agressividade) e sua reinterpretação com empatia e CNV.
Jogo da escuta ativa
Em duplas, um fala e o outro escuta em silêncio por 1 minuto. Depois repete com outras regras (interrompendo, julgando, ouvindo com atenção). A turma discute os efeitos.
Diário de comunicação
Registro por alguns dias sobre situações em que o estudante percebeu um efeito positivo ou negativo de sua forma de comunicar — com espaço para reflexão.
Painel “palavras que constroem”
Criação coletiva de um mural com expressões, tons e atitudes que ajudam a construir confiança, resolver conflitos e manter o respeito nas trocas.</t>
  </si>
  <si>
    <t>Diário de interações
Estudantes registram interações com diferentes pessoas (amigos, familiares, professores), observando o “tom”, o “modo” e os efeitos da sua comunicação.
Cartões de feedback anônimo
Em duplas ou trios, estudantes trocam cartões em que respondem com cuidado e respeito à pergunta: “Como você se comunica com os outros?”
Roleplay de situações reais
Encenar interações escolares (ex: pedir ajuda, dar uma opinião, discordar) e reencená-las com diferentes tons (assertivo, agressivo, passivo), analisando os efeitos.
Mapa de modos de falar
Construção de um painel individual ou coletivo com os “modos” que costumamos usar (calmo, direto, irônico, acolhedor) e os contextos em que eles funcionam ou falham.
Roda “eu costumo falar assim quando...”
Conversa guiada sobre os hábitos comunicativos e como eles podem ser revistos com empatia, clareza e intenção de melhorar as relações.</t>
  </si>
  <si>
    <t>Jogo “na cabeça do outro”
Estudantes recebem uma situação comum (ex: uma discussão, uma decisão difícil, um mal-entendido) e tentam descrever o que cada pessoa envolvida está pensando e sentindo.
Cartas de perspectiva
Cada estudante escreve uma carta do ponto de vista de um personagem (real ou fictício), tentando explicar como essa pessoa vê o mundo e por quê.
Painel de múltiplas vozes
Diante de uma situação polêmica (ex: regras da escola, redes sociais, conflitos familiares), os estudantes listam os diferentes pontos de vista possíveis sobre o tema.
Entrevista empática
Em duplas, um estudante entrevista o outro com foco em entender seus gostos, medos, opiniões e desejos. Depois, apresenta o colega para a turma, tentando representar com fidelidade sua perspectiva.
Cenas invertidas
Em duplas, os estudantes encenam uma situação de conflito comum — e depois trocam de papéis, tentando defender com sinceridade o ponto de vista oposto.</t>
  </si>
  <si>
    <t>Mapa de emoções cruzadas
Diante de uma situação-problema, os estudantes identificam: “O que eu sentiria?” e “O que o outro pode estar sentindo?” — comparando os dois mapas para perceber diferenças.
Jogo “emoção não é adivinhação”
Os estudantes recebem falas ou expressões corporais ambíguas e são convidados a levantar hipóteses possíveis para o sentimento envolvido, reforçando o não julgamento.
Diário de empatia
Registro reflexivo de situações em que o estudante percebeu uma emoção de outra pessoa, e como reagiu: acolheu, julgou, ignorou, confundiu com a sua?
Roleplay de escuta afetiva
Um estudante fala sobre algo difícil ou alegre; o outro apenas escuta e depois tenta descrever o sentimento da pessoa com base na escuta e não em opinião.
“Onde termina o outro, onde começo eu?”
Dinâmica visual com dois círculos: um representa o que o estudante sente; outro, o que o outro sente. O exercício é perceber sobreposição, diferença e limites saudáveis.</t>
  </si>
  <si>
    <t>Escuta empática orientada
Em duplas, estudantes se escutam mutuamente em conversas curtas com perguntas disparadoras: “O que te faz sentir bem na escola?”, “O que você gostaria que os outros percebessem sobre você?”
Roda do bem-estar
Cada estudante compartilha uma ação simples que já viveu (ou que gostaria de viver) e que gerou bem-estar — mapeando o que faz sentido para diferentes pessoas.
Observação ativa
Por um dia, os estudantes observam colegas, familiares e professores, registrando atitudes, gestos e situações que parecem gerar conforto ou desconforto.
Diário do bem-estar alheio
Registro reflexivo de momentos em que o estudante percebeu (ou ignorou) o bem-estar de alguém ao seu redor, com autoanálise das reações e decisões tomadas.
Criação de um “guia de convivência empática”
Coleta de sugestões reais de ações e comportamentos que promovem o bem-estar coletivo no cotidiano escolar — construído pelos próprios estudantes.</t>
  </si>
  <si>
    <t>Dilemas éticos do cotidiano
Os estudantes discutem casos próximos (ex: excluir alguém de um grupo, espalhar um boato, não ajudar quem precisa) e analisam seus impactos no bem-estar dos outros.
Trilha das decisões conscientes
Simulação de situações escolares reais com múltiplas escolhas possíveis. Os estudantes escolhem caminhos e avaliam consequências para si e para os outros.
Painel de “efeito colateral”
Análise coletiva de pequenas atitudes do dia a dia que afetam os outros (positiva ou negativamente), promovendo reconhecimento de responsabilidades invisíveis.
Campanha “minhas escolhas, nosso mundo”
Criação de cartazes, vídeos ou postagens com mensagens que mostrem como decisões individuais constroem ambientes mais saudáveis para todos.
Círculo de corresponsabilidade
Estudantes compartilham decisões recentes em que consideraram (ou não) os sentimentos de outras pessoas, refletindo sobre aprendizados e mudanças possíveis.</t>
  </si>
  <si>
    <t>Escolher entre ir ou não, contar ou esconder, ajudar ou ignorar, se posicionar ou ficar quieto… Todos os dias tomamos decisões. Mas nem sempre é fácil. Por quê? O que torna uma escolha difícil?</t>
  </si>
  <si>
    <t>Tomar uma decisão na frente dos amigos é diferente de decidir sozinho. Às vezes, o lugar, as pessoas, o momento ou o que está em jogo mudam tudo. Mas será que a gente percebe isso quando escolhe alguma coisa?</t>
  </si>
  <si>
    <t>Muitas vezes a gente decide porque algo acontece, alguém fala, ou uma situação muda. Mas e quando isso acontece com pessoas que tomam decisões que afetam o mundo? O que provoca essas decisões? E o que provoca as nossas?</t>
  </si>
  <si>
    <t>Algumas decisões mudam tudo. Outras, parecem pequenas, mas causam grandes efeitos. Pode ser na nossa vida ou na história do mundo. Como prever as consequências de uma escolha? Dá pra aprender com o que aconteceu com os outros?</t>
  </si>
  <si>
    <t>Às vezes, a gente faz algo que parece certo, mas depois percebe que pode ter ferido alguém. Outras vezes, somos pressionados a fazer o que todo mundo faz, mesmo que pareça errado. Como saber o que é ético em cada situação? Existe um jeito justo de decidir?</t>
  </si>
  <si>
    <t>Nem tudo o que a gente valoriza faz bem. Às vezes, valorizamos ganhar sempre, ter mais do que os outros, ser reconhecido acima de tudo. Mas será que isso é justo? Como saber se algo que eu acho importante também é bom para mim e para quem está ao meu redor?</t>
  </si>
  <si>
    <t>Em muitas situações importantes, temos que decidir sozinhos — mas isso não significa que precisamos estar sozinhos. Pedir ajuda pode parecer sinal de fraqueza, mas e se for inteligência emocional? Como saber quando é hora de contar com alguém? E quem são essas pessoas?</t>
  </si>
  <si>
    <t>Quem já passou por situações parecidas com as que você está vivendo pode ter algo importante a dizer. Mas a gente nem sempre quer ouvir. Como saber quando vale a pena escutar alguém mais velho? O que pessoas mais experientes podem ensinar sobre as decisões que ainda vou ter que tomar?</t>
  </si>
  <si>
    <t>É fácil tomar decisões?</t>
  </si>
  <si>
    <t>TD.8.2 Diferenciar valores éticos de antiéticos.</t>
  </si>
  <si>
    <t>Conscienciosidade
Amabilidade</t>
  </si>
  <si>
    <t>Amabilidade
Extroversão</t>
  </si>
  <si>
    <t>“Escolhas difíceis” – relato pessoal
Estudantes compartilham (oralmente ou por escrito) alguma decisão difícil que tiveram que tomar. O grupo discute por que foi difícil e como agiram.
Jogo das decisões cotidianas
Cartas com dilemas simples (ficar com o troco errado, contar um erro, escolher um grupo etc.) para que os estudantes discutam por que é difícil decidir e o que pesa em cada caso.
Mapa das dúvidas
Os estudantes listam dúvidas que costumam surgir antes de tomar decisões e discutem de onde elas vêm (emoções, medo, expectativa alheia, etc.).
Termômetro da dificuldade
Atividade em que os estudantes posicionam situações em um “termômetro” de dificuldade para decidir e justificam as razões de sua escolha.
Jogo de papéis com perspectivas diferentes
Os estudantes assumem papéis (por exemplo: amigo, pai, professor, eu mesmo) e representam como cada um poderia influenciar ou dificultar uma decisão.</t>
  </si>
  <si>
    <t>Cenários de decisão
Estudantes analisam uma mesma situação (ex: ajudar um colega, contar algo, recusar um convite) em diferentes contextos e discutem como o local, as pessoas e o momento mudam a escolha.
Jogo “se fosse em outro lugar...”
Após ouvir uma situação, os estudantes reimaginam como ela seria em outro contexto: na sala de aula, em casa, no intervalo, online — e o que fariam.
Roteiro de perguntas para decidir
Elaboração coletiva de um guia com perguntas que ajudem a pensar antes de agir: Onde estou? Com quem? O que pode acontecer? O que sinto?
Mapa das influências
Cada estudante desenha o “mapa das vozes” que influenciam suas decisões (amigos, família, redes sociais, professores, etc.) e identifica quais contextos são mais desafiadores.
Diário de decisão contextualizada
Os estudantes registram uma escolha feita durante a semana e refletem sobre quais fatores do contexto pesaram na hora de decidir.</t>
  </si>
  <si>
    <t>Linha do tempo das decisões pessoais
Os estudantes listam decisões marcantes de suas vidas até agora e investigam o que causou cada uma delas (emoções, situações, influências, conflitos, etc.).
Jogo das causas históricas
Cada grupo analisa uma decisão histórica (ex: movimento por direitos civis, independência de países, protestos estudantis) e mapeia os fatores que a causaram.
Comparando decisões: eu e o mundo
Os estudantes comparam decisões próprias com decisões históricas, buscando padrões: o que levou alguém a agir? O que eu faria em seu lugar?
Diário “antes de decidir”
Atividade reflexiva para que os estudantes registrem e analisem um momento recente de decisão e tudo o que causou essa escolha.
Mapa das causas invisíveis
Discussão sobre fatores que nem sempre percebemos, mas influenciam decisões (ex: medo, cultura, notícias, redes sociais, exclusão, esperança, cansaço).</t>
  </si>
  <si>
    <t>Antes e depois de uma escolha
Os estudantes descrevem uma decisão real que tomaram e registram as consequências imediatas e de longo prazo — positivas e negativas.
Linha de impacto histórico
Análise em grupo de decisões históricas (ex: leis, guerras, descobertas, movimentos sociais) com foco nas consequências para diferentes grupos sociais.
Dilemas com finais alternativos
Os estudantes recebem dilemas e simulam diferentes decisões, projetando desfechos diversos conforme a escolha feita.
Mapa das consequências invisíveis
Representação gráfica de consequências que vão além do óbvio: emocionais, relacionais, sociais, ambientais.
Cartas para quem decide
Os estudantes escrevem cartas fictícias para personagens históricos ou públicos de hoje, refletindo sobre os efeitos de suas decisões e propondo alternativas.</t>
  </si>
  <si>
    <t>Laboratório de dilemas éticos
Estudantes analisam casos reais ou fictícios (ex: cola em prova, exclusão de colega, discurso de ódio online) e avaliam: isso é ético? Por quê?
Jogo das consequências morais
Grupos recebem uma mesma situação com variações de contexto e discutem como pequenas mudanças afetam a avaliação ética da decisão.
Roteiro de decisão ética
Ferramenta com perguntas: Isso afeta alguém? Quem se beneficia ou é prejudicado? Essa decisão respeita meus valores? Existe outro caminho melhor?
Linha ética da vida real
Estudantes identificam decisões que já tomaram ou presenciaram e analisam o quanto foram éticas, o que guiou a escolha e o que aprenderam com isso.
Mapa dos valores em jogo
Para cada dilema apresentado, o grupo identifica os valores em disputa (ex: lealdade x justiça, liberdade x respeito) e discute o equilíbrio possível.</t>
  </si>
  <si>
    <t>Inventário de valores pessoais
Estudantes listam o que consideram mais importante em suas vidas e, em grupo, discutem quais desses valores promovem bem-estar coletivo e quais podem reforçar desigualdades ou exclusões.
Debate “valor ou problema?”
Grupos recebem afirmações como “valorizar ser o melhor”, “valorizar obedecer sempre”, “valorizar estar certo” e analisam quando esses valores são éticos e quando se tornam prejudiciais.
Histórias com valores ocultos
Leitura de narrativas ou curtas animações onde decisões são guiadas por valores diferentes. Estudantes identificam os valores e discutem suas implicações éticas.
Painel dos valores invertidos
Produção de cartazes comparando “valores que parecem bons, mas podem ser ruins” e “valores que parecem difíceis, mas fazem bem” — incentivando nuance e consciência crítica.
Roda de revisão pessoal
Dinâmica em que cada estudante escolhe um valor importante para si e responde: De onde vem esse valor? Ele faz bem a mim? E aos outros? Já causou algum conflito?</t>
  </si>
  <si>
    <t>Mapa de pessoas-conselheiras
Estudantes mapeiam quem são as pessoas em quem confiam para decisões diferentes (amizade, estudo, futuro, conflitos etc.) e por quê.
Círculo de conselhos
Em grupos, estudantes simulam situações de decisão e oferecem conselhos uns aos outros, com base em escuta ativa, sem julgamento. Depois, refletem sobre o que ajuda ou atrapalha quando recebem ajuda.
Autoanálise: eu peço ajuda?
Atividade de reflexão individual com perguntas: Com que frequência peço ajuda? Por quê? O que me impede? Como me sinto quando recebo conselhos úteis?
Estudo de caso: decisões compartilhadas
Análise de situações (reais ou fictícias) em que pedir ajuda mudou o rumo de uma decisão — e discussão sobre a importância da escuta nesses momentos.
Cenários com e sem ajuda
Os estudantes comparam dois roteiros de tomada de decisão: um sozinho e outro com apoio de outras pessoas — avaliando os efeitos possíveis em cada caso.</t>
  </si>
  <si>
    <t>Entrevista com uma pessoa experiente
Os estudantes entrevistam alguém mais velho (familiares, professores, vizinhos) sobre decisões difíceis que essa pessoa já tomou e o que aprendeu com elas.
Círculo de gerações
Convidados adultos participam de uma roda com os estudantes, compartilhando conselhos e relatos sobre escolhas importantes em suas vidas. Os alunos anotam o que mais os impactou.
Roteiro de perguntas para escuta ativa
Antes das entrevistas ou rodas, os estudantes constroem coletivamente perguntas que estimulem uma escuta empática e reflexiva (ex: “O que você gostaria que alguém tivesse te dito antes de tomar essa decisão?”).
Conselhos para mim mesmo
Após ouvir os relatos, os estudantes escrevem cartas a si mesmos com base no que aprenderam com a experiência do outro.
Debate: seguir ou não seguir conselhos?
Discussão crítica sobre o que fazer com os conselhos recebidos: devemos sempre seguir? Como decidir quando algo é útil para nós? Quais critérios usar?</t>
  </si>
  <si>
    <t>Cada estudante tem uma forma de aprender, se concentrar e se organizar. Descobrir o seu próprio jeito pode ser o primeiro passo para conquistar seus objetivos na escola. Mas o que será que já sabemos sobre nós mesmos como aprendizes?</t>
  </si>
  <si>
    <t>Cada pessoa aprende de um jeito — mas ninguém está pronto. Aprender também é melhorar. E isso exige fazer escolhas, testar caminhos e mudar hábitos. O que eu posso fazer diferente para me tornar um estudante melhor?</t>
  </si>
  <si>
    <t>Todo mundo tem sonhos, planos e desejos. Mas quais deles podem se tornar realidade em pouco tempo? E o que pode levar um pouco mais? Reconhecer essas metas e pensar em como conquistá-las é uma forma de cuidar da própria vida.</t>
  </si>
  <si>
    <t>Já sabemos o que queremos. Mas agora, como transformar esses desejos em algo que realmente acontece? Planejar é imaginar os passos e preparar o caminho. E cada pessoa tem um jeito próprio de se organizar. Qual será o seu?</t>
  </si>
  <si>
    <t>Nem tudo sai como o planejado. Às vezes, a internet cai, um compromisso atrasa ou simplesmente o cansaço aparece. Como você reage nesses momentos? O que você faz quando algo frustrante acontece e atrapalha seus planos?</t>
  </si>
  <si>
    <t>Quando algo não dá certo, cada pessoa reage de um jeito. Uns se irritam, outros se isolam, outros procuram logo um novo caminho. Observar como diferentes pessoas lidam com frustrações pode nos ensinar estratégias úteis para os nossos próprios desafios.</t>
  </si>
  <si>
    <t>Muita coisa pode mudar no Ensino Médio: amigos, professores, a rotina, os interesses… Pensar sobre essa nova etapa pode nos ajudar a nos preparar melhor. Como você imagina que vai se sentir? O que espera viver? E o que pode ser diferente?</t>
  </si>
  <si>
    <t>Ninguém caminha sozinho. Amigos, familiares, professores e até colegas podem ser apoio importante para nossas escolhas e momentos difíceis. Mas será que sabemos quem realmente está por perto para ajudar? Como podemos fortalecer esses laços?</t>
  </si>
  <si>
    <t>Quem eu sou como estudante?</t>
  </si>
  <si>
    <t>Como as pessoas lidam, de modo geral, com imprevistos e frustrações?</t>
  </si>
  <si>
    <t>Como será minha vida no Ensino Médio?</t>
  </si>
  <si>
    <t>Diário de aprendizagem
Durante uma semana, os estudantes anotam como se sentiram em diferentes aulas, que atividades acharam fáceis ou difíceis, o que gostaram mais e menos.
Mapa de interesses escolares
Atividade visual em que os alunos mapeiam as disciplinas, temas e tipos de tarefa que mais gostam — e os que menos gostam — explorando os motivos.
Autorretrato de estudante
Criação de um perfil com frases como: “Eu aprendo melhor quando...”, “Tenho dificuldade com...”, “Me motivo quando...”, “Meu maior desafio é...”.
Entrevista entre pares
Estudantes entrevistam colegas com perguntas sobre hábitos de estudo, preferências, estratégias e dificuldades, para ampliar repertório e se comparar com empatia.
Autoavaliação com base em resultados reais
Leitura coletiva de devolutivas de provas ou atividades, com foco na pergunta: “O que esses resultados dizem sobre mim como estudante?”</t>
  </si>
  <si>
    <t>Plano de mudança pessoal
Após analisarem seu perfil acadêmico (ver P.6.1), os estudantes escolhem um aspecto a mudar (ex: organização, foco, motivação) e traçam um plano simples com ações concretas.
Tabela de hábitos de estudo
Os alunos listam hábitos que usam hoje e hábitos que poderiam melhorar (ex: revisar antes da prova, não deixar tudo para o último dia, pedir ajuda). Marcam quais vão testar.
Experimento de 1 semana
Cada estudante escolhe uma mudança para aplicar por uma semana. Depois, compartilha o que deu certo, o que foi difícil e o que pretende manter.
Estudo de caso: “O estudante que queria mudar”
Leitura ou dramatização de uma história sobre um personagem fictício que tem dificuldades e decide se transformar como estudante. Discussão coletiva sobre decisões possíveis.
Círculo de compromissos
Ao final do processo, os estudantes compartilham com o grupo o que pretendem mudar e por quê. Os colegas podem ajudar a monitorar os avanços.</t>
  </si>
  <si>
    <t>Roda da vida escolar e pessoal
Os estudantes avaliam sua satisfação em áreas como estudos, amizades, saúde, lazer, e a partir disso nomeiam objetivos para melhorar cada uma.
Lista 3x2 (3 objetivos de curto prazo / 2 de médio prazo)
Os estudantes elaboram metas em diferentes categorias (vida pessoal, vida acadêmica, vida social) e classificam segundo prazo e viabilidade.
Cartões de metas pessoais
Cada aluno escreve objetivos em cartões coloridos e cria uma linha do tempo ou mural coletivo de metas.
Mapa de objetivos com foco narrativo
Os estudantes escrevem: “No fim deste semestre, quero…” e completam com ações específicas. Depois compartilham e justificam suas metas.
Círculo de metas inspiradoras
Em roda, os estudantes compartilham metas selecionadas e escutam sugestões, perguntas e incentivos dos colegas — fortalecendo agência e pertencimento.</t>
  </si>
  <si>
    <t>Roteiro de planejamento semanal/mensal com metas pessoais
Estudantes distribuem pequenas ações ao longo de um cronograma realista que contemple estudos, lazer e autorregulação.
Agenda personalizada de metas
Criação de uma agenda física ou digital com lembretes, prazos e etapas para cada objetivo — usando checklists e marcadores visuais.
Mapa de ação (passo a passo da meta)
Os estudantes desenham o caminho até a meta com etapas intermediárias e indicam recursos, apoios e possíveis obstáculos.
Painel de produtividade (Kanban pessoal)
Organização visual das tarefas em colunas “A fazer”, “Fazendo” e “Concluído”, adaptando a lógica de gestão de projetos ao cotidiano do estudante.
Diário de planejamento com reflexões semanais
Registro contínuo sobre o que foi feito, o que não foi, e por quê — promovendo pensamento estratégico e autorregulação.</t>
  </si>
  <si>
    <t>Roda de experiências frustrantes
Os estudantes compartilham exemplos de imprevistos vividos (acadêmicos ou pessoais) e refletem juntos sobre reações e aprendizados.
Mapa da frustração e da resposta
Os alunos representam situações frustrantes e suas reações em dois eixos: emoção sentida e ação tomada — analisando alternativas.
Diário do inesperado
Durante uma semana, cada estudante anota imprevistos e como reagiu a eles. Depois, identifica padrões e alternativas de resposta.
Simulações de imprevistos
Atividades práticas em que os planos dos estudantes são interrompidos intencionalmente e eles devem reorganizar suas ações com rapidez e empatia.
Criação de um “kit de enfrentamento”
Os alunos listam atitudes e estratégias que funcionam para eles em momentos difíceis e criam um “manual de autocuidado produtivo”.</t>
  </si>
  <si>
    <t>Entrevistas com familiares e educadores
Estudantes entrevistam pessoas próximas sobre como lidam com imprevistos e frustrações, e compartilham os aprendizados em rodas de conversa.
Painel de histórias reais
Exposição de depoimentos anônimos (coletados ou fictícios) sobre situações difíceis e os caminhos usados para enfrentá-las.
Role-playing com diferentes estilos de enfrentamento
Em pequenos grupos, os alunos dramatizam como diferentes perfis de pessoas reagem diante do mesmo imprevisto.
Comparação de estratégias
Após leitura ou escuta de diferentes histórias, os estudantes categorizam as estratégias (evitação, diálogo, criatividade, perseverança etc.).
Círculo de trocas de estratégias úteis
Cada estudante compartilha uma estratégia que já usou e que funcionou bem diante de uma frustração real.</t>
  </si>
  <si>
    <t>Carta para o futuro
Os estudantes escrevem uma carta endereçada ao “eu do Ensino Médio”, descrevendo como se imaginam, o que esperam sentir, fazer e aprender.
Cenário ilustrado
Criação de um painel visual (manual ou digital) com imagens, palavras e símbolos que expressem como imaginam sua vida no Ensino Médio.
Roda de projeções
Em grupo, os estudantes compartilham suas hipóteses sobre como será a nova etapa e escutam diferentes perspectivas.
Diálogo com ex-alunos ou estudantes do 1º ano
Encontros mediados com adolescentes que já estão no Ensino Médio, para escuta de experiências reais e ampliação da visão de futuro.
Diário de transição
Ao longo do 9º ano, os alunos registram suas reflexões, expectativas, mudanças de visão e sentimentos em relação ao Ensino Médio.</t>
  </si>
  <si>
    <t>Mapa da rede de apoio
Os estudantes identificam, em diferentes esferas da vida (escola, família, comunidade), pessoas que oferecem apoio emocional, prático ou inspirador.
Roda de escuta sobre apoio mútuo
Conversa em pequenos grupos sobre situações em que receberam ajuda ou apoiaram alguém — e o impacto disso.
Cartas de agradecimento
Escrita de mensagens para pessoas que fazem parte da rede de apoio, fortalecendo vínculos com reconhecimento explícito.
Diagrama de confiança
Os alunos representam quem são as pessoas com quem se sentem mais à vontade para conversar, pedir conselhos ou dividir preocupações.
Plano de fortalecimento de vínculos
A partir do mapa da rede de apoio, os estudantes escolhem pelo menos um vínculo que desejam fortalecer e planejam ações concretas para isso.</t>
  </si>
  <si>
    <t>Às vezes acordamos animados para realizar nossas tarefas; em outras, parece que nada faz sentido. Identificar o que influencia nossa motivação é um passo importante para aprender a lidar com os altos e baixos e manter o foco mesmo nos dias difíceis.</t>
  </si>
  <si>
    <t>A motivação pode nos ajudar a fazer tarefas com mais dedicação e alegria. Já a desmotivação pode atrapalhar nossos planos e nos deixar frustrados. Saber como isso impacta nossa rotina ajuda a entender melhor nossas atitudes e buscar equilíbrio.</t>
  </si>
  <si>
    <t>Vivemos em comunidade. Na escola, em casa e em outros espaços, existem necessidades que nem sempre são ditas. Perceber essas demandas é o primeiro passo para colaborar e se engajar em soluções que fazem a diferença.</t>
  </si>
  <si>
    <t>Ajudar não significa resolver tudo sozinho, mas estar disponível, se importar e agir quando possível. Quando cada um contribui, o ambiente onde vivemos se torna melhor para todos.</t>
  </si>
  <si>
    <t>A sociedade em que vivemos é feita por pessoas e instituições. Em meio aos seus avanços e problemas, podemos aprender a enxergar o que merece ser valorizado e o que precisa ser transformado. Essa consciência é o primeiro passo para o engajamento social.</t>
  </si>
  <si>
    <t>Vivemos em uma sociedade marcada por desigualdades. Algumas pessoas enfrentam barreiras maiores do que outras por causa de onde nasceram, de sua cor, classe, gênero ou outras características. Reconhecer isso é o primeiro passo para construir relações mais justas.</t>
  </si>
  <si>
    <t>Melhorar a própria vida é um movimento que exige autoconhecimento, escolhas conscientes e ação contínua. Quando os jovens se colocam em movimento, eles expandem sua agência e sua capacidade de transformar também o entorno.</t>
  </si>
  <si>
    <t>A família é um espaço importante de cuidado, aprendizado e convivência. Quando os jovens se engajam para melhorar sua vida familiar — seja com gestos, atitudes ou iniciativas — contribuem para fortalecer vínculos e criar ambientes mais saudáveis.</t>
  </si>
  <si>
    <t>Como me sinto quando estou motivado? E demotivado?</t>
  </si>
  <si>
    <t>Como posso melhorar a vida da minha família?</t>
  </si>
  <si>
    <t>Corresponsabilidade</t>
  </si>
  <si>
    <t>Amabilidade
Neuroticismo</t>
  </si>
  <si>
    <t>Diário de ânimo
Durante uma semana, os estudantes registram seus estados de ânimo ao início e fim do dia, identificando fatores que os motivaram ou desmotivaram.
Linha do tempo da motivação
Representação gráfica de momentos da vida escolar em que se sentiram muito motivados ou muito desmotivados, com análise do porquê.
Mapa de estímulos motivadores/desmotivadores
Elenco coletivo e individual de situações, pessoas ou tarefas que afetam o estado de ânimo para aprender e agir.
Roda de escuta empática
Compartilhamento, em grupos pequenos, de experiências relacionadas à motivação e acolhimento sem julgamentos.
Acordo de estratégias pessoais
Cada estudante elabora pequenas ações que pode realizar quando perceber que está desmotivado — como pedir ajuda, dar uma pausa, reorganizar o ambiente etc.</t>
  </si>
  <si>
    <t>Estudo de caso pessoal
Os estudantes descrevem uma situação em que estavam muito motivados e outra em que estavam desmotivados, comparando os efeitos em suas ações.
Roda de impacto
Representação visual em que os alunos escrevem no centro uma emoção (motivação/desmotivação) e, ao redor, os efeitos que ela causou no corpo, nas atitudes, no rendimento, no humor etc.
Autoentrevista
Os alunos respondem a perguntas como “O que acontece quando estou animado?”, “O que deixo de fazer quando estou desmotivado?” e compartilham em duplas ou trios.
Quadro comparativo
Montagem de um quadro com colunas “motivação” e “desmotivação”, onde são registrados efeitos sobre concentração, humor, relações e resultados escolares.
Plano de ação pessoal
Cada estudante define uma estratégia que pode aplicar quando perceber os efeitos da desmotivação (ex: reorganizar o ambiente, conversar com alguém, redefinir metas).</t>
  </si>
  <si>
    <t>Mapa das necessidades
Em grupo, os estudantes constroem um mapa visual das principais necessidades percebidas na escola e na família (relacionadas a ambiente, convivência, aprendizagem etc.).
Entrevistas com escuta ativa
Os alunos entrevistam membros da família, funcionários da escola ou colegas para identificar o que eles gostariam de melhorar no cotidiano.
Roda “O que vejo e não vejo?”
Dinâmica de escuta e observação de situações negligenciadas ou invisibilizadas na rotina escolar e familiar.
Caixa de sugestões anônimas
Coleta de demandas percebidas pelos próprios colegas da turma, que depois são analisadas de forma coletiva.
Caminhada sensível
Atividade guiada na qual os alunos caminham por espaços da escola com o propósito de observar necessidades físicas, afetivas ou sociais.</t>
  </si>
  <si>
    <t>Desafio do bem
Proposta de uma ação concreta, em grupo ou individual, que tenha como foco melhorar algum aspecto da rotina da escola ou da família (ex: ajudar colegas, cuidar de espaços comuns, oferecer apoio emocional).
Projeto “Eu me importo”
Planejamento e execução de uma intervenção simples a partir de alguma demanda identificada na entrada anterior.
Painel de iniciativas possíveis
Criação de um mural com ideias de pequenas ações que podem ser feitas no dia a dia para colaborar com o bem-estar dos outros.
Diário de contribuição
Registro pessoal de atitudes de ajuda realizadas ao longo de uma semana, com reflexões sobre como se sentiu e o impacto percebido.
Roda de partilhas: quem cuidou de quem?
Espaço para relatar e valorizar atitudes cuidadosas observadas entre colegas e na própria escola.</t>
  </si>
  <si>
    <t>Análise de reportagens e dados sociais
Estudantes examinam notícias, gráficos ou indicadores sociais (educação, meio ambiente, segurança etc.) e produzem argumentos sobre os avanços e problemas evidenciados.
Painel “O que funciona e o que não funciona?”
Mapa visual onde os alunos organizam aspectos positivos e negativos observados na sociedade (em nível local, nacional ou global), com justificativas.
Debates críticos
Grupos discutem temas sociais controversos, com posições variadas, baseando-se em informações e valores éticos para sustentar argumentos.
Crônica ou carta argumentativa
Produção textual onde os alunos expressam, com base em suas percepções e vivências, elogios e críticas à sociedade atual.
Galeria de vozes sociais
Estudo de ativistas, líderes comunitários e iniciativas sociais que expressam críticas ou propõem transformações, inspirando os estudantes a fazer o mesmo.</t>
  </si>
  <si>
    <t>Linha da vida social
Os alunos constroem uma linha que mostra momentos em que sentiram que tiveram mais oportunidades ou mais dificuldades, relacionando essas experiências com fatores sociais.
Mapa de privilégios e desafios
Atividade onde os estudantes marcam em uma matriz aspectos que favorecem e dificultam sua vida, como acesso à educação, moradia, saúde, representação, apoio familiar etc.
Histórias cruzadas
Leitura ou escuta de histórias de pessoas de diferentes contextos sociais, seguidas de rodas de conversa sobre semelhanças e diferenças com a própria trajetória.
Roda “Não é sobre mim, é sobre o mundo”
Discussão sobre o impacto coletivo da desigualdade e como o reconhecimento das próprias posições pode levar à solidariedade e à ação transformadora.
Círculo de empatia
Dinâmica em que os alunos se deslocam no espaço a partir de perguntas que revelam privilégios ou vulnerabilidades (ex: “Você já deixou de fazer algo por falta de dinheiro?”), seguida de escuta sensível e conversa.</t>
  </si>
  <si>
    <t>Plano de melhoria pessoal
Elaboração de um plano com pequenas ações que o estudante deseja implementar em áreas como estudos, saúde, convivência ou bem-estar.
Roda de apoio entre pares
Grupos de estudantes compartilham desafios e ideias para melhoria pessoal, ajudando-se mutuamente com escuta e sugestões construtivas.
Desafio “21 dias de mudança”
Proposta de mudança de hábito ou atitude com acompanhamento e registro ao longo de três semanas.
Diário de metas e avanços
Ferramenta simples para que os alunos documentem o que querem melhorar e acompanhem sua própria evolução.
Autoavaliação crítica
Roteiros de reflexão sobre a vida atual, pontos fortes e aspectos a serem desenvolvidos, com devolutiva orientada do educador.</t>
  </si>
  <si>
    <t>Roda “o que posso fazer em casa”
Conversa em que os alunos refletem sobre o que podem fazer para melhorar o clima familiar, com base em escuta, diálogo ou ações práticas.
Projeto “pequenos gestos, grandes mudanças”
Desafio de praticar gestos concretos de cuidado com os membros da família e registrar os efeitos percebidos (por escrito, áudio ou desenho).
Cartas para casa
Escrita de cartas ou bilhetes com mensagens de gratidão, reconhecimento ou propostas de convívio saudável.
Mapa de afeto familiar
Representação gráfica das pessoas da família, o tipo de vínculo existente, e ideias de como fortalecer cada relação.
Plano de apoio mútuo
Elaboração de um pequeno plano de como os alunos podem ajudar sua família em algo prático (organização, escuta, tarefas, etc).</t>
  </si>
  <si>
    <t>Quantidade</t>
  </si>
  <si>
    <t>Transformações geométricas: simetrias de translação, reflexão e rotação</t>
  </si>
  <si>
    <t>Triângulos: construção, condição de existência e soma das medidas dos ângulos internos</t>
  </si>
  <si>
    <t>Triângulos: construção, condição de existência e soma das medidas dos ângulos internos.</t>
  </si>
  <si>
    <t>Polígonos regulares. (construção por algoritmos e fluxogramas)</t>
  </si>
  <si>
    <t>Relações entre arcos e ângulos na circunferência de um círculo.</t>
  </si>
  <si>
    <t>Vistas ortogonais de figuras espaciais.</t>
  </si>
  <si>
    <t>Retas paralelas cortadas por transversais: teoremas de proporcionalidade e verificações experimentais.</t>
  </si>
  <si>
    <t>Demonstrações de relações entre os ângulos formados por retas paralelas intersectadas por uma transversal.</t>
  </si>
  <si>
    <t>Distância entre pontos no plano cartesiano.</t>
  </si>
  <si>
    <t>Volume de prismas e cilindros.</t>
  </si>
  <si>
    <t>Relações métricas no triângulo retângulo.  Teorema de Pitágoras: verificações experimentais e demonstração.</t>
  </si>
  <si>
    <t>Semelhança de triângulos.</t>
  </si>
  <si>
    <t>Questões de avaliações estaduais, nacionais e internacionais</t>
  </si>
  <si>
    <t>Valor numérico de expressões algébricas.</t>
  </si>
  <si>
    <t>Razão entre grandezas de espécies diferentes.</t>
  </si>
  <si>
    <t>Equações polinomiais do 1º grau</t>
  </si>
  <si>
    <t>Variação de grandezas: diretamente proporcionais, inversamente proporcionais ou não proporcionais.</t>
  </si>
  <si>
    <t>Grandezas diretamente proporcionais e grandezas inversamente proporcionais.</t>
  </si>
  <si>
    <t>Funções: representações numérica, algébrica e gráfica.</t>
  </si>
  <si>
    <t>Problemas envolvendo grandezas diretamente proporcionais e grandezas inversamente proporcionais.</t>
  </si>
  <si>
    <t>Expressões algébricas: fatoração e produtos notáveis. Resolução de equações polinomiais do 2º grau por meio de fatorações.</t>
  </si>
  <si>
    <t>Experimentos aleatórios: espaço amostral e estimativa de probabilidade por meio de frequência de ocorrências.</t>
  </si>
  <si>
    <t>Princípio multiplicativo da contagem. Soma das probabilidades de todos os elementos de um espaço amostral.</t>
  </si>
  <si>
    <t>Estatística: média e amplitude de um conjunto de dados</t>
  </si>
  <si>
    <t>Análise de probabilidades de eventos aleatórios: eventos dependentes e independentes.</t>
  </si>
  <si>
    <t>Medidas de tendência central e de dispersão.</t>
  </si>
  <si>
    <t>Análise de gráficos divulgados pela mídia: elementos que podem induzir a erros de leitura ou de interpretação.</t>
  </si>
  <si>
    <t>Planejamento e execução de pesquisa amostral e apresentação de relatório.</t>
  </si>
  <si>
    <t>Leitura, interpretação e representação de dados de pesquisas expressos em tabelas de dupla entrada, gráficos de colunas, simples e agrupadas, gráficos de barras e de setores e gráficos pictóricos.</t>
  </si>
  <si>
    <t>NÚMEROS</t>
  </si>
  <si>
    <t>Necessidade dos números reais para medir qualquer segmento de reta.</t>
  </si>
  <si>
    <t>Potenciação e radiciação</t>
  </si>
  <si>
    <t>Potências com expoentes negativos e fracionários</t>
  </si>
  <si>
    <t>Frações: significados, equivalência, operações, fração de quantidades.</t>
  </si>
  <si>
    <t>Números irracionais: reconhecimento e localização de alguns na reta numérica.</t>
  </si>
  <si>
    <t>Notação científica</t>
  </si>
  <si>
    <t>Números reais: notação científica e problemas</t>
  </si>
  <si>
    <t>Porcentagens</t>
  </si>
  <si>
    <t>Números racionais – forma fracionária e forma decimal: usos, ordenação, operações, representação na reta numérica.</t>
  </si>
  <si>
    <t>Porcentagens: problemas que envolvem cálculo de percentuais sucessivos.</t>
  </si>
  <si>
    <t>GRANDEZAS/MEDIDAS</t>
  </si>
  <si>
    <t>Unidades de medida para medir distâncias muito grandes e muito pequenas.
 Unidades de medida utilizadas na informática.</t>
  </si>
  <si>
    <t xml:space="preserve">6° ano </t>
  </si>
  <si>
    <t>CAMPO DE ATUAÇÃO</t>
  </si>
  <si>
    <t>PRÁTICAS DE LINGUAGEM</t>
  </si>
  <si>
    <t>NÍVEL PISA</t>
  </si>
  <si>
    <t>TÓPICO GRAMATICAL</t>
  </si>
  <si>
    <t>Habilidade relacionada à gramática</t>
  </si>
  <si>
    <t>1°</t>
  </si>
  <si>
    <t>2°</t>
  </si>
  <si>
    <t>3°</t>
  </si>
  <si>
    <t>4°</t>
  </si>
  <si>
    <t>IMPORTANTE</t>
  </si>
  <si>
    <t>RETOMADAS</t>
  </si>
  <si>
    <t>REFERÊNCIAS</t>
  </si>
  <si>
    <t>MATERIAL DIGITAL/FÍSICO</t>
  </si>
  <si>
    <t xml:space="preserve">9° ano </t>
  </si>
  <si>
    <t>Artístico/Literário</t>
  </si>
  <si>
    <t>(EF69LP46) Participar de práticas compartilhadas de leitura/recepção de obras literárias/manifestações artísticas, tecendo, quando possível, comentários de ordem estética e afetiva.</t>
  </si>
  <si>
    <t>Reconstrução das condições de produção, circulação e recepção
 Apreciação e réplica</t>
  </si>
  <si>
    <t>1b</t>
  </si>
  <si>
    <t>Leitura de memórias</t>
  </si>
  <si>
    <t>Verbos</t>
  </si>
  <si>
    <t>Revisão: (EF08LP06) Identificar, em textos lidos ou de produção própria, os termos constitutivos da oração (sujeito e seus modificadores, verbo e seus complementos e modificadores).</t>
  </si>
  <si>
    <t>1a</t>
  </si>
  <si>
    <t>1b + 1a</t>
  </si>
  <si>
    <t>Leitura de biografia</t>
  </si>
  <si>
    <t>Tempos verbais - presente do ind.</t>
  </si>
  <si>
    <t>(EF69LP47) Analisar, em textos narrativos ficcionais, as diferentes formas de composição
próprias de cada gênero, os recursos coesivos que constroem a passagem do tempo e articulam
suas partes, a escolha lexical típica de cada gênero para a caracterização dos cenários e dos
personagens e os efeitos de sentido decorrentes dos tempos verbais, dos tipos de discurso, dos
verbos de enunciação e das variedades linguísticas (no discurso direto, se houver) empregados,
identificando o enredo e o foco narrativo e percebendo como se estrutura a narrativa nos
diferentes gêneros e os efeitos de sentido decorrentes do foco narrativo típico de cada gênero,
da caracterização dos espaços físico e psicológico e dos tempos cronológico e psicológico, das
diferentes vozes no texto (do narrador, de personagens em discurso direto e indireto), do uso
de pontuação expressiva, palavras e expressões conotativas e processos figurativos e do uso de
recursos linguístico-gramaticais próprios a cada gênero narrativo.</t>
  </si>
  <si>
    <t>Leitura de autobiografia</t>
  </si>
  <si>
    <t>Tempos verbais - futuro do presente do ind.</t>
  </si>
  <si>
    <t>Todos os campos de atuação</t>
  </si>
  <si>
    <t>(EF09LP04) Escrever textos corretamente, de acordo com a norma-padrão, com estruturas sintáticas complexas no nível da oração e do período.</t>
  </si>
  <si>
    <t>Produção de Textos</t>
  </si>
  <si>
    <t>Fono-ortografia</t>
  </si>
  <si>
    <t>Produção de minibiografia</t>
  </si>
  <si>
    <t>Jornalístico-Midiático</t>
  </si>
  <si>
    <t>(EF69LP03) Identificar, em notícias, o fato central, suas principais circunstâncias e eventuais decorrências; em reportagens e fotorreportagens o fato ou a temática retratada e a perspectiva de abordagem, em entrevistas os principais temas/subtemas abordados, explicações dadas ou teses defendidas em relação a esses subtemas; em tirinhas, memes, charge, a crítica, ironia ou humor presente.</t>
  </si>
  <si>
    <t>Estratégia de leitura: apreender os sentidos globais do texto</t>
  </si>
  <si>
    <t>Notícia - fato central</t>
  </si>
  <si>
    <t>Pretérito perfeito do indicativo</t>
  </si>
  <si>
    <t>Notícia - elementos</t>
  </si>
  <si>
    <t>Trecho de reportagem - fato central</t>
  </si>
  <si>
    <t>Pretérito imperfeito do indicativo</t>
  </si>
  <si>
    <t>Reportagem - elementos</t>
  </si>
  <si>
    <t>Tempos verbais - Futuro do Pretérito do ind</t>
  </si>
  <si>
    <t>Reportagem - relação entre parágrafos</t>
  </si>
  <si>
    <t>Entrevista - ideia central</t>
  </si>
  <si>
    <t>Pontuação - ponto final</t>
  </si>
  <si>
    <t>Entrevista - subtemas</t>
  </si>
  <si>
    <t>Produção de notícia</t>
  </si>
  <si>
    <t>Vida pública</t>
  </si>
  <si>
    <t>(EF89LP17) Relacionar textos e documentos legais e normativos de importância universal, nacional ou local que envolvam direitos, em especial, de crianças, adolescentes e jovens – tais como a Declaração dos Direitos Humanos, a Constituição Brasileira, o ECA -, e a regulamentação da organização escolar – por exemplo, regimento escolar -, a seus contextos de produção, reconhecendo e analisando possíveis motivações, finalidades e sua vinculação com experiências humanas e fatos históricos e sociais, como forma de ampliar a compreensão dos direitos e deveres, de fomentar os princípios democráticos e uma atuação pautada pela ética da responsabilidade (o outro tem direito a uma vida digna tanto quanto eu tenho).</t>
  </si>
  <si>
    <t>Reconstrução do contexto de produção, circulação e recepção de textos legais e normativos</t>
  </si>
  <si>
    <t>Leitura de cartaz instrucional (primeiros socorros)</t>
  </si>
  <si>
    <t>Oração; sujeito e predicado.</t>
  </si>
  <si>
    <t>(EF09LP05) Identificar, em textos lidos e em produções próprias, orações com a estrutura sujeito-verbo de ligação-predicativo.</t>
  </si>
  <si>
    <t>EF69LP02) Analisar e comparar peças publicitárias variadas (cartazes, folhetos, outdoor, anúncios e propagandas em diferentes mídias, spots, jingle, vídeos etc.), de forma a perceber a articulação entre elas em campanhas, as especificidades das várias semioses e mídias, a adequação dessas peças ao público-alvo, aos objetivos do anunciante e/ou da campanha e à construção composicional e estilo dos gêneros em questão, como forma de ampliar suas possibilidades de compreensão (e produção) de textos pertencentes a esses gêneros.</t>
  </si>
  <si>
    <t>Apreciação e réplica
 Relação entre gêneros e mídias</t>
  </si>
  <si>
    <t>Leitura de cartaz de campanha de saúde</t>
  </si>
  <si>
    <t>Concordância verbal</t>
  </si>
  <si>
    <t>Cartaz sobre direitos do estudante</t>
  </si>
  <si>
    <t>Código de ética de uma profissão</t>
  </si>
  <si>
    <t>Código de ética dos estudantes</t>
  </si>
  <si>
    <t>Práticas de estudo e pesquisa</t>
  </si>
  <si>
    <t>(EF69LP29) Refletir sobre a relação entre os contextos de produção dos gêneros de divulgação científica – texto didático, artigo de divulgação científica, reportagem de divulgação científica, verbete de enciclopédia (impressa e digital), esquema, infográfico (estático e animado), relatório, relato multimidiático de campo, podcasts e vídeos variados de divulgação científica etc. – e os aspectos relativos à construção composicional e às marcas linguística características desses gêneros, de forma a ampliar suas possibilidades de compreensão (e produção) de textos pertencentes a esses gêneros.</t>
  </si>
  <si>
    <t>Reconstrução das condições de produção e recepção dos textos e adequação do texto à construção composicional e ao estilo de gênero</t>
  </si>
  <si>
    <t>Ficha catalográfica</t>
  </si>
  <si>
    <t>Ortografia - hifenização</t>
  </si>
  <si>
    <t>Relatório</t>
  </si>
  <si>
    <t>Transitividade verbal</t>
  </si>
  <si>
    <t>(EF69LP33) Articular o verbal com os esquemas, infográficos, imagens variadas etc. na (re)construção dos sentidos dos textos de divulgação científica e retextualizar do discursivo para o esquemático – infográfico, esquema, tabela, gráfico, ilustração etc. – e, ao contrário, transformar o conteúdo das tabelas, esquemas, infográficos, ilustrações etc. em texto discursivo, como forma de ampliar as possibilidades de compreensão desses textos e analisar as características das multissemioses e dos gêneros em questão.</t>
  </si>
  <si>
    <t>Estratégias e procedimentos de leitura Relação do verbal com outras semioses
 Procedimentos e gêneros de apoio à compreensão</t>
  </si>
  <si>
    <t>Esquema</t>
  </si>
  <si>
    <t>Ortografia - acentuação</t>
  </si>
  <si>
    <t>(EF69LP34) Grifar as partes essenciais do texto, tendo em vista os objetivos de leitura, produzir marginálias (ou tomar notas em outro suporte), sínteses organizadas em itens, quadro sinóptico, quadro comparativo, esquema, resumo ou resenha do texto lido (com ou sem comentário/análise), mapa conceitual, dependendo do que for mais adequado, como forma de possibilitar uma maior compreensão do texto, a sistematização de conteúdos e informações e</t>
  </si>
  <si>
    <t>Estratégias e procedimentos de leitura 
Relação do verbal com outras semioses
 Procedimentos e gêneros de apoio à compreensão</t>
  </si>
  <si>
    <t>Resumo</t>
  </si>
  <si>
    <t>Modos indicativo e subjuntivo</t>
  </si>
  <si>
    <t>Campo das práticas de estudo e pesquisa</t>
  </si>
  <si>
    <t>(EF69LP35) Planejar textos de divulgação científica, a partir da elaboração de esquema que considere as pesquisas feitas anteriormente, de notas e sínteses de leituras ou de registros de experimentos ou de estudo de campo, produzir, revisar e editar textos voltados para a divulgação do conhecimento e de dados e resultados de pesquisas, tais como artigo de divulgação científica, artigo de opinião, reportagem científica, verbete de enciclopédia, verbete de enciclopédia digital colaborativa , infográfico, relatório, relato de experimento científico, relato (multimidiático) de campo, tendo em vista seus contextos de produção, que podem envolver a disponibilização de informações e conhecimentos em circulação em um formato mais acessível para um público específico ou a divulgação de conhecimentos advindos de pesquisas bibliográficas, experimentos científicos e estudos de campo realizados.</t>
  </si>
  <si>
    <t>Consideração das condições de produção de textos de divulgação científica;
Estratégias de escrita</t>
  </si>
  <si>
    <t>Resumo de divulgação científica</t>
  </si>
  <si>
    <t>(EF69LP17) Perceber e analisar os recursos estilísticos e semióticos dos gêneros jornalísticos e publicitários, os aspectos relativos ao tratamento da informação em notícias, como a ordenação dos eventos, as escolhas lexicais, o efeito de imparcialidade do relato, a morfologia do verbo, em textos noticiosos e argumentativos, reconhecendo marcas de pessoa, número, tempo, modo, a distribuição dos verbos nos gêneros textuais (por exemplo, as formas de pretérito em relatos; as formas de presente e futuro em gêneros argumentativos; as formas de imperativo em gêneros publicitários), o uso de recursos persuasivos em textos argumentativos diversos (como a elaboração do título, escolhas lexicais, construções metafóricas, a explicitação ou a ocultação de fontes de informação) e as estratégias de persuasão e apelo ao consumo com os recursos linguístico-discursivos utilizados (tempo verbal, jogos de palavras, metáforas, imagens).</t>
  </si>
  <si>
    <t>Análise linguística/semiótica</t>
  </si>
  <si>
    <t>Coluna</t>
  </si>
  <si>
    <t>Concordâncias nominal</t>
  </si>
  <si>
    <t>Crônica jornalística</t>
  </si>
  <si>
    <t>Nota</t>
  </si>
  <si>
    <t>(EF89LP33) Ler, de forma autônoma, e compreender – selecionando procedimentos e estratégias de leitura adequados a diferentes objetivos e levando em conta características dos gêneros e suportes – romances, contos contemporâneos, minicontos, fábulas contemporâneas, romances juvenis, biografias romanceadas, novelas, crônicas visuais, narrativas de ficção científica, narrativas de suspense, poemas de forma livre e fixa (como haicai), poema concreto, ciberpoema, dentre outros, expressando avaliação sobre o texto lido e estabelecendo preferências por gêneros, temas, autores.</t>
  </si>
  <si>
    <t>Estratégias de leitura;
Apreciação e réplica</t>
  </si>
  <si>
    <t>Identificação de informações explícitas em contos.</t>
  </si>
  <si>
    <t>Pessoas do discurso</t>
  </si>
  <si>
    <t>(EF69LP48) Interpretar, em poemas, efeitos produzidos pelo uso de recursos expressivos sonoros (estrofação, rimas, aliterações etc), semânticos (figuras de linguagem, por exemplo), gráfico-espacial (distribuição da mancha gráfica no papel), imagens e sua relação com o texto verbal.</t>
  </si>
  <si>
    <t>Reconstrução da textualidade e compreensão dos efeitos
de sentidos provocados pelos usos de recursos linguísticos e multissemióticos</t>
  </si>
  <si>
    <t>Interpretação de recursos expressivos em poemas narrativos ou dramáticos.</t>
  </si>
  <si>
    <t>Pronomes</t>
  </si>
  <si>
    <t>(EF89LP29) Utilizar e perceber mecanismos de progressão temática, tais como retomadas anafóricas (“que, cujo, onde”, pronomes do caso reto e oblíquos, pronomes demonstrativos, nomes correferentes etc.), catáforas (remetendo para adiante ao invés de retomar o já dito), uso de organizadores textuais, de coesivos etc., e analisar os mecanismos de reformulação e paráfrase utilizados nos textos de divulgação do conhecimento.</t>
  </si>
  <si>
    <t>Identificação de informações essenciais em narrativas jornalísticas.</t>
  </si>
  <si>
    <t>Verbos de ligação</t>
  </si>
  <si>
    <t>(EF09LP06) Diferenciar, em textos lidos e em produções próprias, o efeito de sentido do uso dos verbos de ligação “ser”, “estar”, “ficar”, “parecer” e “permanecer”.</t>
  </si>
  <si>
    <t>(EF09LP01) Analisar o fenômeno da disseminação de notícias falsas nas redes sociais e desenvolver estratégias para reconhecê-las, a partir da verificação/avaliação do veículo, fonte, data e local da publicação, autoria, URL, da análise da formatação, da comparação de diferentes fontes, da consulta a sites de curadoria que atestam a fidedignidade do relato dos fatos e denunciam boatos etc.</t>
  </si>
  <si>
    <t>Reconstrução do contexto de produção, circulação e recepção de textos;
Caracterização do campo jornalístico e relação entre os gêneros em circulação, mídias e práticas da cultura digital</t>
  </si>
  <si>
    <t>Análise de indícios de manipulação em notícias.</t>
  </si>
  <si>
    <t>(EF89LP35) Criar contos ou crônicas (em especial, líricas), crônicas visuais, minicontos, narrativas de aventura e de ficção científica, dentre outros, com temáticas próprias ao gênero, usando os conhecimentos sobre os constituintes estruturais e recursos expressivos típicos dos gêneros narrativos pretendidos, e, no caso de produção em grupo, ferramentas de escrita colaborativa.</t>
  </si>
  <si>
    <t>Construção da textualidade</t>
  </si>
  <si>
    <t>Planejamento, produção e revisão de um conto.</t>
  </si>
  <si>
    <t>Campo artístico-literário</t>
  </si>
  <si>
    <t>(EF69LP44) Inferir a presença de valores sociais, culturais e humanos e de diferentes visões de mundo, em textos literários, reconhecendo nesses textos formas de estabelecer múltiplos olhares sobre as identidades, sociedades e culturas e considerando a autoria e o contexto social e histórico de sua produção.</t>
  </si>
  <si>
    <t>Reconstrução das condições de produção, circulação e recepção;
Apreciação e réplica</t>
  </si>
  <si>
    <t>Reconhecimento de características essenciais do gênero diário.</t>
  </si>
  <si>
    <t>Regência verbal</t>
  </si>
  <si>
    <t>(EF09LP07) Comparar o uso de regência verbal e regência nominal na norma-padrão com seu uso no português brasileiro coloquial oral.</t>
  </si>
  <si>
    <t>Inferência de múltiplas realidades refletidas em diários.</t>
  </si>
  <si>
    <t>Reconhecimento de características essenciais do gênero relato de viagem.</t>
  </si>
  <si>
    <t>Regência nominal</t>
  </si>
  <si>
    <t>Inferência da presença de valores sociais, culturais e humanos em relatos de viagem.</t>
  </si>
  <si>
    <t>(EF69LP33) Articular o verbal com os esquemas, infográficos, imagens variadas etc. Na (re)construção dos sentidos dos textos de divulgação científica e retextualizar do discursivo para o esquemático – infográfico, esquema, tabela, gráfico, ilustração etc. – e, ao contrário, transformar o conteúdo das tabelas, esquemas, infográficos, ilustrações etc. em texto discursivo, como forma de ampliar as possibilidades de compreensão desses textos e analisar as características das multissemioses e dos gêneros em questão.</t>
  </si>
  <si>
    <t>Relação do verbal com outras semioses</t>
  </si>
  <si>
    <t>Articulação de recursos verbais e recursos visuais em mapas geográficos.</t>
  </si>
  <si>
    <t>Ortografia</t>
  </si>
  <si>
    <t>(EF69LP51) Engajar-se ativamente nos processos de planejamento, textualização, revisão/edição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t>
  </si>
  <si>
    <t>Consideração das condições de produção;
Estratégias de produção: planejamento, textualização e revisão/edição</t>
  </si>
  <si>
    <t>Planejamento, produção e revisão de sequência descritiva de relato de viagem.</t>
  </si>
  <si>
    <t>EF69LP51) Engajar-se ativamente nos processos de planejamento, textualização, revisão/edição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t>
  </si>
  <si>
    <t>Reconhecimento de características essenciais do gênero verbete de dicionário.</t>
  </si>
  <si>
    <t>Ordem alfabética - usos e funções sociais</t>
  </si>
  <si>
    <t>Reconhecimento de características essenciais do gênero verbete de enciclopédia.</t>
  </si>
  <si>
    <t>Maiúsculas e minúsculas - critérios</t>
  </si>
  <si>
    <t>Avaliação da relevância de artigo de divulgação científica.</t>
  </si>
  <si>
    <t>Conjunções</t>
  </si>
  <si>
    <t>(EF09LP08) Identificar, em textos lidos e em produções próprias, a relação que conjunções (e locuções conjuntivas) coordenativas e subordinativas estabelecem entre as orações que conectam.</t>
  </si>
  <si>
    <t>(EF69LP31) Utilizar pistas linguísticas – tais como “em primeiro/segundo/terceiro lugar”, “por outro lado”, “dito de outro modo”, isto é”, “por exemplo” – para compreender a hierarquização das proposições, sintetizando o conteúdo dos textos.</t>
  </si>
  <si>
    <t>Apreciação e réplica</t>
  </si>
  <si>
    <t>Compreensão da hierarquização de informações em artigos de divulgação científica.</t>
  </si>
  <si>
    <t>(EF69LP32) Selecionar informações e dados relevantes de fontes diversas (impressas, digitais, orais etc.), avaliando a qualidade e a utilidade dessas fontes, e organizar, esquematicamente, com ajuda do professor, as informações necessárias (sem excedê-las) com ou sem apoio de ferramentas digitais, em quadros, tabelas ou gráficos.</t>
  </si>
  <si>
    <t>Estratégias e procedimentos de leitura;
Relação do verbal com outras semioses;
Procedimentos e gêneros de apoio à compreensão</t>
  </si>
  <si>
    <t>Reconhecimento de características essenciais do gênero infográfico.</t>
  </si>
  <si>
    <t>Articulação de recursos verbais e recursos visuais em infográficos.</t>
  </si>
  <si>
    <t>Planejamento, produção e revisão de infográfico.</t>
  </si>
  <si>
    <t>(EF69LP36) Produzir, revisar e editar textos voltados para a divulgação do conhecimento e de dados e resultados de pesquisas, tais como artigos de divulgação científica, verbete de enciclopédia, infográfico, infográfico animado, podcast ou vlog científico, relato de experimento, relatório, relatório multimidiático de campo, dentre outros, considerando o contexto de produção e as regularidades dos gêneros em termos de suas construções composicionais e estilos.</t>
  </si>
  <si>
    <t>Estratégias de escrita: textualização, revisão e
Edição</t>
  </si>
  <si>
    <t>Campo jornalístico/midiático</t>
  </si>
  <si>
    <t>Apreciação e réplica;
Relação entre gêneros e mídias</t>
  </si>
  <si>
    <t>Análise de elementos básicos em textos publicitários.</t>
  </si>
  <si>
    <t>(EF69LP04) Identificar e analisar os efeitos de sentido que fortalecem a persuasão nos textos publicitários, relacionando as estratégias de persuasão e apelo ao consumo com os recursos linguístico-discursivos utilizados, como imagens, tempo verbal, jogos de palavras, figuras de linguagem etc., com vistas a fomentar práticas de consumo conscientes</t>
  </si>
  <si>
    <t>Efeitos de sentido</t>
  </si>
  <si>
    <t>Análise de recursos persuasivos em textos publicitários.</t>
  </si>
  <si>
    <t>EF89LP19) Analisar, a partir do contexto de produção, a forma de organização das cartas abertas, abaixo-assinados e petições on-line (identificação dos signatários, explicitação da reivindicação feita, acompanhada ou não de uma breve apresentação da problemática e/ou de justificativas que visam sustentar a reivindicação) e a proposição, discussão e aprovação de propostas políticas ou de soluções para problemas de interesse público, apresentadas ou lidas nos canais digitais de participação, identificando suas marcas linguísticas, como forma de possibilitar a escrita ou subscrição consciente de abaixo-assinados e textos dessa natureza e poder se posicionar de forma crítica e fundamentada frente às propostas.</t>
  </si>
  <si>
    <t>Relação entre contexto de produção e características composicionais e estilísticas dos gêneros;
Apreciação e réplica</t>
  </si>
  <si>
    <t>Analisar a organização de cartas de reclamação.</t>
  </si>
  <si>
    <t>Colocação pronominal</t>
  </si>
  <si>
    <t>(EF09LP10) Comparar as regras de colocação pronominal na norma-padrão com o seu uso no português brasileiro coloquial.</t>
  </si>
  <si>
    <t>(EF89LP23) Analisar, em textos argumentativos, reivindicatórios e propositivos, os movimentos argumentativos utilizados (sustentação, refutação e negociação), avaliando a força dos argumentos utilizados.</t>
  </si>
  <si>
    <t>Movimentos argumentativos e força dos argumentos</t>
  </si>
  <si>
    <t>Análise de movimentos argumentativos em cartas de reclamação.</t>
  </si>
  <si>
    <t>(EF89LP04) Identificar e avaliar teses/opiniões/posicionamentos explícitos e implícitos, argumentos e contra-argumentos em textos argumentativos do campo (carta de leitor, comentário, artigo de opinião, resenha crítica etc.), posicionando-se frente à questão controversa de forma sustentada.</t>
  </si>
  <si>
    <t>Estratégia de leitura: apreender os sentidos globais do texto;
Apreciação e réplica</t>
  </si>
  <si>
    <t>Avaliação de elementos básicos em artigos de opinião.</t>
  </si>
  <si>
    <t>(EF89LP10) Planejar artigos de opinião, tendo em vista as condições de produção do texto – objetivo, leitores/espectadores, veículos e mídia de circulação etc. –, a partir da escolha do tema ou questão a ser discutido(a), da relevância para a turma, escola ou comunidade, do levantamento de dados e informações sobre a questão, de argumentos relacionados a diferentes posicionamentos em jogo, da definição – o que pode envolver consultas a fontes diversas, entrevistas com especialistas, análise de textos, organização esquemática das informações e argumentos – dos (tipos de) argumentos e estratégias que pretende utilizar para convencer os leitores.</t>
  </si>
  <si>
    <t>Estratégia de produção: planejamento de textos
argumentativos e apreciativos</t>
  </si>
  <si>
    <t>Planejamento, produção e revisão de um artigo de opinião.</t>
  </si>
  <si>
    <t>(EF09LP03) Produzir artigos de opinião, tendo em vista o contexto de produção dado, assumindo posição diante de tema polêmico, argumentando de acordo com a estrutura própria desse tipo de texto e utilizando diferentes tipos de argumentos – de autoridade, comprovação, exemplificação princípio etc.</t>
  </si>
  <si>
    <t>Textualização de textos argumentativos e apreciativos</t>
  </si>
  <si>
    <t>(EF69LP34) Grifar as partes essenciais do texto, tendo em vista os objetivos de leitura, produzir marginálias (ou tomar notas em outro suporte), sínteses organizadas em itens, quadro sinóptico, quadro comparativo, esquema, resumo ou resenha do texto lido (com ou sem comentário/análise), mapa conceitual, dependendo do que for mais adequado, como forma de possibilitar uma maior compreensão do texto, a sistematização de conteúdos e informações e um posicionamento frente aos textos, se esse for o caso.</t>
  </si>
  <si>
    <t>Reconhecimento da aplicação do gênero receita culinária no cotidiano.</t>
  </si>
  <si>
    <t>Modo imperativo</t>
  </si>
  <si>
    <t>Caracterização do gênero receita culinária.</t>
  </si>
  <si>
    <t>(EF89LP02) Analisar diferentes práticas (curtir, compartilhar, comentar, curar etc.) e textos pertencentes a diferentes gêneros da cultura digital (meme, gif, comentário, charge digital etc.) envolvidos no trato com a informação e opinião, de forma a possibilitar uma presença mais crítica e ética nas redes.</t>
  </si>
  <si>
    <t>Post jornalístico em redes sociais</t>
  </si>
  <si>
    <t>Orações adjetivas restritivas e explicativas em um período composto</t>
  </si>
  <si>
    <t>(EF09LP09) Identificar efeitos de sentido do uso de orações adjetivas restritivas e explicativas em um período composto</t>
  </si>
  <si>
    <t>Caracterização do gênero digital detonado.</t>
  </si>
  <si>
    <t>(EF69LP06) Produzir e publicar notícias, fotodenúncias, fotorreportagens, reportagens, reportagens multimidiáticas, infográficos, podcasts noticiosos, entrevistas, cartas de leitor, comentários, artigos de opinião de interesse local ou global, textos de apresentação e apreciação de produção cultural – resenhas e outros próprios das formas de expressão das culturas juvenis, tais como vlogs e podcasts culturais, gameplay, detonado etc.– e cartazes, anúncios, propagandas, spots, jingles de campanhas sociais, dentre outros em várias mídias, vivenciando de forma significativa o papel de repórter, de comentador, de analista, de crítico, de editor ou articulista, de booktuber, de vlogger (vlogueiro) etc., como forma de compreender as condições de produção que envolvem a circulação desses textos e poder participar e vislumbrar possibilidades de participação nas práticas de linguagem do campo jornalístico e do campo midiático de forma ética e responsável, levando-se em consideração o contexto da Web 2.0, que amplia a possibilidade de  circulação desses textos e “funde” os papéis de leitor e autor, de consumidor e produtor.</t>
  </si>
  <si>
    <t>Relação do texto com o contexto de produção e experimentação de papéis sociais</t>
  </si>
  <si>
    <t>Planejamento, produção e revisão de um detonado escrito.</t>
  </si>
  <si>
    <t>Caracterização dos gêneros transacionais digitais.</t>
  </si>
  <si>
    <t>Estrangeirismos - grafia</t>
  </si>
  <si>
    <r>
      <rPr>
        <rFont val="Saira"/>
        <color theme="1"/>
        <sz val="10.0"/>
      </rPr>
      <t xml:space="preserve">(EF09LP12) </t>
    </r>
    <r>
      <rPr>
        <rFont val="Saira"/>
        <color theme="1"/>
        <sz val="10.0"/>
        <u/>
      </rPr>
      <t>Identificar estrangeirismos, caracterizando-os segundo a conservação, ou não, de sua forma gráfica de origem</t>
    </r>
    <r>
      <rPr>
        <rFont val="Saira"/>
        <color theme="1"/>
        <sz val="10.0"/>
      </rPr>
      <t>, avaliando a pertinência, ou não, de seu uso.</t>
    </r>
  </si>
  <si>
    <t>Estrangeirismos - adequação</t>
  </si>
  <si>
    <r>
      <rPr>
        <rFont val="Saira"/>
        <color theme="1"/>
        <sz val="10.0"/>
      </rPr>
      <t xml:space="preserve">(EF09LP12) Identificar estrangeirismos, caracterizando-os segundo a conservação, ou não, de sua forma gráfica de origem, </t>
    </r>
    <r>
      <rPr>
        <rFont val="Saira"/>
        <color theme="1"/>
        <sz val="10.0"/>
        <u/>
      </rPr>
      <t>avaliando a pertinência, ou não, de seu uso</t>
    </r>
    <r>
      <rPr>
        <rFont val="Saira"/>
        <color theme="1"/>
        <sz val="10.0"/>
      </rPr>
      <t>.</t>
    </r>
  </si>
  <si>
    <t xml:space="preserve">(EF89LP33) Ler, de forma autônoma, e compreender – selecionando procedimentos e estratégias de leitura adequados a diferentes objetivos e levando em conta características dos gêneros e suportes – romances, contos contemporâneos, minicontos, fábulas contemporâneas, romances juvenis, biografias romanceadas, novelas, crônicas visuais, narrativas de ficção científica, narrativas de suspense, poemas de forma livre e fixa (como haicai), poema concreto, ciberpoema, dentre outros, expressando avaliação sobre o texto lido e estabelecendo preferências por gêneros, temas, autores.
</t>
  </si>
  <si>
    <t>Estratégias de leitura 
Apreciação e réplica</t>
  </si>
  <si>
    <t>Leitura de letra de canção</t>
  </si>
  <si>
    <t>Ortografia: palavras homófonas</t>
  </si>
  <si>
    <t>EF09LP04, EF69LP05, EF69LP56</t>
  </si>
  <si>
    <t>(EF89LP32) Analisar os efeitos de sentido decorrentes do uso de mecanismos de intertextualidade (referências, alusões, retomadas) entre os textos literários, entre esses textos literários e outras manifestações artísticas (cinema, teatro, artes visuais e midiáticas, música), quanto aos temas, personagens, estilos, autores etc., e entre o texto original e paródias, paráfrases, pastiches, trailer honesto, vídeos-minuto, vidding, dentre outros.</t>
  </si>
  <si>
    <t>Relação entre textos</t>
  </si>
  <si>
    <t>Leitura de poema (intertextualidade)</t>
  </si>
  <si>
    <t>Verbos impessoais (HAVER e FAZER)</t>
  </si>
  <si>
    <t>EF09LP04, EF69LP07</t>
  </si>
  <si>
    <t>(EF89LP37) Analisar os efeitos de sentido do uso de figuras de linguagem como ironia, eufemismo, antítese, aliteração, assonância, dentre outras.</t>
  </si>
  <si>
    <t>Figuras de linguagem (antítese)</t>
  </si>
  <si>
    <t>Leitura de miniconto</t>
  </si>
  <si>
    <t>Uso da vírgula</t>
  </si>
  <si>
    <t xml:space="preserve">(EF09LP04) Escrever textos corretamente, de acordo com a norma-padrão, com estruturas sintáticas complexas no nível da oração e do período. </t>
  </si>
  <si>
    <t>Produção de miniconto</t>
  </si>
  <si>
    <t>Estratégias de leitura
Apreciação e réplica</t>
  </si>
  <si>
    <t>Leitura de novela</t>
  </si>
  <si>
    <t>(EF09LP11) Inferir efeitos de sentido decorrentes do uso de recursos de coesão sequencial (conjunções e articuladores textuais).</t>
  </si>
  <si>
    <t>(EF69LP53) Ler em voz alta textos literários diversos – como contos de amor, de humor, de suspense, de terror; crônicas líricas, humorísticas, críticas; bem como leituras orais capituladas (compartilhadas ou não com o professor) de livros de maior extensão, como romances, narrativas de enigma, narrativas de aventura, literatura infantojuvenil, – contar/recontar histórias tanto da tradição oral (causos, contos de esperteza, contos de animais, contos de amor, contos de encantamento, piadas, dentre outros) quanto da tradição literária escrita, expressando a compreensão e interpretação do texto por meio de uma leitura ou fala expressiva e fluente, que respeite o ritmo, as pausas, as hesitações, a entonação indicados tanto pela pontuação quanto por outros recursos gráfico-editoriais, como negritos, itálicos, caixa-alta, ilustrações etc., gravando essa leitura ou esse conto/reconto, seja para análise posterior, seja para produção de audiobooks de textos literários diversos ou de podcasts de leituras dramáticas com ou sem efeitos especiais e ler e/ou declamar poemas diversos, tanto de forma livre quanto de forma fixa (como quadras, sonetos, liras, haicais etc.), empregando os recursos linguísticos, paralinguísticos e cinésicos necessários aos efeitos de sentido pretendidos, como o ritmo e a entonação, o emprego de pausas e prolongamentos, o tom e o timbre vocais, bem como eventuais recursos de gestualidade e pantomima que convenham ao gênero poético e à situação de compartilhamento em questão.</t>
  </si>
  <si>
    <t>Oralidade</t>
  </si>
  <si>
    <t>Produção de textos orais 
Oralização</t>
  </si>
  <si>
    <t>Leitura em voz alta (trecho de novela)</t>
  </si>
  <si>
    <t>Figuras de linguagem (assonância e aliteração)</t>
  </si>
  <si>
    <t>Leitura de haicai</t>
  </si>
  <si>
    <t>Recursos expressivos</t>
  </si>
  <si>
    <t>(EF69LP48) Interpretar, em poemas, efeitos produzidos pelo uso de recursos expressivos sonoros (estrofação, rimas, aliterações etc), semânticos (figuras de linguagem, por exemplo), gráfico- espacial (distribuição da mancha gráfica no papel), imagens e sua relação com o texto verbal.</t>
  </si>
  <si>
    <t>Produção de haicai</t>
  </si>
  <si>
    <t>(EF69LP05) Inferir e justificar, em textos multissemióticos – tirinhas, charges, memes, gifs etc. –, o efeito de humor, ironia e/ou crítica pelo uso ambíguo de palavras, expressões ou imagens ambíguas, de clichês, de recursos iconográficos, de pontuação etc.</t>
  </si>
  <si>
    <t>Leitura de tirinha</t>
  </si>
  <si>
    <t>Pontuação - exclamação</t>
  </si>
  <si>
    <t>(EF89LP04) Identificar e avaliar teses/opiniões/posicionamentos explícitos e implícitos, argumentos e contra-argumentos em textos argumentativos do campo (carta de leitor, comentário, artigo de opinião, resenha crítica etc.), posicionando-se frente à questão controversa de forma sustentada.
(EF69LP16A) Analisar as formas de composição dos gêneros textuais do campo jornalístico.
(EF69LP16B) Utilizar as formas de composição dos gêneros textuais do campo jornalístico.</t>
  </si>
  <si>
    <t>Leitura de artigo de opinião</t>
  </si>
  <si>
    <t>Uso dos pronomes “que”, “cujo” e “onde”</t>
  </si>
  <si>
    <t>Leitura de charge</t>
  </si>
  <si>
    <t>Figuras de linguagem (ironia)</t>
  </si>
  <si>
    <t>Produção de charge</t>
  </si>
  <si>
    <t>Estratégia de leitura: apreender os sentidos globais do texto
Apreciação e réplica</t>
  </si>
  <si>
    <t>Leitura de carta do leitor</t>
  </si>
  <si>
    <t>Pronomes demonstrativos: esse, este, isso, isto</t>
  </si>
  <si>
    <t xml:space="preserve">(EF89LP04) Identificar e avaliar teses/opiniões/posicionamentos explícitos e implícitos, argumentos e contra-argumentos em textos argumentativos do campo (carta de leitor, comentário, artigo de opinião, resenha crítica etc.), posicionando-se frente à questão controversa de forma sustentada.
</t>
  </si>
  <si>
    <t>Leitura de post de blog</t>
  </si>
  <si>
    <t>Ortografia: C ou SC, X ou CH</t>
  </si>
  <si>
    <t>Reconstrução do contexto de produção, circulação e recepção de textos</t>
  </si>
  <si>
    <t>Leitura de editorial</t>
  </si>
  <si>
    <t xml:space="preserve">Todos os campos de atuação
</t>
  </si>
  <si>
    <t>Produção de editorial</t>
  </si>
  <si>
    <t xml:space="preserve">(EF69LP33) Articular o verbal com os esquemas, infográficos, imagens variadas etc. na (re)construção dos sentidos dos textos de divulgação científica e retextualizar do discursivo para o esquemático – infográfico, esquema, tabela, gráfico, ilustração etc. – e, ao contrário, transformar o conteúdo das tabelas, esquemas, infográficos, ilustrações etc. em texto discursivo, como forma de ampliar as possibilidades de compreensão desses textos e analisar as características das multissemioses e dos gêneros em questão.
</t>
  </si>
  <si>
    <t>Estratégias e procedimentos de leitura 
Relação do verbal com outras semioses
Procedimentos e gêneros de apoio à compreensão</t>
  </si>
  <si>
    <t>Leitura de gráfico</t>
  </si>
  <si>
    <t>Ortografia: siglas</t>
  </si>
  <si>
    <t>Leitura de tabela</t>
  </si>
  <si>
    <t>Ortografia: abreviaturas</t>
  </si>
  <si>
    <t>Leitura de mapa conceitual</t>
  </si>
  <si>
    <t>Consideração das condições de produção de textos de divulgação científica 
Estratégias de escrita</t>
  </si>
  <si>
    <t>Produção de mapa conceitual</t>
  </si>
  <si>
    <t xml:space="preserve">Estratégias de leitura 
Apreciação e réplica	</t>
  </si>
  <si>
    <t>Leitura de poema de formas fixas</t>
  </si>
  <si>
    <t>Divisão silábica</t>
  </si>
  <si>
    <t>Leitura de poema concreto</t>
  </si>
  <si>
    <t>Leitura de paródia</t>
  </si>
  <si>
    <t>Produção de paródia</t>
  </si>
  <si>
    <t>(EF89LP33) Ler, de forma autônoma, e compreender – selecionando procedimentos e estratégias de leitura adequados a diferentes objetivos e levando em conta características dos gêneros e suportes – romances, contos contemporâneos, minicontos, fábulas contemporâneas, romances juvenis, biografias romanceadas, novelas, crônicas visuais, narrativas de ficção científica, narrativas de suspense, poemas de forma livre e fixa (como haicai), poema concreto, ciberpoema, dentre outros, expressando avaliação sobre o texto lido e estabelecendo preferências por gêneros, temas, autores.
(EF69LP47) Analisar, em textos narrativos ficcionais, as diferentes formas de composição próprias de cada gênero, os recursos coesivos que constroem a passagem do tempo e articulam suas partes, a escolha lexical típica de cada gênero para a caracterização dos cenários e dos personagens e os efeitos de sentido decorrentes dos tempos verbais, dos tipos de discurso, dos verbos de enunciação e das variedades linguísticas (no discurso direto, se houver) empregados, identificando o enredo e o foco narrativo e percebendo como se estrutura a narrativa nos diferentes gêneros e os efeitos de sentido decorrentes do foco narrativo típico de cada gênero, da caracterização dos espaços físico e psicológico e dos tempos cronológico e psicológico, das diferentes vozes no texto (do narrador, de personagens em discurso direto e indireto), do uso de pontuação expressiva, palavras e expressões conotativas e processos figurativos e do uso de recursos linguístico-gramaticais próprios a cada gênero narrativo.</t>
  </si>
  <si>
    <t>Leitura de romance juvenil</t>
  </si>
  <si>
    <t>Ortografia: uso dos porquês</t>
  </si>
  <si>
    <t>Leitura de romance</t>
  </si>
  <si>
    <t>Emprego da crase</t>
  </si>
  <si>
    <t>Leitura de narrativa de ficção científica</t>
  </si>
  <si>
    <t>Produção de narrativa de ficção científica</t>
  </si>
  <si>
    <t xml:space="preserve">(EF89LP05) Analisar o efeito de sentido produzido pelo uso, em textos, de recurso a formas de apropriação textual (paráfrases, citações, discurso direto, indireto ou indireto livre).
(EF09LP01) Analisar o fenômeno da disseminação de notícias falsas nas redes sociais e desenvolver estratégias para reconhecê-las, a partir da verificação/avaliação do veículo, fonte, data e local da publicação, autoria, URL, da análise da formatação, da comparação de diferentes fontes, da consulta a sites de curadoria que atestam a fidedignidade do relato dos fatos e denunciam boatos etc. </t>
  </si>
  <si>
    <t>Leitura de notícia (foco em citações)</t>
  </si>
  <si>
    <t>Discurso direto e indireto</t>
  </si>
  <si>
    <t>Leitura de entrevista</t>
  </si>
  <si>
    <t>Acentuação - oxítonas</t>
  </si>
  <si>
    <t>(EF89LP13) Planejar entrevistas orais com pessoas ligadas ao fato noticiado, especialistas etc., como forma de obter dados e informações sobre os fatos cobertos sobre o tema ou questão discutida ou temáticas em estudo, levando em conta o gênero e seu contexto de produção, partindo do levantamento de informações sobre o entrevistado e sobre a temática e da elaboração de um roteiro de perguntas, garantindo a relevância das informações mantidas e a continuidade temática, realizar entrevista e fazer edição em áudio ou vídeo, incluindo uma contextualização inicial e uma fala de encerramento para publicação da entrevista isoladamente ou como parte integrante de reportagem multimidiática, adequando-a a seu contexto de publicação e garantindo a relevância das informações mantidas e a continuidade temática.</t>
  </si>
  <si>
    <t>Entrevista oral</t>
  </si>
  <si>
    <t>(EF89LP03) Analisar textos de opinião (artigos de opinião, editoriais, cartas de leitores, comentários, posts de blog e de redes sociais, charges, memes, gifs etc.) e posicionar-se de forma crítica e fundamentada, ética e respeitosa frente a fatos e opiniões relacionados a esses textos.</t>
  </si>
  <si>
    <t>Leitura de resenha</t>
  </si>
  <si>
    <t>Acentuação - paroxítonas e proparoxítonas</t>
  </si>
  <si>
    <t>(EF09LP04) Escrever textos corretamente, de acordo com a norma-padrão, com estruturas sintáticas complexas no nível da oração e do período. 
(EF89LP26) Produzir resenhas, a partir das notas e/ou esquemas feitos, com o manejo adequado das vozes envolvidas (do resenhador, do autor da obra e, se for o caso, também dos autores citados na obra resenhada), por meio do uso de paráfrases, marcas do discurso reportado e citações.</t>
  </si>
  <si>
    <t>Produção de textos	
Estratégias de escrita: textualização, revisão e edição</t>
  </si>
  <si>
    <t>Produção de resenha</t>
  </si>
  <si>
    <t>Leitura do ECA</t>
  </si>
  <si>
    <t>Pontuação - vírgula</t>
  </si>
  <si>
    <t>Leitura da Declaração dos Direitos Humanos</t>
  </si>
  <si>
    <t>Pontuação - ponto e vírgula</t>
  </si>
  <si>
    <t>Leitura do regimento escolar</t>
  </si>
  <si>
    <t>(EF09LP04) Escrever textos corretamente, de acordo com a norma-padrão, com estruturas sintáticas complexas no nível da oração e do período. 
(EF69LP22) Produzir, revisar e editar textos reivindicatórios ou propositivos sobre problemas que afetam a vida escolar ou da comunidade, justificando pontos de vista, reivindicações e detalhando propostas (justificativa, objetivos, ações previstas etc.), levando em conta seu contexto de produção e as características dos gêneros em questão.</t>
  </si>
  <si>
    <t>Estratégia de produção: planejamento de textos reivindicatórios ou propositivos</t>
  </si>
  <si>
    <t>Produção de regimento escolar</t>
  </si>
  <si>
    <t>(EF89LP18) Explorar e analisar instâncias e canais de participação disponíveis na escola (conselho de escola, outros colegiados, grêmio livre), na comunidade (associações, coletivos, movimentos, etc.), no munícipio ou no país, incluindo formas de participação digital, como canais e plataformas de participação (como portal e-cidadania), serviços, portais e ferramentas de acompanhamentos do trabalho de políticos e de tramitação de leis, canais de educação política, bem como de propostas e proposições que circulam nesses canais, de forma a participar do debate de ideias e propostas na esfera social e a engajar-se com a busca de soluções para problemas ou questões que envolvam a vida da escola e da comunidade.</t>
  </si>
  <si>
    <t>Contexto de produção, circulação e recepção de textos e práticas relacionadas à defesa de direitos e à participação social</t>
  </si>
  <si>
    <t>Leitura de fórum virtual</t>
  </si>
  <si>
    <t>Pontuação - aspas</t>
  </si>
  <si>
    <t>(EF89LP27) Tecer considerações e formular problematizações pertinentes, em momentos oportunos, em situações de aulas, apresentação oral, seminário etc.</t>
  </si>
  <si>
    <t>Conversação espontânea</t>
  </si>
  <si>
    <t>Oralidade - formular problematizações</t>
  </si>
  <si>
    <t>(EF89LP19) Analisar, a partir do contexto de produção, a forma de organização das cartas abertas, abaixo-assinados e petições on-line (identificação dos signatários, explicitação da reivindicação feita, acompanhada ou não de uma breve apresentação da problemática e/ou de justificativas que visam sustentar a reivindicação) e a proposição, discussão e aprovação de propostas políticas ou de soluções para problemas de interesse público, apresentadas ou lidas nos canais digitais de participação, identificando suas marcas linguísticas, como forma de possibilitar a escrita ou subscrição consciente de abaixo-assinados e textos dessa natureza e poder se posicionar de forma crítica e fundamentada frente às propostas</t>
  </si>
  <si>
    <t>Relação entre contexto de produção e características composicionais e estilísticas dos gêneros
Apreciação e réplica</t>
  </si>
  <si>
    <t>Leitura de petição on-line</t>
  </si>
  <si>
    <t>Pontuação - dois pontos</t>
  </si>
  <si>
    <t>Produção de petição</t>
  </si>
  <si>
    <t>(EF89LP01) Analisar os interesses que movem o campo jornalístico, os efeitos das novas tecnologias no campo e as condições que fazem da informação uma mercadoria, de forma a poder desenvolver uma atitude crítica frente aos textos jornalísticos
(EF89LP03) Analisar textos de opinião (artigos de opinião, editoriais, cartas de leitores, comentários, posts de blog e de redes sociais, charges, memes, gifs etc.) e posicionar-se de forma crítica e fundamentada, ética e respeitosa frente a fatos e opiniões relacionados a esses textos.</t>
  </si>
  <si>
    <t>Reconstrução do contexto de produção, circulação e recepção de textos
Caracterização do campo jornalístico e relação entre os gêneros em circulação, mídias e práticas da cultura digital</t>
  </si>
  <si>
    <t>Leitura de posts de redes sociais de veículos jornalísticos - Parte I (Estrutura, linguagem, público-alvo, função social)</t>
  </si>
  <si>
    <t>Leitura de posts de redes sociais de veículos jornalísticos - Parte II (Comparação com site oficial)</t>
  </si>
  <si>
    <t>1ª série</t>
  </si>
  <si>
    <t>2ª série</t>
  </si>
  <si>
    <t>3ª série</t>
  </si>
  <si>
    <t>Aula Extra</t>
  </si>
  <si>
    <t>Habilidades - Diretrizes Curriculares Tecnologia e Inovação - código</t>
  </si>
  <si>
    <t>Habilidades - Diretrizes Curriculares Tecnologia e Inovação - texto</t>
  </si>
  <si>
    <t>Descritores SAEB - 9º ano</t>
  </si>
  <si>
    <t>Padrões do teclado</t>
  </si>
  <si>
    <t>Mestres dos atalhos</t>
  </si>
  <si>
    <t>Tipos de clique do mouse</t>
  </si>
  <si>
    <t>Arrastar, soltar e segurar</t>
  </si>
  <si>
    <t>Avaliação da unidade: 
- Mouse e Teclado: dicas e práticas
- Introdução à computação: aprofundando meus estudos</t>
  </si>
  <si>
    <t>Segurança Cibernética: práticas para proteção digital parte 1</t>
  </si>
  <si>
    <t>Avaliação das unidades: 
- Segurança Cibernética: práticas para proteção digital parte 1</t>
  </si>
  <si>
    <t>13 a 17/04</t>
  </si>
  <si>
    <t xml:space="preserve">Segurança Cibernética: práticas para proteção digital parte 2
</t>
  </si>
  <si>
    <t>Avaliação da unidade: 
- Segurança Cibernética: práticas para proteção digital parte 2</t>
  </si>
  <si>
    <t>Matemática (número primo, divisível, teste de mesa)</t>
  </si>
  <si>
    <t>Avaliação das unidades: 
- Matemática (número primo, divisível, teste de mesa)</t>
  </si>
  <si>
    <t>29/06 a 03/07</t>
  </si>
  <si>
    <t>Conhecendo a área de trabalho e o eplorador de arquivos</t>
  </si>
  <si>
    <t>Realizar pesquisas seguras na internet, checando fontes.
Abrir e salvar documentos no Google Docs.
Inserir textos simples de estrutura do roteiro (tema, título, seções)</t>
  </si>
  <si>
    <t>Pesquisa segura na internet.
Editores de texto (Google Docs).
Organização básica de texto (parágrafo, título).</t>
  </si>
  <si>
    <t>Inserir imagens e ajustar seu layout no documento.
Inserir símbolos e emojis para personalizar o texto.
Salvar o documento frequentemente usando atalhos.</t>
  </si>
  <si>
    <t>Inserção de imagens.
Ajuste de layout de imagens.
Símbolos e emojis.</t>
  </si>
  <si>
    <t>e</t>
  </si>
  <si>
    <t>Lógica de programação: jogos, arte e criatividade parte 1</t>
  </si>
  <si>
    <t>Compreender o uso do bloco mova passos e aplicá-lo para controlar o movimento de personagens.
Identificar diferenças entre os blocos de movimento.
Entender a importância do critério de parada em algoritmos e sua aplicação prática.</t>
  </si>
  <si>
    <t xml:space="preserve">Utilizar blocos de movimento.
Criar critério de parada.
Aplicar estrutura condicional (se então).
</t>
  </si>
  <si>
    <t>Localizar os blocos de controle no ambiente do StartLab.
Compreender que as variáveis podem aumentar ou diminuir um valor.
Experimentar diferentes valores de incrimento em uma variável.</t>
  </si>
  <si>
    <t>Criação de variável.
Aplicar de incremento á variável.
Criar condição inicial.</t>
  </si>
  <si>
    <t>Localizar e aplicar a extensão da caneta no ambiente do StartLab.
Compreender as funcionalidades da extensão da caneta.
Modificar o tamanho de um personagem no startlab.</t>
  </si>
  <si>
    <t xml:space="preserve">Aplicar extensão da caneta.
Utilizar cores e tamanhos da caneta.
Selecionar tamanho do ator.
</t>
  </si>
  <si>
    <t xml:space="preserve">Identificar e corrigir erros de lógica em um programa existente.
Implementar novas funcionalidades, como esconder e mostrar personagens, utilizando eventos e comandos de aparência.
Analisar o impacto de modificações no código no comportamento geral do jogo.
</t>
  </si>
  <si>
    <t>Depuração de código e correção de erros.
Eventos de interação (clique do ator, bandeira verde).
Comandos de aparência (esconder, mostrar).</t>
  </si>
  <si>
    <t>Avaliação das unidades: 
- Lógica de programação: jogos, arte e criatividade parte 1</t>
  </si>
  <si>
    <t>Lógica de programação: jogos, arte e criatividade parte 2</t>
  </si>
  <si>
    <t>Avaliação da unidade: 
- Lógica de programação: jogos, arte e criatividade parte 2</t>
  </si>
  <si>
    <t>Recursão: com arte geométrica (projetos pequenos) [1-2 projetos]</t>
  </si>
  <si>
    <t>Avaliação da unidade: 
- Recursão: com arte geométrica (projetos pequenos) [1-2 projetos]</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</si>
</sst>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sz val="10.0"/>
      <color theme="1"/>
      <name val="Arial"/>
    </font>
    <font>
      <b/>
      <sz val="10.0"/>
      <color rgb="FFFFFFFF"/>
      <name val="Arial"/>
    </font>
    <font>
      <b/>
      <u/>
      <sz val="10.0"/>
      <color rgb="FF000000"/>
      <name val="Arial"/>
    </font>
    <font>
      <b/>
      <u/>
      <sz val="10.0"/>
      <color rgb="FF000000"/>
      <name val="Arial"/>
    </font>
    <font>
      <sz val="10.0"/>
      <color rgb="FF000000"/>
      <name val="Arial"/>
    </font>
    <font>
      <sz val="10.0"/>
      <color rgb="FFFFFFFF"/>
      <name val="Arial"/>
    </font>
    <font/>
    <font>
      <color theme="1"/>
      <name val="Arial"/>
    </font>
    <font>
      <sz val="10.0"/>
      <color rgb="FFFF0000"/>
      <name val="Arial"/>
    </font>
    <font>
      <sz val="11.0"/>
      <color rgb="FF242424"/>
      <name val="Arial"/>
    </font>
    <font>
      <b/>
      <sz val="10.0"/>
      <color rgb="FF000000"/>
      <name val="Arial"/>
    </font>
    <font>
      <color rgb="FF242424"/>
      <name val="Arial"/>
    </font>
    <font>
      <b/>
      <sz val="10.0"/>
      <color rgb="FF000000"/>
      <name val="Saira"/>
    </font>
    <font>
      <sz val="10.0"/>
      <color rgb="FF000000"/>
      <name val="Nunito"/>
    </font>
    <font>
      <sz val="10.0"/>
      <color rgb="FF000000"/>
      <name val="Saira"/>
    </font>
    <font>
      <b/>
      <sz val="10.0"/>
      <color rgb="FF000000"/>
      <name val="Nunito"/>
    </font>
    <font>
      <b/>
      <sz val="10.0"/>
      <color rgb="FFFFFFFF"/>
      <name val="Saira"/>
    </font>
    <font>
      <sz val="10.0"/>
      <color theme="1"/>
      <name val="Saira"/>
    </font>
    <font>
      <b/>
      <sz val="10.0"/>
      <color theme="1"/>
      <name val="Saira"/>
    </font>
    <font>
      <sz val="10.0"/>
      <color theme="0"/>
      <name val="Arial"/>
    </font>
  </fonts>
  <fills count="22">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FAD9D6"/>
        <bgColor rgb="FFFAD9D6"/>
      </patternFill>
    </fill>
    <fill>
      <patternFill patternType="solid">
        <fgColor rgb="FFD2F1DA"/>
        <bgColor rgb="FFD2F1DA"/>
      </patternFill>
    </fill>
    <fill>
      <patternFill patternType="solid">
        <fgColor theme="1"/>
        <bgColor theme="1"/>
      </patternFill>
    </fill>
    <fill>
      <patternFill patternType="solid">
        <fgColor theme="0"/>
        <bgColor theme="0"/>
      </patternFill>
    </fill>
    <fill>
      <patternFill patternType="solid">
        <fgColor rgb="FFD9EAD3"/>
        <bgColor rgb="FFD9EAD3"/>
      </patternFill>
    </fill>
    <fill>
      <patternFill patternType="solid">
        <fgColor rgb="FFD9D2E9"/>
        <bgColor rgb="FFD9D2E9"/>
      </patternFill>
    </fill>
    <fill>
      <patternFill patternType="solid">
        <fgColor rgb="FFB7B7B7"/>
        <bgColor rgb="FFB7B7B7"/>
      </patternFill>
    </fill>
    <fill>
      <patternFill patternType="solid">
        <fgColor rgb="FFA696B3"/>
        <bgColor rgb="FFA696B3"/>
      </patternFill>
    </fill>
    <fill>
      <patternFill patternType="solid">
        <fgColor rgb="FF434343"/>
        <bgColor rgb="FF434343"/>
      </patternFill>
    </fill>
    <fill>
      <patternFill patternType="solid">
        <fgColor rgb="FF666666"/>
        <bgColor rgb="FF666666"/>
      </patternFill>
    </fill>
    <fill>
      <patternFill patternType="solid">
        <fgColor rgb="FF999999"/>
        <bgColor rgb="FF999999"/>
      </patternFill>
    </fill>
    <fill>
      <patternFill patternType="solid">
        <fgColor rgb="FFCCCCCC"/>
        <bgColor rgb="FFCCCCCC"/>
      </patternFill>
    </fill>
    <fill>
      <patternFill patternType="solid">
        <fgColor rgb="FF9FC5E8"/>
        <bgColor rgb="FF9FC5E8"/>
      </patternFill>
    </fill>
    <fill>
      <patternFill patternType="solid">
        <fgColor rgb="FFA4C2F4"/>
        <bgColor rgb="FFA4C2F4"/>
      </patternFill>
    </fill>
    <fill>
      <patternFill patternType="solid">
        <fgColor rgb="FFFFF2CC"/>
        <bgColor rgb="FFFFF2CC"/>
      </patternFill>
    </fill>
    <fill>
      <patternFill patternType="solid">
        <fgColor rgb="FFFF00FF"/>
        <bgColor rgb="FFFF00FF"/>
      </patternFill>
    </fill>
    <fill>
      <patternFill patternType="solid">
        <fgColor rgb="FFF4CCCC"/>
        <bgColor rgb="FFF4CCCC"/>
      </patternFill>
    </fill>
    <fill>
      <patternFill patternType="solid">
        <fgColor rgb="FFFFFF00"/>
        <bgColor rgb="FFFFFF00"/>
      </patternFill>
    </fill>
  </fills>
  <borders count="47">
    <border/>
    <border>
      <left/>
      <right/>
      <top/>
      <bottom/>
    </border>
    <border>
      <left style="thick">
        <color rgb="FFFFFFFF"/>
      </left>
      <right/>
      <top style="thick">
        <color rgb="FFFFFFFF"/>
      </top>
      <bottom style="thick">
        <color rgb="FFFFFFFF"/>
      </bottom>
    </border>
    <border>
      <left style="thick">
        <color rgb="FFFFFFFF"/>
      </left>
      <right style="thick">
        <color rgb="FFFFFFFF"/>
      </right>
      <top style="thick">
        <color rgb="FFFFFFFF"/>
      </top>
      <bottom style="thick">
        <color rgb="FFFFFFFF"/>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FFFFFF"/>
      </left>
      <right style="thin">
        <color rgb="FFFFFFFF"/>
      </right>
      <top style="thin">
        <color rgb="FFFFFFFF"/>
      </top>
      <bottom style="thin">
        <color rgb="FFFFFFFF"/>
      </bottom>
    </border>
    <border>
      <left style="thin">
        <color rgb="FFCCCCCC"/>
      </left>
      <right style="thin">
        <color rgb="FF000000"/>
      </right>
      <top style="thin">
        <color rgb="FF000000"/>
      </top>
      <bottom style="thin">
        <color rgb="FF000000"/>
      </bottom>
    </border>
    <border>
      <left style="thin">
        <color rgb="FF000000"/>
      </left>
      <right style="thin">
        <color rgb="FF000000"/>
      </right>
      <top style="thin">
        <color rgb="FFCCCCCC"/>
      </top>
      <bottom style="thin">
        <color rgb="FF000000"/>
      </bottom>
    </border>
    <border>
      <left style="thin">
        <color rgb="FFCCCCCC"/>
      </left>
      <right style="thin">
        <color rgb="FF000000"/>
      </right>
      <top style="thin">
        <color rgb="FFCCCCCC"/>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top/>
    </border>
    <border>
      <right style="thin">
        <color rgb="FF000000"/>
      </right>
      <top style="thin">
        <color rgb="FF000000"/>
      </top>
      <bottom style="thin">
        <color rgb="FF000000"/>
      </bottom>
    </border>
    <border>
      <left style="thin">
        <color rgb="FF000000"/>
      </left>
      <right/>
      <bottom/>
    </border>
    <border>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border>
    <border>
      <left style="thin">
        <color rgb="FF000000"/>
      </left>
      <right/>
      <top style="thin">
        <color rgb="FF000000"/>
      </top>
    </border>
    <border>
      <left style="thin">
        <color rgb="FF000000"/>
      </left>
      <right style="thin">
        <color rgb="FF000000"/>
      </right>
      <top/>
    </border>
    <border>
      <left/>
      <right style="thin">
        <color rgb="FF000000"/>
      </right>
      <top style="thin">
        <color rgb="FF000000"/>
      </top>
    </border>
    <border>
      <left style="thin">
        <color rgb="FF000000"/>
      </left>
      <right/>
      <bottom style="thin">
        <color rgb="FF000000"/>
      </bottom>
    </border>
    <border>
      <left/>
      <right style="thin">
        <color rgb="FF000000"/>
      </right>
    </border>
    <border>
      <left/>
      <right style="thin">
        <color rgb="FF000000"/>
      </right>
      <bottom style="thin">
        <color rgb="FF000000"/>
      </bottom>
    </border>
    <border>
      <left style="thin">
        <color rgb="FF000000"/>
      </left>
      <right/>
      <top style="thin">
        <color rgb="FF000000"/>
      </top>
      <bottom/>
    </border>
    <border>
      <left/>
      <right style="thin">
        <color rgb="FF000000"/>
      </right>
      <top style="thin">
        <color rgb="FF000000"/>
      </top>
      <bottom style="thin">
        <color rgb="FF000000"/>
      </bottom>
    </border>
    <border>
      <left style="thin">
        <color rgb="FF000000"/>
      </left>
      <right style="thin">
        <color rgb="FF000000"/>
      </right>
      <bottom/>
    </border>
    <border>
      <left style="thin">
        <color rgb="FF000000"/>
      </left>
      <top/>
    </border>
    <border>
      <left style="thin">
        <color rgb="FF000000"/>
      </left>
      <top style="thin">
        <color rgb="FF000000"/>
      </top>
    </border>
    <border>
      <left style="thin">
        <color rgb="FF000000"/>
      </left>
      <bottom style="thin">
        <color rgb="FF000000"/>
      </bottom>
    </border>
    <border>
      <left style="thin">
        <color rgb="FF000000"/>
      </left>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right style="thick">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right style="thin">
        <color rgb="FF000000"/>
      </right>
      <top style="thin">
        <color rgb="FF000000"/>
      </top>
      <bottom style="thick">
        <color rgb="FF000000"/>
      </bottom>
    </border>
    <border>
      <right style="thick">
        <color rgb="FF000000"/>
      </right>
      <bottom style="thin">
        <color rgb="FF000000"/>
      </bottom>
    </border>
    <border>
      <bottom style="thin">
        <color rgb="FF000000"/>
      </bottom>
    </border>
    <border>
      <left style="thin">
        <color rgb="FFBFBFBF"/>
      </left>
      <right style="thin">
        <color rgb="FFBFBFBF"/>
      </right>
      <bottom style="thin">
        <color rgb="FFBFBFBF"/>
      </bottom>
    </border>
    <border>
      <left style="thin">
        <color rgb="FFBFBFBF"/>
      </left>
      <right style="thin">
        <color rgb="FFBFBFBF"/>
      </right>
      <top style="thin">
        <color rgb="FFBFBFBF"/>
      </top>
      <bottom style="thin">
        <color rgb="FFBFBFBF"/>
      </bottom>
    </border>
    <border>
      <left/>
      <top/>
      <bottom/>
    </border>
    <border>
      <top/>
      <bottom/>
    </border>
    <border>
      <right/>
      <top/>
      <bottom/>
    </border>
  </borders>
  <cellStyleXfs count="1">
    <xf borderId="0" fillId="0" fontId="0" numFmtId="0" applyAlignment="1" applyFont="1"/>
  </cellStyleXfs>
  <cellXfs count="32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readingOrder="0" shrinkToFit="0" vertical="center" wrapText="1"/>
    </xf>
    <xf borderId="3" fillId="4" fontId="3" numFmtId="0" xfId="0" applyAlignment="1" applyBorder="1" applyFill="1" applyFont="1">
      <alignment horizontal="center" readingOrder="0" shrinkToFit="0" vertical="center" wrapText="1"/>
    </xf>
    <xf borderId="3" fillId="5" fontId="4" numFmtId="0" xfId="0" applyAlignment="1" applyBorder="1" applyFill="1" applyFont="1">
      <alignment horizontal="center" readingOrder="0" shrinkToFit="0" vertical="center" wrapText="1"/>
    </xf>
    <xf borderId="0" fillId="0" fontId="1" numFmtId="0" xfId="0" applyAlignment="1" applyFont="1">
      <alignment horizontal="center" shrinkToFit="0" vertical="center" wrapText="1"/>
    </xf>
    <xf borderId="4" fillId="6" fontId="2" numFmtId="0" xfId="0" applyAlignment="1" applyBorder="1" applyFill="1" applyFont="1">
      <alignment horizontal="center" readingOrder="0" shrinkToFit="0" vertical="center" wrapText="1"/>
    </xf>
    <xf borderId="4" fillId="6" fontId="2" numFmtId="0" xfId="0" applyAlignment="1" applyBorder="1" applyFont="1">
      <alignment horizontal="center" shrinkToFit="0" vertical="center" wrapText="1"/>
    </xf>
    <xf borderId="4" fillId="3" fontId="2" numFmtId="0" xfId="0" applyAlignment="1" applyBorder="1" applyFont="1">
      <alignment horizontal="center" shrinkToFit="0" vertical="center" wrapText="1"/>
    </xf>
    <xf borderId="4" fillId="3" fontId="2" numFmtId="0" xfId="0" applyAlignment="1" applyBorder="1" applyFont="1">
      <alignment horizontal="center" readingOrder="1" shrinkToFit="0" vertical="center" wrapText="1"/>
    </xf>
    <xf borderId="4" fillId="0" fontId="5" numFmtId="0" xfId="0" applyAlignment="1" applyBorder="1" applyFont="1">
      <alignment horizontal="center" readingOrder="1" shrinkToFit="0" vertical="center" wrapText="1"/>
    </xf>
    <xf quotePrefix="1" borderId="4" fillId="0" fontId="5" numFmtId="0" xfId="0" applyAlignment="1" applyBorder="1" applyFont="1">
      <alignment horizontal="center" readingOrder="1" shrinkToFit="0" vertical="center" wrapText="1"/>
    </xf>
    <xf borderId="4" fillId="0" fontId="5" numFmtId="0" xfId="0" applyAlignment="1" applyBorder="1" applyFont="1">
      <alignment horizontal="center" shrinkToFit="0" vertical="center" wrapText="1"/>
    </xf>
    <xf borderId="4" fillId="0" fontId="5" numFmtId="0" xfId="0" applyAlignment="1" applyBorder="1" applyFont="1">
      <alignment horizontal="center" readingOrder="1" shrinkToFit="0" vertical="center" wrapText="1"/>
    </xf>
    <xf quotePrefix="1" borderId="4" fillId="0" fontId="5" numFmtId="0" xfId="0" applyAlignment="1" applyBorder="1" applyFont="1">
      <alignment horizontal="center" readingOrder="1" shrinkToFit="0" vertical="center" wrapText="1"/>
    </xf>
    <xf borderId="4" fillId="3" fontId="2" numFmtId="0" xfId="0" applyAlignment="1" applyBorder="1" applyFont="1">
      <alignment horizontal="center" readingOrder="1" shrinkToFit="0" vertical="center" wrapText="1"/>
    </xf>
    <xf borderId="4" fillId="3" fontId="6" numFmtId="0" xfId="0" applyAlignment="1" applyBorder="1" applyFont="1">
      <alignment horizontal="center" shrinkToFit="0" vertical="center" wrapText="1"/>
    </xf>
    <xf borderId="4" fillId="0" fontId="5" numFmtId="0" xfId="0" applyAlignment="1" applyBorder="1" applyFont="1">
      <alignment horizontal="center" readingOrder="0" shrinkToFit="0" vertical="center" wrapText="1"/>
    </xf>
    <xf borderId="5" fillId="0" fontId="5" numFmtId="0" xfId="0" applyAlignment="1" applyBorder="1" applyFont="1">
      <alignment horizontal="center" readingOrder="1" shrinkToFit="0" vertical="center" wrapText="1"/>
    </xf>
    <xf borderId="6" fillId="0" fontId="7" numFmtId="0" xfId="0" applyBorder="1" applyFont="1"/>
    <xf borderId="7" fillId="0" fontId="7" numFmtId="0" xfId="0" applyBorder="1" applyFont="1"/>
    <xf borderId="8" fillId="6" fontId="2"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7" fillId="0" fontId="8" numFmtId="0" xfId="0" applyAlignment="1" applyBorder="1" applyFont="1">
      <alignment shrinkToFit="0" vertical="center" wrapText="1"/>
    </xf>
    <xf borderId="4" fillId="0" fontId="8" numFmtId="0" xfId="0" applyAlignment="1" applyBorder="1" applyFont="1">
      <alignment horizontal="center" shrinkToFit="0" vertical="center" wrapText="1"/>
    </xf>
    <xf borderId="4" fillId="0" fontId="8" numFmtId="0" xfId="0" applyAlignment="1" applyBorder="1" applyFont="1">
      <alignment shrinkToFit="0" vertical="center" wrapText="1"/>
    </xf>
    <xf borderId="4" fillId="2" fontId="8" numFmtId="0" xfId="0" applyAlignment="1" applyBorder="1" applyFont="1">
      <alignment horizontal="center" shrinkToFit="0" vertical="center" wrapText="1"/>
    </xf>
    <xf borderId="4" fillId="2" fontId="8" numFmtId="0" xfId="0" applyAlignment="1" applyBorder="1" applyFont="1">
      <alignment shrinkToFit="0" vertical="center" wrapText="1"/>
    </xf>
    <xf borderId="4" fillId="0" fontId="8" numFmtId="0" xfId="0" applyAlignment="1" applyBorder="1" applyFont="1">
      <alignment vertical="center"/>
    </xf>
    <xf borderId="4" fillId="3" fontId="2" numFmtId="0" xfId="0" applyAlignment="1" applyBorder="1" applyFont="1">
      <alignment horizontal="center" readingOrder="0" shrinkToFit="0" vertical="center" wrapText="1"/>
    </xf>
    <xf borderId="4" fillId="2" fontId="5" numFmtId="0" xfId="0" applyAlignment="1" applyBorder="1" applyFont="1">
      <alignment horizontal="center" readingOrder="1" shrinkToFit="0" vertical="center" wrapText="1"/>
    </xf>
    <xf borderId="9" fillId="2" fontId="5" numFmtId="0" xfId="0" applyAlignment="1" applyBorder="1" applyFont="1">
      <alignment horizontal="center" readingOrder="1" shrinkToFit="0" vertical="center" wrapText="1"/>
    </xf>
    <xf quotePrefix="1" borderId="9" fillId="2" fontId="5" numFmtId="0" xfId="0" applyAlignment="1" applyBorder="1" applyFont="1">
      <alignment horizontal="center" readingOrder="1" shrinkToFit="0" vertical="center" wrapText="1"/>
    </xf>
    <xf borderId="10" fillId="2" fontId="5" numFmtId="0" xfId="0" applyAlignment="1" applyBorder="1" applyFont="1">
      <alignment horizontal="center" readingOrder="1" shrinkToFit="0" vertical="center" wrapText="1"/>
    </xf>
    <xf borderId="11" fillId="2" fontId="5" numFmtId="0" xfId="0" applyAlignment="1" applyBorder="1" applyFont="1">
      <alignment horizontal="center" readingOrder="1" shrinkToFit="0" vertical="center" wrapText="1"/>
    </xf>
    <xf quotePrefix="1" borderId="11" fillId="2" fontId="5" numFmtId="0" xfId="0" applyAlignment="1" applyBorder="1" applyFont="1">
      <alignment horizontal="center" readingOrder="1" shrinkToFit="0" vertical="center" wrapText="1"/>
    </xf>
    <xf quotePrefix="1" borderId="4" fillId="2" fontId="5" numFmtId="0" xfId="0" applyAlignment="1" applyBorder="1" applyFont="1">
      <alignment horizontal="center" shrinkToFit="0" vertical="center" wrapText="1"/>
    </xf>
    <xf borderId="4" fillId="2" fontId="5" numFmtId="0" xfId="0" applyAlignment="1" applyBorder="1" applyFont="1">
      <alignment horizontal="center" shrinkToFit="0" vertical="center" wrapText="1"/>
    </xf>
    <xf borderId="9" fillId="0" fontId="5" numFmtId="0" xfId="0" applyAlignment="1" applyBorder="1" applyFont="1">
      <alignment horizontal="center" readingOrder="1" shrinkToFit="0" vertical="center" wrapText="1"/>
    </xf>
    <xf quotePrefix="1" borderId="9" fillId="0" fontId="5" numFmtId="0" xfId="0" applyAlignment="1" applyBorder="1" applyFont="1">
      <alignment horizontal="center" readingOrder="1" shrinkToFit="0" vertical="center" wrapText="1"/>
    </xf>
    <xf borderId="10" fillId="0" fontId="5" numFmtId="0" xfId="0" applyAlignment="1" applyBorder="1" applyFont="1">
      <alignment horizontal="center" readingOrder="1" shrinkToFit="0" vertical="center" wrapText="1"/>
    </xf>
    <xf borderId="11" fillId="0" fontId="5" numFmtId="0" xfId="0" applyAlignment="1" applyBorder="1" applyFont="1">
      <alignment horizontal="center" readingOrder="1" shrinkToFit="0" vertical="center" wrapText="1"/>
    </xf>
    <xf quotePrefix="1" borderId="11" fillId="0" fontId="5" numFmtId="0" xfId="0" applyAlignment="1" applyBorder="1" applyFont="1">
      <alignment horizontal="center" readingOrder="1" shrinkToFit="0" vertical="center" wrapText="1"/>
    </xf>
    <xf quotePrefix="1" borderId="4" fillId="0" fontId="5" numFmtId="0" xfId="0" applyAlignment="1" applyBorder="1" applyFont="1">
      <alignment horizontal="center" shrinkToFit="0" vertical="center" wrapText="1"/>
    </xf>
    <xf borderId="4" fillId="3" fontId="2" numFmtId="49" xfId="0" applyAlignment="1" applyBorder="1" applyFont="1" applyNumberFormat="1">
      <alignment horizontal="center" readingOrder="1" shrinkToFit="0" vertical="center" wrapText="1"/>
    </xf>
    <xf borderId="5" fillId="0" fontId="5" numFmtId="49" xfId="0" applyAlignment="1" applyBorder="1" applyFont="1" applyNumberFormat="1">
      <alignment horizontal="center" readingOrder="1" shrinkToFit="0" vertical="center" wrapText="1"/>
    </xf>
    <xf borderId="4" fillId="7" fontId="1" numFmtId="0" xfId="0" applyAlignment="1" applyBorder="1" applyFill="1" applyFont="1">
      <alignment horizontal="left" readingOrder="1" shrinkToFit="0" vertical="center" wrapText="1"/>
    </xf>
    <xf quotePrefix="1" borderId="4" fillId="0" fontId="5" numFmtId="0" xfId="0" applyAlignment="1" applyBorder="1" applyFont="1">
      <alignment horizontal="left" readingOrder="1" shrinkToFit="0" vertical="center" wrapText="1"/>
    </xf>
    <xf borderId="4" fillId="7" fontId="5" numFmtId="0" xfId="0" applyAlignment="1" applyBorder="1" applyFont="1">
      <alignment horizontal="center" readingOrder="1" shrinkToFit="0" vertical="center" wrapText="1"/>
    </xf>
    <xf borderId="4" fillId="7" fontId="1" numFmtId="0" xfId="0" applyAlignment="1" applyBorder="1" applyFont="1">
      <alignment horizontal="center" readingOrder="1" shrinkToFit="0" vertical="center" wrapText="1"/>
    </xf>
    <xf borderId="4" fillId="8" fontId="5" numFmtId="0" xfId="0" applyAlignment="1" applyBorder="1" applyFill="1" applyFont="1">
      <alignment horizontal="center" readingOrder="1" shrinkToFit="0" vertical="center" wrapText="1"/>
    </xf>
    <xf borderId="12" fillId="8" fontId="5" numFmtId="0" xfId="0" applyAlignment="1" applyBorder="1" applyFont="1">
      <alignment horizontal="center" readingOrder="1" shrinkToFit="0" vertical="center" wrapText="1"/>
    </xf>
    <xf borderId="13" fillId="8" fontId="5" numFmtId="49" xfId="0" applyAlignment="1" applyBorder="1" applyFont="1" applyNumberFormat="1">
      <alignment horizontal="center" readingOrder="1" shrinkToFit="0" vertical="center" wrapText="1"/>
    </xf>
    <xf borderId="4" fillId="8" fontId="5" numFmtId="0" xfId="0" applyAlignment="1" applyBorder="1" applyFont="1">
      <alignment horizontal="left" readingOrder="1" shrinkToFit="0" vertical="center" wrapText="1"/>
    </xf>
    <xf borderId="4" fillId="8" fontId="5" numFmtId="0" xfId="0" applyAlignment="1" applyBorder="1" applyFont="1">
      <alignment horizontal="left" readingOrder="1" shrinkToFit="0" vertical="center" wrapText="1"/>
    </xf>
    <xf borderId="4" fillId="8" fontId="5" numFmtId="49" xfId="0" applyAlignment="1" applyBorder="1" applyFont="1" applyNumberFormat="1">
      <alignment horizontal="center" readingOrder="1" shrinkToFit="0" vertical="center" wrapText="1"/>
    </xf>
    <xf borderId="5" fillId="7" fontId="5" numFmtId="0" xfId="0" applyAlignment="1" applyBorder="1" applyFont="1">
      <alignment horizontal="center" readingOrder="1" shrinkToFit="0" vertical="center" wrapText="1"/>
    </xf>
    <xf borderId="5" fillId="7" fontId="5" numFmtId="49" xfId="0" applyAlignment="1" applyBorder="1" applyFont="1" applyNumberFormat="1">
      <alignment horizontal="center" readingOrder="1" shrinkToFit="0" vertical="center" wrapText="1"/>
    </xf>
    <xf borderId="4" fillId="0" fontId="5" numFmtId="0" xfId="0" applyAlignment="1" applyBorder="1" applyFont="1">
      <alignment horizontal="left" readingOrder="1" shrinkToFit="0" vertical="center" wrapText="1"/>
    </xf>
    <xf borderId="5" fillId="2" fontId="5" numFmtId="0" xfId="0" applyAlignment="1" applyBorder="1" applyFont="1">
      <alignment horizontal="center" readingOrder="1" shrinkToFit="0" vertical="center" wrapText="1"/>
    </xf>
    <xf borderId="14" fillId="2" fontId="5" numFmtId="49" xfId="0" applyAlignment="1" applyBorder="1" applyFont="1" applyNumberFormat="1">
      <alignment horizontal="center" readingOrder="1" shrinkToFit="0" vertical="center" wrapText="1"/>
    </xf>
    <xf borderId="15" fillId="0" fontId="5" numFmtId="0" xfId="0" applyAlignment="1" applyBorder="1" applyFont="1">
      <alignment horizontal="center" readingOrder="1" shrinkToFit="0" vertical="center" wrapText="1"/>
    </xf>
    <xf borderId="16" fillId="0" fontId="7" numFmtId="0" xfId="0" applyBorder="1" applyFont="1"/>
    <xf borderId="17" fillId="0" fontId="5" numFmtId="0" xfId="0" applyAlignment="1" applyBorder="1" applyFont="1">
      <alignment horizontal="center" readingOrder="1" shrinkToFit="0" vertical="center" wrapText="1"/>
    </xf>
    <xf borderId="15" fillId="0" fontId="5" numFmtId="0" xfId="0" applyAlignment="1" applyBorder="1" applyFont="1">
      <alignment horizontal="left" readingOrder="1" shrinkToFit="0" vertical="center" wrapText="1"/>
    </xf>
    <xf borderId="4" fillId="9" fontId="5" numFmtId="0" xfId="0" applyAlignment="1" applyBorder="1" applyFill="1" applyFont="1">
      <alignment horizontal="center" readingOrder="1" shrinkToFit="0" vertical="center" wrapText="1"/>
    </xf>
    <xf borderId="18" fillId="9" fontId="5" numFmtId="0" xfId="0" applyAlignment="1" applyBorder="1" applyFont="1">
      <alignment horizontal="center" readingOrder="1" shrinkToFit="0" vertical="center" wrapText="1"/>
    </xf>
    <xf borderId="4" fillId="9" fontId="5" numFmtId="49" xfId="0" applyAlignment="1" applyBorder="1" applyFont="1" applyNumberFormat="1">
      <alignment horizontal="center" readingOrder="1" shrinkToFit="0" vertical="center" wrapText="1"/>
    </xf>
    <xf borderId="19" fillId="9" fontId="5" numFmtId="0" xfId="0" applyAlignment="1" applyBorder="1" applyFont="1">
      <alignment horizontal="center" readingOrder="1" shrinkToFit="0" vertical="center" wrapText="1"/>
    </xf>
    <xf borderId="4" fillId="9" fontId="5" numFmtId="0" xfId="0" applyAlignment="1" applyBorder="1" applyFont="1">
      <alignment horizontal="left" readingOrder="1" shrinkToFit="0" vertical="center" wrapText="1"/>
    </xf>
    <xf borderId="4" fillId="9" fontId="5" numFmtId="0" xfId="0" applyAlignment="1" applyBorder="1" applyFont="1">
      <alignment horizontal="left" readingOrder="1" shrinkToFit="0" vertical="center" wrapText="1"/>
    </xf>
    <xf borderId="20" fillId="2" fontId="5" numFmtId="0" xfId="0" applyAlignment="1" applyBorder="1" applyFont="1">
      <alignment horizontal="center" readingOrder="1" shrinkToFit="0" vertical="center" wrapText="1"/>
    </xf>
    <xf borderId="21" fillId="2" fontId="5" numFmtId="49" xfId="0" applyAlignment="1" applyBorder="1" applyFont="1" applyNumberFormat="1">
      <alignment horizontal="center" readingOrder="1" shrinkToFit="0" vertical="center" wrapText="1"/>
    </xf>
    <xf borderId="22" fillId="2" fontId="5" numFmtId="0" xfId="0" applyAlignment="1" applyBorder="1" applyFont="1">
      <alignment horizontal="center" readingOrder="1" shrinkToFit="0" vertical="center" wrapText="1"/>
    </xf>
    <xf borderId="7" fillId="0" fontId="5" numFmtId="0" xfId="0" applyAlignment="1" applyBorder="1" applyFont="1">
      <alignment horizontal="center" readingOrder="1" shrinkToFit="0" vertical="center" wrapText="1"/>
    </xf>
    <xf borderId="4" fillId="0" fontId="5" numFmtId="0" xfId="0" applyAlignment="1" applyBorder="1" applyFont="1">
      <alignment horizontal="center" vertical="center"/>
    </xf>
    <xf borderId="23" fillId="0" fontId="7" numFmtId="0" xfId="0" applyBorder="1" applyFont="1"/>
    <xf borderId="24" fillId="0" fontId="7" numFmtId="0" xfId="0" applyBorder="1" applyFont="1"/>
    <xf borderId="25" fillId="0" fontId="7" numFmtId="0" xfId="0" applyBorder="1" applyFont="1"/>
    <xf borderId="4" fillId="7" fontId="5" numFmtId="0" xfId="0" applyAlignment="1" applyBorder="1" applyFont="1">
      <alignment horizontal="left" readingOrder="1" shrinkToFit="0" vertical="center" wrapText="1"/>
    </xf>
    <xf borderId="4" fillId="10" fontId="5" numFmtId="0" xfId="0" applyAlignment="1" applyBorder="1" applyFill="1" applyFont="1">
      <alignment horizontal="center" readingOrder="1" vertical="center"/>
    </xf>
    <xf borderId="4" fillId="10" fontId="5" numFmtId="0" xfId="0" applyAlignment="1" applyBorder="1" applyFont="1">
      <alignment horizontal="center" readingOrder="1" shrinkToFit="0" vertical="center" wrapText="1"/>
    </xf>
    <xf borderId="4" fillId="10" fontId="5" numFmtId="49" xfId="0" applyAlignment="1" applyBorder="1" applyFont="1" applyNumberFormat="1">
      <alignment horizontal="center" readingOrder="1" vertical="center"/>
    </xf>
    <xf borderId="4" fillId="10" fontId="5" numFmtId="0" xfId="0" applyAlignment="1" applyBorder="1" applyFont="1">
      <alignment horizontal="left" readingOrder="1" vertical="center"/>
    </xf>
    <xf borderId="4" fillId="10" fontId="5" numFmtId="0" xfId="0" applyAlignment="1" applyBorder="1" applyFont="1">
      <alignment horizontal="left" readingOrder="1" vertical="center"/>
    </xf>
    <xf borderId="4" fillId="10" fontId="5" numFmtId="0" xfId="0" applyAlignment="1" applyBorder="1" applyFont="1">
      <alignment horizontal="left" readingOrder="1" shrinkToFit="0" vertical="center" wrapText="1"/>
    </xf>
    <xf borderId="12" fillId="9" fontId="5" numFmtId="0" xfId="0" applyAlignment="1" applyBorder="1" applyFont="1">
      <alignment horizontal="center" readingOrder="1" shrinkToFit="0" vertical="center" wrapText="1"/>
    </xf>
    <xf borderId="4" fillId="11" fontId="5" numFmtId="0" xfId="0" applyAlignment="1" applyBorder="1" applyFill="1" applyFont="1">
      <alignment horizontal="center" readingOrder="1" shrinkToFit="0" vertical="center" wrapText="1"/>
    </xf>
    <xf borderId="26" fillId="11" fontId="5" numFmtId="49" xfId="0" applyAlignment="1" applyBorder="1" applyFont="1" applyNumberFormat="1">
      <alignment horizontal="center" readingOrder="1" shrinkToFit="0" vertical="center" wrapText="1"/>
    </xf>
    <xf borderId="27" fillId="11" fontId="5" numFmtId="0" xfId="0" applyAlignment="1" applyBorder="1" applyFont="1">
      <alignment horizontal="center" readingOrder="1" shrinkToFit="0" vertical="center" wrapText="1"/>
    </xf>
    <xf borderId="4" fillId="11" fontId="5" numFmtId="0" xfId="0" applyAlignment="1" applyBorder="1" applyFont="1">
      <alignment horizontal="left" readingOrder="1" shrinkToFit="0" vertical="center" wrapText="1"/>
    </xf>
    <xf borderId="4" fillId="11" fontId="5" numFmtId="0" xfId="0" applyAlignment="1" applyBorder="1" applyFont="1">
      <alignment horizontal="left" readingOrder="1" shrinkToFit="0" vertical="center" wrapText="1"/>
    </xf>
    <xf borderId="4" fillId="11" fontId="5" numFmtId="49" xfId="0" applyAlignment="1" applyBorder="1" applyFont="1" applyNumberFormat="1">
      <alignment horizontal="center" readingOrder="1" shrinkToFit="0" vertical="center" wrapText="1"/>
    </xf>
    <xf borderId="6" fillId="0" fontId="5" numFmtId="0" xfId="0" applyAlignment="1" applyBorder="1" applyFont="1">
      <alignment horizontal="center" readingOrder="1" shrinkToFit="0" vertical="center" wrapText="1"/>
    </xf>
    <xf quotePrefix="1" borderId="4" fillId="7" fontId="5" numFmtId="0" xfId="0" applyAlignment="1" applyBorder="1" applyFont="1">
      <alignment horizontal="left" readingOrder="1" shrinkToFit="0" vertical="center" wrapText="1"/>
    </xf>
    <xf borderId="28" fillId="0" fontId="7" numFmtId="0" xfId="0" applyBorder="1" applyFont="1"/>
    <xf borderId="4" fillId="7" fontId="9" numFmtId="0" xfId="0" applyAlignment="1" applyBorder="1" applyFont="1">
      <alignment horizontal="center" readingOrder="1" shrinkToFit="0" vertical="center" wrapText="1"/>
    </xf>
    <xf borderId="5" fillId="0" fontId="5" numFmtId="49" xfId="0" applyAlignment="1" applyBorder="1" applyFont="1" applyNumberFormat="1">
      <alignment horizontal="center" readingOrder="1" vertical="center"/>
    </xf>
    <xf borderId="4" fillId="9" fontId="1" numFmtId="0" xfId="0" applyAlignment="1" applyBorder="1" applyFont="1">
      <alignment horizontal="left" readingOrder="1" shrinkToFit="0" vertical="center" wrapText="1"/>
    </xf>
    <xf borderId="5" fillId="11" fontId="5" numFmtId="49" xfId="0" applyAlignment="1" applyBorder="1" applyFont="1" applyNumberFormat="1">
      <alignment horizontal="center" readingOrder="0" shrinkToFit="0" vertical="center" wrapText="1"/>
    </xf>
    <xf borderId="12" fillId="11" fontId="5" numFmtId="0" xfId="0" applyAlignment="1" applyBorder="1" applyFont="1">
      <alignment horizontal="center" readingOrder="1" shrinkToFit="0" vertical="center" wrapText="1"/>
    </xf>
    <xf borderId="4" fillId="0" fontId="8" numFmtId="0" xfId="0" applyAlignment="1" applyBorder="1" applyFont="1">
      <alignment horizontal="center" shrinkToFit="0" vertical="center" wrapText="1"/>
    </xf>
    <xf borderId="5" fillId="2" fontId="8" numFmtId="0" xfId="0" applyAlignment="1" applyBorder="1" applyFont="1">
      <alignment horizontal="center" shrinkToFit="0" vertical="center" wrapText="1"/>
    </xf>
    <xf borderId="5" fillId="2" fontId="5" numFmtId="0" xfId="0" applyAlignment="1" applyBorder="1" applyFont="1">
      <alignment horizontal="center" readingOrder="1" shrinkToFit="0" vertical="center" wrapText="1"/>
    </xf>
    <xf borderId="5" fillId="0" fontId="8" numFmtId="0" xfId="0" applyAlignment="1" applyBorder="1" applyFont="1">
      <alignment horizontal="center" shrinkToFit="0" vertical="center" wrapText="1"/>
    </xf>
    <xf borderId="5" fillId="0" fontId="8" numFmtId="49" xfId="0" applyAlignment="1" applyBorder="1" applyFont="1" applyNumberFormat="1">
      <alignment horizontal="center" shrinkToFit="0" vertical="center" wrapText="1"/>
    </xf>
    <xf borderId="4" fillId="2" fontId="8" numFmtId="0" xfId="0" applyAlignment="1" applyBorder="1" applyFont="1">
      <alignment shrinkToFit="0" wrapText="1"/>
    </xf>
    <xf borderId="4" fillId="0" fontId="8" numFmtId="0" xfId="0" applyAlignment="1" applyBorder="1" applyFont="1">
      <alignment horizontal="center" shrinkToFit="0" wrapText="1"/>
    </xf>
    <xf borderId="4" fillId="2" fontId="10" numFmtId="0" xfId="0" applyAlignment="1" applyBorder="1" applyFont="1">
      <alignment shrinkToFit="0" wrapText="1"/>
    </xf>
    <xf borderId="4" fillId="0" fontId="8" numFmtId="0" xfId="0" applyAlignment="1" applyBorder="1" applyFont="1">
      <alignment shrinkToFit="0" wrapText="1"/>
    </xf>
    <xf borderId="4" fillId="2" fontId="8" numFmtId="0" xfId="0" applyAlignment="1" applyBorder="1" applyFont="1">
      <alignment horizontal="center" shrinkToFit="0" wrapText="1"/>
    </xf>
    <xf borderId="21" fillId="2" fontId="8" numFmtId="49" xfId="0" applyAlignment="1" applyBorder="1" applyFont="1" applyNumberFormat="1">
      <alignment horizontal="center" shrinkToFit="0" vertical="center" wrapText="1"/>
    </xf>
    <xf borderId="4" fillId="2" fontId="8" numFmtId="0" xfId="0" applyAlignment="1" applyBorder="1" applyFont="1">
      <alignment horizontal="center" shrinkToFit="0" vertical="center" wrapText="1"/>
    </xf>
    <xf borderId="4" fillId="2" fontId="8" numFmtId="49" xfId="0" applyAlignment="1" applyBorder="1" applyFont="1" applyNumberFormat="1">
      <alignment horizontal="center" shrinkToFit="0" wrapText="1"/>
    </xf>
    <xf borderId="5" fillId="2" fontId="8" numFmtId="49" xfId="0" applyAlignment="1" applyBorder="1" applyFont="1" applyNumberFormat="1">
      <alignment horizontal="center" shrinkToFit="0" vertical="center" wrapText="1"/>
    </xf>
    <xf borderId="4" fillId="9" fontId="8" numFmtId="0" xfId="0" applyAlignment="1" applyBorder="1" applyFont="1">
      <alignment horizontal="center" shrinkToFit="0" vertical="center" wrapText="1"/>
    </xf>
    <xf borderId="4" fillId="9" fontId="5" numFmtId="0" xfId="0" applyAlignment="1" applyBorder="1" applyFont="1">
      <alignment horizontal="center" readingOrder="1" shrinkToFit="0" vertical="center" wrapText="1"/>
    </xf>
    <xf borderId="29" fillId="9" fontId="8" numFmtId="49" xfId="0" applyAlignment="1" applyBorder="1" applyFont="1" applyNumberFormat="1">
      <alignment horizontal="center" shrinkToFit="0" vertical="center" wrapText="1"/>
    </xf>
    <xf borderId="15" fillId="9" fontId="8" numFmtId="0" xfId="0" applyAlignment="1" applyBorder="1" applyFont="1">
      <alignment horizontal="center" shrinkToFit="0" vertical="center" wrapText="1"/>
    </xf>
    <xf borderId="5" fillId="9" fontId="8" numFmtId="0" xfId="0" applyAlignment="1" applyBorder="1" applyFont="1">
      <alignment horizontal="center" shrinkToFit="0" vertical="center" wrapText="1"/>
    </xf>
    <xf borderId="4" fillId="9" fontId="8" numFmtId="0" xfId="0" applyAlignment="1" applyBorder="1" applyFont="1">
      <alignment shrinkToFit="0" wrapText="1"/>
    </xf>
    <xf borderId="4" fillId="9" fontId="8" numFmtId="0" xfId="0" applyBorder="1" applyFont="1"/>
    <xf borderId="30" fillId="2" fontId="8" numFmtId="0" xfId="0" applyAlignment="1" applyBorder="1" applyFont="1">
      <alignment horizontal="center" shrinkToFit="0" vertical="center" wrapText="1"/>
    </xf>
    <xf borderId="31" fillId="0" fontId="7" numFmtId="0" xfId="0" applyBorder="1" applyFont="1"/>
    <xf borderId="7" fillId="2" fontId="8" numFmtId="0" xfId="0" applyAlignment="1" applyBorder="1" applyFont="1">
      <alignment horizontal="center" shrinkToFit="0" vertical="center" wrapText="1"/>
    </xf>
    <xf borderId="4" fillId="2" fontId="5" numFmtId="0" xfId="0" applyAlignment="1" applyBorder="1" applyFont="1">
      <alignment horizontal="center" readingOrder="1" shrinkToFit="0" vertical="center" wrapText="1"/>
    </xf>
    <xf borderId="7" fillId="0" fontId="8" numFmtId="0" xfId="0" applyAlignment="1" applyBorder="1" applyFont="1">
      <alignment horizontal="center" shrinkToFit="0" vertical="center" wrapText="1"/>
    </xf>
    <xf borderId="4" fillId="10" fontId="8" numFmtId="0" xfId="0" applyAlignment="1" applyBorder="1" applyFont="1">
      <alignment horizontal="center" shrinkToFit="0" vertical="center" wrapText="1"/>
    </xf>
    <xf borderId="4" fillId="10" fontId="5" numFmtId="0" xfId="0" applyAlignment="1" applyBorder="1" applyFont="1">
      <alignment horizontal="center" readingOrder="1" shrinkToFit="0" vertical="center" wrapText="1"/>
    </xf>
    <xf borderId="31" fillId="10" fontId="8" numFmtId="49" xfId="0" applyAlignment="1" applyBorder="1" applyFont="1" applyNumberFormat="1">
      <alignment horizontal="center" shrinkToFit="0" vertical="center" wrapText="1"/>
    </xf>
    <xf borderId="4" fillId="10" fontId="8" numFmtId="0" xfId="0" applyAlignment="1" applyBorder="1" applyFont="1">
      <alignment shrinkToFit="0" wrapText="1"/>
    </xf>
    <xf borderId="4" fillId="10" fontId="8" numFmtId="0" xfId="0" applyBorder="1" applyFont="1"/>
    <xf borderId="4" fillId="9" fontId="8" numFmtId="0" xfId="0" applyAlignment="1" applyBorder="1" applyFont="1">
      <alignment horizontal="center" vertical="center"/>
    </xf>
    <xf borderId="4" fillId="9" fontId="8" numFmtId="49" xfId="0" applyAlignment="1" applyBorder="1" applyFont="1" applyNumberFormat="1">
      <alignment horizontal="center" vertical="center"/>
    </xf>
    <xf borderId="4" fillId="9" fontId="8" numFmtId="49" xfId="0" applyBorder="1" applyFont="1" applyNumberFormat="1"/>
    <xf borderId="30" fillId="2" fontId="8" numFmtId="49" xfId="0" applyAlignment="1" applyBorder="1" applyFont="1" applyNumberFormat="1">
      <alignment horizontal="center" shrinkToFit="0" vertical="center" wrapText="1"/>
    </xf>
    <xf borderId="15" fillId="11" fontId="8" numFmtId="0" xfId="0" applyAlignment="1" applyBorder="1" applyFont="1">
      <alignment horizontal="center" shrinkToFit="0" vertical="center" wrapText="1"/>
    </xf>
    <xf borderId="4" fillId="11" fontId="8" numFmtId="0" xfId="0" applyAlignment="1" applyBorder="1" applyFont="1">
      <alignment horizontal="center" shrinkToFit="0" vertical="center" wrapText="1"/>
    </xf>
    <xf borderId="4" fillId="11" fontId="8" numFmtId="0" xfId="0" applyAlignment="1" applyBorder="1" applyFont="1">
      <alignment shrinkToFit="0" wrapText="1"/>
    </xf>
    <xf borderId="4" fillId="11" fontId="8" numFmtId="0" xfId="0" applyBorder="1" applyFont="1"/>
    <xf borderId="4" fillId="11" fontId="8" numFmtId="49" xfId="0" applyBorder="1" applyFont="1" applyNumberFormat="1"/>
    <xf borderId="32" fillId="0" fontId="7" numFmtId="0" xfId="0" applyBorder="1" applyFont="1"/>
    <xf borderId="15" fillId="2" fontId="8" numFmtId="0" xfId="0" applyAlignment="1" applyBorder="1" applyFont="1">
      <alignment horizontal="center" shrinkToFit="0" vertical="center" wrapText="1"/>
    </xf>
    <xf borderId="4" fillId="10" fontId="8" numFmtId="49" xfId="0" applyAlignment="1" applyBorder="1" applyFont="1" applyNumberFormat="1">
      <alignment horizontal="center" shrinkToFit="0" vertical="center" wrapText="1"/>
    </xf>
    <xf borderId="4" fillId="9" fontId="8" numFmtId="49" xfId="0" applyAlignment="1" applyBorder="1" applyFont="1" applyNumberFormat="1">
      <alignment horizontal="center" shrinkToFit="0" vertical="center" wrapText="1"/>
    </xf>
    <xf borderId="5" fillId="2" fontId="8" numFmtId="49" xfId="0" applyAlignment="1" applyBorder="1" applyFont="1" applyNumberFormat="1">
      <alignment horizontal="center" vertical="center"/>
    </xf>
    <xf borderId="4" fillId="2" fontId="8" numFmtId="0" xfId="0" applyAlignment="1" applyBorder="1" applyFont="1">
      <alignment horizontal="center" vertical="center"/>
    </xf>
    <xf borderId="4" fillId="2" fontId="8" numFmtId="0" xfId="0" applyBorder="1" applyFont="1"/>
    <xf borderId="4" fillId="2" fontId="8" numFmtId="0" xfId="0" applyAlignment="1" applyBorder="1" applyFont="1">
      <alignment horizontal="center"/>
    </xf>
    <xf borderId="4" fillId="2" fontId="8" numFmtId="49" xfId="0" applyAlignment="1" applyBorder="1" applyFont="1" applyNumberFormat="1">
      <alignment horizontal="center"/>
    </xf>
    <xf borderId="5" fillId="2" fontId="8" numFmtId="0" xfId="0" applyAlignment="1" applyBorder="1" applyFont="1">
      <alignment horizontal="center" vertical="center"/>
    </xf>
    <xf borderId="5" fillId="9" fontId="8" numFmtId="0" xfId="0" applyAlignment="1" applyBorder="1" applyFont="1">
      <alignment shrinkToFit="0" wrapText="1"/>
    </xf>
    <xf borderId="5" fillId="9" fontId="8" numFmtId="0" xfId="0" applyBorder="1" applyFont="1"/>
    <xf borderId="5" fillId="9" fontId="8" numFmtId="49" xfId="0" applyBorder="1" applyFont="1" applyNumberFormat="1"/>
    <xf borderId="4" fillId="11" fontId="5" numFmtId="0" xfId="0" applyAlignment="1" applyBorder="1" applyFont="1">
      <alignment horizontal="center" readingOrder="1" shrinkToFit="0" vertical="center" wrapText="1"/>
    </xf>
    <xf borderId="5" fillId="11" fontId="8" numFmtId="49" xfId="0" applyAlignment="1" applyBorder="1" applyFont="1" applyNumberFormat="1">
      <alignment horizontal="center" shrinkToFit="0" vertical="center" wrapText="1"/>
    </xf>
    <xf borderId="5" fillId="11" fontId="8" numFmtId="0" xfId="0" applyAlignment="1" applyBorder="1" applyFont="1">
      <alignment horizontal="center" shrinkToFit="0" vertical="center" wrapText="1"/>
    </xf>
    <xf borderId="5" fillId="0" fontId="1" numFmtId="0" xfId="0" applyAlignment="1" applyBorder="1" applyFont="1">
      <alignment horizontal="center" readingOrder="1" shrinkToFit="0" vertical="center" wrapText="1"/>
    </xf>
    <xf quotePrefix="1" borderId="4" fillId="7" fontId="5" numFmtId="49" xfId="0" applyAlignment="1" applyBorder="1" applyFont="1" applyNumberFormat="1">
      <alignment horizontal="center" readingOrder="1" shrinkToFit="0" vertical="center" wrapText="1"/>
    </xf>
    <xf borderId="5" fillId="2" fontId="5" numFmtId="49" xfId="0" applyAlignment="1" applyBorder="1" applyFont="1" applyNumberFormat="1">
      <alignment horizontal="center" readingOrder="1" shrinkToFit="0" vertical="center" wrapText="1"/>
    </xf>
    <xf borderId="33" fillId="9" fontId="5" numFmtId="49" xfId="0" applyAlignment="1" applyBorder="1" applyFont="1" applyNumberFormat="1">
      <alignment horizontal="center" readingOrder="1" shrinkToFit="0" vertical="center" wrapText="1"/>
    </xf>
    <xf quotePrefix="1" borderId="4" fillId="7" fontId="5" numFmtId="0" xfId="0" applyAlignment="1" applyBorder="1" applyFont="1">
      <alignment horizontal="center" readingOrder="1" shrinkToFit="0" vertical="center" wrapText="1"/>
    </xf>
    <xf borderId="12" fillId="11" fontId="5" numFmtId="49" xfId="0" applyAlignment="1" applyBorder="1" applyFont="1" applyNumberFormat="1">
      <alignment horizontal="center" readingOrder="1" shrinkToFit="0" vertical="center" wrapText="1"/>
    </xf>
    <xf quotePrefix="1" borderId="4" fillId="7" fontId="1" numFmtId="0" xfId="0" applyAlignment="1" applyBorder="1" applyFont="1">
      <alignment horizontal="left" readingOrder="1" shrinkToFit="0" vertical="center" wrapText="1"/>
    </xf>
    <xf borderId="4" fillId="7" fontId="1" numFmtId="0" xfId="0" applyAlignment="1" applyBorder="1" applyFont="1">
      <alignment horizontal="left" readingOrder="1" shrinkToFit="0" vertical="center" wrapText="1"/>
    </xf>
    <xf borderId="4" fillId="7" fontId="5" numFmtId="0" xfId="0" applyAlignment="1" applyBorder="1" applyFont="1">
      <alignment horizontal="left" readingOrder="1" shrinkToFit="0" vertical="center" wrapText="1"/>
    </xf>
    <xf borderId="0" fillId="0" fontId="8" numFmtId="0" xfId="0" applyAlignment="1" applyFont="1">
      <alignment vertical="bottom"/>
    </xf>
    <xf borderId="4" fillId="0" fontId="8" numFmtId="0" xfId="0" applyAlignment="1" applyBorder="1" applyFont="1">
      <alignment horizontal="center" vertical="center"/>
    </xf>
    <xf borderId="4" fillId="0" fontId="8" numFmtId="0" xfId="0" applyBorder="1" applyFont="1"/>
    <xf borderId="4" fillId="0" fontId="8" numFmtId="0" xfId="0" applyAlignment="1" applyBorder="1" applyFont="1">
      <alignment horizontal="center"/>
    </xf>
    <xf borderId="4" fillId="0" fontId="8" numFmtId="49" xfId="0" applyAlignment="1" applyBorder="1" applyFont="1" applyNumberFormat="1">
      <alignment horizontal="center" shrinkToFit="0" wrapText="1"/>
    </xf>
    <xf borderId="15" fillId="0" fontId="8" numFmtId="0" xfId="0" applyAlignment="1" applyBorder="1" applyFont="1">
      <alignment horizontal="center" shrinkToFit="0" vertical="center" wrapText="1"/>
    </xf>
    <xf borderId="4" fillId="10" fontId="8" numFmtId="0" xfId="0" applyAlignment="1" applyBorder="1" applyFont="1">
      <alignment horizontal="center" vertical="center"/>
    </xf>
    <xf borderId="4" fillId="10" fontId="8" numFmtId="49" xfId="0" applyBorder="1" applyFont="1" applyNumberFormat="1"/>
    <xf borderId="4" fillId="2" fontId="8" numFmtId="0" xfId="0" applyAlignment="1" applyBorder="1" applyFont="1">
      <alignment vertical="bottom"/>
    </xf>
    <xf borderId="5" fillId="9" fontId="8" numFmtId="0" xfId="0" applyAlignment="1" applyBorder="1" applyFont="1">
      <alignment horizontal="center" vertical="center"/>
    </xf>
    <xf borderId="4" fillId="11" fontId="8" numFmtId="0" xfId="0" applyAlignment="1" applyBorder="1" applyFont="1">
      <alignment horizontal="center" vertical="center"/>
    </xf>
    <xf borderId="5" fillId="11" fontId="8" numFmtId="0" xfId="0" applyAlignment="1" applyBorder="1" applyFont="1">
      <alignment shrinkToFit="0" wrapText="1"/>
    </xf>
    <xf borderId="5" fillId="7" fontId="5" numFmtId="0" xfId="0" applyAlignment="1" applyBorder="1" applyFont="1">
      <alignment horizontal="center" shrinkToFit="0" vertical="center" wrapText="1"/>
    </xf>
    <xf borderId="4" fillId="2" fontId="1" numFmtId="0" xfId="0" applyAlignment="1" applyBorder="1" applyFont="1">
      <alignment horizontal="left" readingOrder="1" shrinkToFit="0" vertical="center" wrapText="1"/>
    </xf>
    <xf borderId="4" fillId="2" fontId="5" numFmtId="0" xfId="0" applyAlignment="1" applyBorder="1" applyFont="1">
      <alignment horizontal="left" readingOrder="1" shrinkToFit="0" vertical="center" wrapText="1"/>
    </xf>
    <xf borderId="4" fillId="7" fontId="5" numFmtId="49" xfId="0" applyAlignment="1" applyBorder="1" applyFont="1" applyNumberFormat="1">
      <alignment horizontal="center" readingOrder="1" shrinkToFit="0" vertical="center" wrapText="1"/>
    </xf>
    <xf borderId="4" fillId="7" fontId="5" numFmtId="49" xfId="0" applyAlignment="1" applyBorder="1" applyFont="1" applyNumberFormat="1">
      <alignment horizontal="center" readingOrder="1" vertical="center"/>
    </xf>
    <xf quotePrefix="1" borderId="4" fillId="0" fontId="1" numFmtId="0" xfId="0" applyAlignment="1" applyBorder="1" applyFont="1">
      <alignment horizontal="left" readingOrder="1" shrinkToFit="0" vertical="center" wrapText="1"/>
    </xf>
    <xf borderId="5" fillId="7" fontId="1" numFmtId="0" xfId="0" applyAlignment="1" applyBorder="1" applyFont="1">
      <alignment horizontal="center" readingOrder="1" shrinkToFit="0" vertical="center" wrapText="1"/>
    </xf>
    <xf borderId="4" fillId="7" fontId="11" numFmtId="0" xfId="0" applyAlignment="1" applyBorder="1" applyFont="1">
      <alignment horizontal="center" readingOrder="1" shrinkToFit="0" vertical="center" wrapText="1"/>
    </xf>
    <xf borderId="21" fillId="7" fontId="5" numFmtId="0" xfId="0" applyAlignment="1" applyBorder="1" applyFont="1">
      <alignment horizontal="center" readingOrder="1" shrinkToFit="0" vertical="center" wrapText="1"/>
    </xf>
    <xf borderId="4" fillId="2" fontId="12" numFmtId="0" xfId="0" applyAlignment="1" applyBorder="1" applyFont="1">
      <alignment shrinkToFit="0" wrapText="1"/>
    </xf>
    <xf borderId="4" fillId="9" fontId="8" numFmtId="0" xfId="0" applyAlignment="1" applyBorder="1" applyFont="1">
      <alignment horizontal="center" readingOrder="0" shrinkToFit="0" vertical="center" wrapText="1"/>
    </xf>
    <xf borderId="7" fillId="9" fontId="8" numFmtId="0" xfId="0" applyBorder="1" applyFont="1"/>
    <xf borderId="5" fillId="7" fontId="1" numFmtId="0" xfId="0" applyAlignment="1" applyBorder="1" applyFont="1">
      <alignment horizontal="center" shrinkToFit="0" vertical="center" wrapText="1"/>
    </xf>
    <xf borderId="4" fillId="0" fontId="1" numFmtId="0" xfId="0" applyAlignment="1" applyBorder="1" applyFont="1">
      <alignment horizontal="center" readingOrder="1" shrinkToFit="0" vertical="center" wrapText="1"/>
    </xf>
    <xf borderId="4" fillId="0" fontId="1" numFmtId="0" xfId="0" applyAlignment="1" applyBorder="1" applyFont="1">
      <alignment horizontal="left" readingOrder="1" shrinkToFit="0" vertical="center" wrapText="1"/>
    </xf>
    <xf borderId="5" fillId="2" fontId="8" numFmtId="49" xfId="0" applyAlignment="1" applyBorder="1" applyFont="1" applyNumberFormat="1">
      <alignment horizontal="center" shrinkToFit="0" wrapText="1"/>
    </xf>
    <xf borderId="4" fillId="3" fontId="6" numFmtId="0" xfId="0" applyAlignment="1" applyBorder="1" applyFont="1">
      <alignment horizontal="center" readingOrder="1" shrinkToFit="0" vertical="center" wrapText="1"/>
    </xf>
    <xf borderId="34" fillId="3" fontId="6" numFmtId="0" xfId="0" applyAlignment="1" applyBorder="1" applyFont="1">
      <alignment horizontal="center" readingOrder="1" shrinkToFit="0" vertical="center" wrapText="1"/>
    </xf>
    <xf borderId="34" fillId="3" fontId="2" numFmtId="0" xfId="0" applyAlignment="1" applyBorder="1" applyFont="1">
      <alignment horizontal="center" readingOrder="1" shrinkToFit="0" vertical="center" wrapText="1"/>
    </xf>
    <xf borderId="15" fillId="0" fontId="7" numFmtId="0" xfId="0" applyBorder="1" applyFont="1"/>
    <xf borderId="0" fillId="3" fontId="6" numFmtId="0" xfId="0" applyAlignment="1" applyFont="1">
      <alignment horizontal="center" shrinkToFit="0" vertical="center" wrapText="1"/>
    </xf>
    <xf borderId="5" fillId="12" fontId="2" numFmtId="0" xfId="0" applyAlignment="1" applyBorder="1" applyFill="1" applyFont="1">
      <alignment horizontal="center" readingOrder="1" shrinkToFit="0" vertical="center" wrapText="1"/>
    </xf>
    <xf borderId="34" fillId="0" fontId="5" numFmtId="0" xfId="0" applyAlignment="1" applyBorder="1" applyFont="1">
      <alignment horizontal="center" readingOrder="1" shrinkToFit="0" vertical="center" wrapText="1"/>
    </xf>
    <xf borderId="35" fillId="0" fontId="7" numFmtId="0" xfId="0" applyBorder="1" applyFont="1"/>
    <xf borderId="36" fillId="0" fontId="5" numFmtId="0" xfId="0" applyAlignment="1" applyBorder="1" applyFont="1">
      <alignment horizontal="center" readingOrder="1" shrinkToFit="0" vertical="center" wrapText="1"/>
    </xf>
    <xf borderId="37" fillId="0" fontId="5" numFmtId="0" xfId="0" applyAlignment="1" applyBorder="1" applyFont="1">
      <alignment horizontal="center" readingOrder="1" shrinkToFit="0" vertical="center" wrapText="1"/>
    </xf>
    <xf borderId="38" fillId="0" fontId="5" numFmtId="0" xfId="0" applyAlignment="1" applyBorder="1" applyFont="1">
      <alignment horizontal="center" readingOrder="1" shrinkToFit="0" vertical="center" wrapText="1"/>
    </xf>
    <xf borderId="39" fillId="0" fontId="5" numFmtId="0" xfId="0" applyAlignment="1" applyBorder="1" applyFont="1">
      <alignment horizontal="center" readingOrder="1" shrinkToFit="0" vertical="center" wrapText="1"/>
    </xf>
    <xf borderId="5" fillId="13" fontId="2" numFmtId="0" xfId="0" applyAlignment="1" applyBorder="1" applyFill="1" applyFont="1">
      <alignment horizontal="center" readingOrder="1" shrinkToFit="0" vertical="center" wrapText="1"/>
    </xf>
    <xf borderId="31" fillId="0" fontId="5" numFmtId="0" xfId="0" applyAlignment="1" applyBorder="1" applyFont="1">
      <alignment horizontal="center" readingOrder="1" shrinkToFit="0" vertical="center" wrapText="1"/>
    </xf>
    <xf borderId="40" fillId="0" fontId="7" numFmtId="0" xfId="0" applyBorder="1" applyFont="1"/>
    <xf borderId="41" fillId="0" fontId="5" numFmtId="0" xfId="0" applyAlignment="1" applyBorder="1" applyFont="1">
      <alignment horizontal="center" readingOrder="1" shrinkToFit="0" vertical="center" wrapText="1"/>
    </xf>
    <xf borderId="5" fillId="14" fontId="2" numFmtId="0" xfId="0" applyAlignment="1" applyBorder="1" applyFill="1" applyFont="1">
      <alignment horizontal="center" readingOrder="1" shrinkToFit="0" vertical="center" wrapText="1"/>
    </xf>
    <xf borderId="5" fillId="10" fontId="11" numFmtId="0" xfId="0" applyAlignment="1" applyBorder="1" applyFont="1">
      <alignment horizontal="center" readingOrder="1" shrinkToFit="0" vertical="center" wrapText="1"/>
    </xf>
    <xf borderId="5" fillId="15" fontId="11" numFmtId="0" xfId="0" applyAlignment="1" applyBorder="1" applyFill="1" applyFont="1">
      <alignment horizontal="center" readingOrder="1" shrinkToFit="0" vertical="center" wrapText="1"/>
    </xf>
    <xf borderId="4" fillId="3" fontId="6" numFmtId="0" xfId="0" applyAlignment="1" applyBorder="1" applyFont="1">
      <alignment horizontal="center" shrinkToFit="0" vertical="center" wrapText="1"/>
    </xf>
    <xf borderId="34" fillId="3" fontId="6" numFmtId="0" xfId="0" applyAlignment="1" applyBorder="1" applyFont="1">
      <alignment horizontal="center" shrinkToFit="0" vertical="center" wrapText="1"/>
    </xf>
    <xf borderId="7"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0" fillId="0" fontId="13" numFmtId="0" xfId="0" applyAlignment="1" applyFont="1">
      <alignment horizontal="center"/>
    </xf>
    <xf borderId="1" fillId="7" fontId="14" numFmtId="0" xfId="0" applyBorder="1" applyFont="1"/>
    <xf borderId="42" fillId="0" fontId="5" numFmtId="0" xfId="0" applyAlignment="1" applyBorder="1" applyFont="1">
      <alignment horizontal="center" vertical="top"/>
    </xf>
    <xf borderId="42" fillId="0" fontId="15" numFmtId="0" xfId="0" applyAlignment="1" applyBorder="1" applyFont="1">
      <alignment horizontal="center"/>
    </xf>
    <xf borderId="43" fillId="0" fontId="13" numFmtId="0" xfId="0" applyAlignment="1" applyBorder="1" applyFont="1">
      <alignment horizontal="center"/>
    </xf>
    <xf borderId="43" fillId="0" fontId="11" numFmtId="0" xfId="0" applyAlignment="1" applyBorder="1" applyFont="1">
      <alignment horizontal="center" vertical="top"/>
    </xf>
    <xf borderId="0" fillId="0" fontId="5" numFmtId="0" xfId="0" applyAlignment="1" applyFont="1">
      <alignment horizontal="center" vertical="top"/>
    </xf>
    <xf borderId="0" fillId="0" fontId="11" numFmtId="0" xfId="0" applyAlignment="1" applyFont="1">
      <alignment horizontal="center" vertical="top"/>
    </xf>
    <xf borderId="0" fillId="0" fontId="5" numFmtId="0" xfId="0" applyFont="1"/>
    <xf borderId="1" fillId="7" fontId="16" numFmtId="0" xfId="0" applyBorder="1" applyFont="1"/>
    <xf borderId="0" fillId="0" fontId="14" numFmtId="0" xfId="0" applyFont="1"/>
    <xf borderId="0" fillId="0" fontId="15" numFmtId="0" xfId="0" applyAlignment="1" applyFont="1">
      <alignment horizontal="center"/>
    </xf>
    <xf borderId="0" fillId="0" fontId="15" numFmtId="0" xfId="0" applyAlignment="1" applyFont="1">
      <alignment horizontal="left"/>
    </xf>
    <xf borderId="0" fillId="0" fontId="5" numFmtId="0" xfId="0" applyAlignment="1" applyFont="1">
      <alignment horizontal="left"/>
    </xf>
    <xf borderId="0" fillId="0" fontId="11" numFmtId="0" xfId="0" applyAlignment="1" applyFont="1">
      <alignment horizontal="left" vertical="top"/>
    </xf>
    <xf borderId="0" fillId="0" fontId="11" numFmtId="0" xfId="0" applyAlignment="1" applyFont="1">
      <alignment horizontal="left"/>
    </xf>
    <xf borderId="0" fillId="0" fontId="5" numFmtId="0" xfId="0" applyAlignment="1" applyFont="1">
      <alignment horizontal="left" vertical="top"/>
    </xf>
    <xf borderId="1" fillId="7" fontId="5" numFmtId="0" xfId="0" applyAlignment="1" applyBorder="1" applyFont="1">
      <alignment horizontal="left" vertical="top"/>
    </xf>
    <xf borderId="1" fillId="7" fontId="15" numFmtId="0" xfId="0" applyAlignment="1" applyBorder="1" applyFont="1">
      <alignment horizontal="left"/>
    </xf>
    <xf borderId="1" fillId="7" fontId="11" numFmtId="0" xfId="0" applyAlignment="1" applyBorder="1" applyFont="1">
      <alignment horizontal="left" vertical="top"/>
    </xf>
    <xf borderId="44" fillId="16" fontId="13" numFmtId="0" xfId="0" applyAlignment="1" applyBorder="1" applyFill="1" applyFont="1">
      <alignment horizontal="center" shrinkToFit="0" vertical="top" wrapText="1"/>
    </xf>
    <xf borderId="45" fillId="0" fontId="7" numFmtId="0" xfId="0" applyBorder="1" applyFont="1"/>
    <xf borderId="46" fillId="0" fontId="7" numFmtId="0" xfId="0" applyBorder="1" applyFont="1"/>
    <xf borderId="1" fillId="3" fontId="17" numFmtId="0" xfId="0" applyAlignment="1" applyBorder="1" applyFont="1">
      <alignment horizontal="center" shrinkToFit="0" vertical="top" wrapText="1"/>
    </xf>
    <xf borderId="1" fillId="3" fontId="17" numFmtId="0" xfId="0" applyAlignment="1" applyBorder="1" applyFont="1">
      <alignment horizontal="left" vertical="top"/>
    </xf>
    <xf borderId="1" fillId="3" fontId="17" numFmtId="0" xfId="0" applyAlignment="1" applyBorder="1" applyFont="1">
      <alignment horizontal="left" shrinkToFit="0" vertical="top" wrapText="1"/>
    </xf>
    <xf borderId="1" fillId="3" fontId="17" numFmtId="0" xfId="0" applyAlignment="1" applyBorder="1" applyFont="1">
      <alignment horizontal="center" shrinkToFit="0" vertical="center" wrapText="1"/>
    </xf>
    <xf borderId="0" fillId="0" fontId="1" numFmtId="0" xfId="0" applyAlignment="1" applyFont="1">
      <alignment shrinkToFit="0" vertical="top" wrapText="1"/>
    </xf>
    <xf borderId="0" fillId="0" fontId="18" numFmtId="0" xfId="0" applyAlignment="1" applyFont="1">
      <alignment horizontal="center" shrinkToFit="0" vertical="top" wrapText="1"/>
    </xf>
    <xf borderId="0" fillId="0" fontId="1" numFmtId="0" xfId="0" applyAlignment="1" applyFont="1">
      <alignment vertical="top"/>
    </xf>
    <xf borderId="0" fillId="0" fontId="18" numFmtId="0" xfId="0" applyAlignment="1" applyFont="1">
      <alignment horizontal="left" vertical="top"/>
    </xf>
    <xf borderId="0" fillId="0" fontId="18" numFmtId="0" xfId="0" applyAlignment="1" applyFont="1">
      <alignment horizontal="left" shrinkToFit="0" vertical="top" wrapText="1"/>
    </xf>
    <xf borderId="1" fillId="2" fontId="18" numFmtId="0" xfId="0" applyAlignment="1" applyBorder="1" applyFont="1">
      <alignment horizontal="center" shrinkToFit="0" vertical="center" wrapText="1"/>
    </xf>
    <xf borderId="1" fillId="2" fontId="18" numFmtId="0" xfId="0" applyAlignment="1" applyBorder="1" applyFont="1">
      <alignment horizontal="center" shrinkToFit="0" vertical="top" wrapText="1"/>
    </xf>
    <xf borderId="1" fillId="2" fontId="18" numFmtId="0" xfId="0" applyAlignment="1" applyBorder="1" applyFont="1">
      <alignment horizontal="left" vertical="top"/>
    </xf>
    <xf borderId="1" fillId="2" fontId="1" numFmtId="0" xfId="0" applyAlignment="1" applyBorder="1" applyFont="1">
      <alignment shrinkToFit="0" vertical="top" wrapText="1"/>
    </xf>
    <xf borderId="1" fillId="2" fontId="18" numFmtId="0" xfId="0" applyAlignment="1" applyBorder="1" applyFont="1">
      <alignment horizontal="left" shrinkToFit="0" vertical="top" wrapText="1"/>
    </xf>
    <xf borderId="1" fillId="2" fontId="1" numFmtId="0" xfId="0" applyAlignment="1" applyBorder="1" applyFont="1">
      <alignment vertical="top"/>
    </xf>
    <xf borderId="1" fillId="2" fontId="1" numFmtId="0" xfId="0" applyAlignment="1" applyBorder="1" applyFont="1">
      <alignment horizontal="left" shrinkToFit="0" vertical="top" wrapText="1"/>
    </xf>
    <xf borderId="1" fillId="3" fontId="1" numFmtId="0" xfId="0" applyAlignment="1" applyBorder="1" applyFont="1">
      <alignment shrinkToFit="0" vertical="top" wrapText="1"/>
    </xf>
    <xf borderId="1" fillId="3" fontId="18" numFmtId="0" xfId="0" applyAlignment="1" applyBorder="1" applyFont="1">
      <alignment horizontal="center" shrinkToFit="0" vertical="top" wrapText="1"/>
    </xf>
    <xf borderId="1" fillId="3" fontId="18" numFmtId="0" xfId="0" applyAlignment="1" applyBorder="1" applyFont="1">
      <alignment horizontal="left" vertical="top"/>
    </xf>
    <xf borderId="1" fillId="3" fontId="18" numFmtId="0" xfId="0" applyAlignment="1" applyBorder="1" applyFont="1">
      <alignment horizontal="left" shrinkToFit="0" vertical="top" wrapText="1"/>
    </xf>
    <xf borderId="1" fillId="3" fontId="18" numFmtId="0" xfId="0" applyAlignment="1" applyBorder="1" applyFont="1">
      <alignment horizontal="center" shrinkToFit="0" vertical="center" wrapText="1"/>
    </xf>
    <xf borderId="0" fillId="0" fontId="1" numFmtId="0" xfId="0" applyAlignment="1" applyFont="1">
      <alignment horizontal="center" shrinkToFit="0" vertical="center" wrapText="1"/>
    </xf>
    <xf borderId="0" fillId="0" fontId="18" numFmtId="0" xfId="0" applyAlignment="1" applyFont="1">
      <alignment horizontal="center" shrinkToFit="0" vertical="center" wrapText="1"/>
    </xf>
    <xf borderId="0" fillId="0" fontId="19" numFmtId="0" xfId="0" applyAlignment="1" applyFont="1">
      <alignment horizontal="center" shrinkToFit="0" wrapText="1"/>
    </xf>
    <xf borderId="0" fillId="0" fontId="19" numFmtId="0" xfId="0" applyAlignment="1" applyFont="1">
      <alignment horizontal="center"/>
    </xf>
    <xf borderId="44" fillId="17" fontId="13" numFmtId="0" xfId="0" applyAlignment="1" applyBorder="1" applyFill="1" applyFont="1">
      <alignment horizontal="center" shrinkToFit="0" vertical="center" wrapText="1"/>
    </xf>
    <xf borderId="1" fillId="8" fontId="1" numFmtId="0" xfId="0" applyAlignment="1" applyBorder="1" applyFont="1">
      <alignment shrinkToFit="0" vertical="top" wrapText="1"/>
    </xf>
    <xf borderId="1" fillId="8" fontId="18" numFmtId="0" xfId="0" applyAlignment="1" applyBorder="1" applyFont="1">
      <alignment horizontal="center" shrinkToFit="0" vertical="top" wrapText="1"/>
    </xf>
    <xf borderId="1" fillId="8" fontId="18" numFmtId="0" xfId="0" applyAlignment="1" applyBorder="1" applyFont="1">
      <alignment horizontal="left" shrinkToFit="0" vertical="top" wrapText="1"/>
    </xf>
    <xf borderId="1" fillId="8" fontId="18" numFmtId="0" xfId="0" applyAlignment="1" applyBorder="1" applyFont="1">
      <alignment horizontal="center" shrinkToFit="0" vertical="center" wrapText="1"/>
    </xf>
    <xf borderId="0" fillId="0" fontId="1" numFmtId="0" xfId="0" applyAlignment="1" applyFont="1">
      <alignment horizontal="left" shrinkToFit="0" vertical="top" wrapText="1"/>
    </xf>
    <xf borderId="0" fillId="0" fontId="1" numFmtId="0" xfId="0" applyAlignment="1" applyFont="1">
      <alignment vertical="center"/>
    </xf>
    <xf borderId="0" fillId="0" fontId="18" numFmtId="0" xfId="0" applyAlignment="1" applyFont="1">
      <alignment horizontal="left" shrinkToFit="0" vertical="center" wrapText="1"/>
    </xf>
    <xf borderId="1" fillId="8" fontId="18" numFmtId="0" xfId="0" applyAlignment="1" applyBorder="1" applyFont="1">
      <alignment horizontal="left" vertical="top"/>
    </xf>
    <xf borderId="1" fillId="18" fontId="18" numFmtId="0" xfId="0" applyAlignment="1" applyBorder="1" applyFill="1" applyFont="1">
      <alignment horizontal="left" vertical="top"/>
    </xf>
    <xf borderId="1" fillId="8" fontId="1" numFmtId="0" xfId="0" applyAlignment="1" applyBorder="1" applyFont="1">
      <alignment vertical="top"/>
    </xf>
    <xf borderId="0" fillId="0" fontId="1" numFmtId="0" xfId="0" applyAlignment="1" applyFont="1">
      <alignment shrinkToFit="0" wrapText="1"/>
    </xf>
    <xf borderId="1" fillId="19" fontId="18" numFmtId="0" xfId="0" applyAlignment="1" applyBorder="1" applyFill="1" applyFont="1">
      <alignment horizontal="left" vertical="top"/>
    </xf>
    <xf borderId="1" fillId="19" fontId="18" numFmtId="0" xfId="0" applyAlignment="1" applyBorder="1" applyFont="1">
      <alignment horizontal="center" shrinkToFit="0" vertical="top" wrapText="1"/>
    </xf>
    <xf borderId="4" fillId="20" fontId="5" numFmtId="0" xfId="0" applyAlignment="1" applyBorder="1" applyFill="1" applyFont="1">
      <alignment horizontal="left" readingOrder="1" vertical="center"/>
    </xf>
    <xf borderId="4" fillId="20" fontId="5" numFmtId="0" xfId="0" applyAlignment="1" applyBorder="1" applyFont="1">
      <alignment horizontal="center" readingOrder="1" vertical="center"/>
    </xf>
    <xf borderId="4" fillId="20" fontId="5" numFmtId="0" xfId="0" applyAlignment="1" applyBorder="1" applyFont="1">
      <alignment horizontal="right" readingOrder="1" vertical="center"/>
    </xf>
    <xf borderId="4" fillId="20" fontId="5" numFmtId="49" xfId="0" applyAlignment="1" applyBorder="1" applyFont="1" applyNumberFormat="1">
      <alignment horizontal="center" readingOrder="1" vertical="center"/>
    </xf>
    <xf borderId="4" fillId="20" fontId="5" numFmtId="0" xfId="0" applyAlignment="1" applyBorder="1" applyFont="1">
      <alignment horizontal="left" readingOrder="1" vertical="center"/>
    </xf>
    <xf borderId="4" fillId="20" fontId="5" numFmtId="49" xfId="0" applyAlignment="1" applyBorder="1" applyFont="1" applyNumberFormat="1">
      <alignment horizontal="left" readingOrder="1" vertical="center"/>
    </xf>
    <xf borderId="4" fillId="0" fontId="5" numFmtId="0" xfId="0" applyAlignment="1" applyBorder="1" applyFont="1">
      <alignment vertical="center"/>
    </xf>
    <xf borderId="4" fillId="3" fontId="2" numFmtId="0" xfId="0" applyAlignment="1" applyBorder="1" applyFont="1">
      <alignment horizontal="right" readingOrder="1" shrinkToFit="0" vertical="center" wrapText="1"/>
    </xf>
    <xf borderId="5" fillId="0" fontId="5" numFmtId="0" xfId="0" applyAlignment="1" applyBorder="1" applyFont="1">
      <alignment horizontal="center" vertical="center"/>
    </xf>
    <xf borderId="5" fillId="0" fontId="5" numFmtId="0" xfId="0" applyAlignment="1" applyBorder="1" applyFont="1">
      <alignment horizontal="right" readingOrder="1" shrinkToFit="0" vertical="center" wrapText="1"/>
    </xf>
    <xf borderId="4" fillId="0" fontId="5" numFmtId="0" xfId="0" applyAlignment="1" applyBorder="1" applyFont="1">
      <alignment horizontal="right" readingOrder="1" shrinkToFit="0" vertical="center" wrapText="1"/>
    </xf>
    <xf borderId="4" fillId="21" fontId="5" numFmtId="0" xfId="0" applyAlignment="1" applyBorder="1" applyFill="1" applyFont="1">
      <alignment horizontal="left" readingOrder="1" shrinkToFit="0" vertical="center" wrapText="1"/>
    </xf>
    <xf borderId="4" fillId="21" fontId="5" numFmtId="0" xfId="0" applyAlignment="1" applyBorder="1" applyFont="1">
      <alignment horizontal="center" readingOrder="1" shrinkToFit="0" vertical="center" wrapText="1"/>
    </xf>
    <xf borderId="4" fillId="21" fontId="5" numFmtId="0" xfId="0" applyAlignment="1" applyBorder="1" applyFont="1">
      <alignment horizontal="left" readingOrder="1" shrinkToFit="0" vertical="center" wrapText="1"/>
    </xf>
    <xf borderId="4" fillId="21" fontId="5" numFmtId="49" xfId="0" applyAlignment="1" applyBorder="1" applyFont="1" applyNumberFormat="1">
      <alignment horizontal="left" readingOrder="1" vertical="center"/>
    </xf>
    <xf borderId="4" fillId="21" fontId="5" numFmtId="0" xfId="0" applyAlignment="1" applyBorder="1" applyFont="1">
      <alignment horizontal="left" readingOrder="1" vertical="center"/>
    </xf>
    <xf borderId="4" fillId="21" fontId="5" numFmtId="49" xfId="0" applyAlignment="1" applyBorder="1" applyFont="1" applyNumberFormat="1">
      <alignment horizontal="left" readingOrder="1" shrinkToFit="0" vertical="center" wrapText="1"/>
    </xf>
    <xf borderId="4" fillId="8" fontId="5" numFmtId="0" xfId="0" applyAlignment="1" applyBorder="1" applyFont="1">
      <alignment horizontal="right" readingOrder="1" shrinkToFit="0" vertical="center" wrapText="1"/>
    </xf>
    <xf borderId="12" fillId="8" fontId="5" numFmtId="0" xfId="0" applyAlignment="1" applyBorder="1" applyFont="1">
      <alignment horizontal="right" readingOrder="1" shrinkToFit="0" vertical="center" wrapText="1"/>
    </xf>
    <xf borderId="4" fillId="8" fontId="5" numFmtId="49" xfId="0" applyAlignment="1" applyBorder="1" applyFont="1" applyNumberFormat="1">
      <alignment horizontal="left" readingOrder="1" shrinkToFit="0" vertical="center" wrapText="1"/>
    </xf>
    <xf borderId="4" fillId="8" fontId="5" numFmtId="0" xfId="0" applyAlignment="1" applyBorder="1" applyFont="1">
      <alignment horizontal="left" readingOrder="1" vertical="center"/>
    </xf>
    <xf borderId="5" fillId="2" fontId="5" numFmtId="0" xfId="0" applyAlignment="1" applyBorder="1" applyFont="1">
      <alignment horizontal="right" readingOrder="1" shrinkToFit="0" vertical="center" wrapText="1"/>
    </xf>
    <xf borderId="20" fillId="2" fontId="5" numFmtId="0" xfId="0" applyAlignment="1" applyBorder="1" applyFont="1">
      <alignment horizontal="right" readingOrder="1" shrinkToFit="0" vertical="center" wrapText="1"/>
    </xf>
    <xf borderId="4" fillId="9" fontId="5" numFmtId="0" xfId="0" applyAlignment="1" applyBorder="1" applyFont="1">
      <alignment horizontal="right" readingOrder="1" shrinkToFit="0" vertical="center" wrapText="1"/>
    </xf>
    <xf borderId="4" fillId="9" fontId="5" numFmtId="49" xfId="0" applyAlignment="1" applyBorder="1" applyFont="1" applyNumberFormat="1">
      <alignment horizontal="left" readingOrder="1" shrinkToFit="0" vertical="center" wrapText="1"/>
    </xf>
    <xf borderId="4" fillId="9" fontId="5" numFmtId="0" xfId="0" applyAlignment="1" applyBorder="1" applyFont="1">
      <alignment horizontal="left" readingOrder="1" vertical="center"/>
    </xf>
    <xf borderId="15" fillId="0" fontId="5" numFmtId="0" xfId="0" applyAlignment="1" applyBorder="1" applyFont="1">
      <alignment horizontal="right" readingOrder="1" shrinkToFit="0" vertical="center" wrapText="1"/>
    </xf>
    <xf borderId="4" fillId="21" fontId="11" numFmtId="0" xfId="0" applyAlignment="1" applyBorder="1" applyFont="1">
      <alignment horizontal="left" readingOrder="1" shrinkToFit="0" vertical="center" wrapText="1"/>
    </xf>
    <xf borderId="4" fillId="10" fontId="5" numFmtId="0" xfId="0" applyAlignment="1" applyBorder="1" applyFont="1">
      <alignment horizontal="right" readingOrder="1" vertical="center"/>
    </xf>
    <xf borderId="4" fillId="10" fontId="5" numFmtId="49" xfId="0" applyAlignment="1" applyBorder="1" applyFont="1" applyNumberFormat="1">
      <alignment horizontal="left" readingOrder="1" vertical="center"/>
    </xf>
    <xf borderId="4" fillId="7" fontId="20" numFmtId="0" xfId="0" applyAlignment="1" applyBorder="1" applyFont="1">
      <alignment vertical="center"/>
    </xf>
    <xf borderId="4" fillId="11" fontId="5" numFmtId="0" xfId="0" applyAlignment="1" applyBorder="1" applyFont="1">
      <alignment horizontal="right" readingOrder="1" shrinkToFit="0" vertical="center" wrapText="1"/>
    </xf>
    <xf borderId="4" fillId="11" fontId="5" numFmtId="49" xfId="0" applyAlignment="1" applyBorder="1" applyFont="1" applyNumberFormat="1">
      <alignment horizontal="left" readingOrder="1" shrinkToFit="0" vertical="center" wrapText="1"/>
    </xf>
    <xf borderId="4" fillId="11" fontId="5" numFmtId="0" xfId="0" applyAlignment="1" applyBorder="1" applyFont="1">
      <alignment horizontal="left" readingOrder="1" vertical="center"/>
    </xf>
    <xf borderId="5" fillId="21" fontId="5" numFmtId="0" xfId="0" applyAlignment="1" applyBorder="1" applyFont="1">
      <alignment horizontal="center" shrinkToFit="0" vertical="center" wrapText="1"/>
    </xf>
    <xf borderId="5" fillId="21" fontId="5" numFmtId="0" xfId="0" applyAlignment="1" applyBorder="1" applyFont="1">
      <alignment horizontal="center" readingOrder="1" shrinkToFit="0" vertical="center" wrapText="1"/>
    </xf>
    <xf borderId="21" fillId="21" fontId="5" numFmtId="0" xfId="0" applyAlignment="1" applyBorder="1" applyFont="1">
      <alignment horizontal="center" readingOrder="1" shrinkToFit="0" vertical="center" wrapText="1"/>
    </xf>
    <xf borderId="4" fillId="2" fontId="5" numFmtId="0" xfId="0" applyAlignment="1" applyBorder="1" applyFont="1">
      <alignment horizontal="right" readingOrder="1" shrinkToFit="0" vertical="center" wrapText="1"/>
    </xf>
    <xf borderId="4" fillId="2" fontId="5" numFmtId="49" xfId="0" applyAlignment="1" applyBorder="1" applyFont="1" applyNumberFormat="1">
      <alignment horizontal="center" readingOrder="1" shrinkToFit="0" vertical="center" wrapText="1"/>
    </xf>
    <xf borderId="4" fillId="0" fontId="5" numFmtId="0" xfId="0" applyAlignment="1" applyBorder="1" applyFont="1">
      <alignment horizontal="left" readingOrder="1" shrinkToFit="0" vertical="center" wrapText="1"/>
    </xf>
    <xf borderId="4" fillId="0" fontId="5" numFmtId="0" xfId="0" applyAlignment="1" applyBorder="1" applyFont="1">
      <alignment horizontal="left" readingOrder="1" vertical="center"/>
    </xf>
    <xf borderId="4" fillId="0" fontId="5" numFmtId="49" xfId="0" applyAlignment="1" applyBorder="1" applyFont="1" applyNumberFormat="1">
      <alignment horizontal="left" readingOrder="1" shrinkToFit="0" vertical="center" wrapText="1"/>
    </xf>
    <xf borderId="4" fillId="0" fontId="5" numFmtId="0" xfId="0" applyAlignment="1" applyBorder="1" applyFont="1">
      <alignment horizontal="right" vertical="center"/>
    </xf>
    <xf borderId="4" fillId="0" fontId="5" numFmtId="49" xfId="0" applyAlignment="1" applyBorder="1" applyFont="1" applyNumberFormat="1">
      <alignment horizontal="center" vertical="center"/>
    </xf>
    <xf borderId="4" fillId="0" fontId="5" numFmtId="0" xfId="0" applyAlignment="1" applyBorder="1" applyFont="1">
      <alignment horizontal="left" vertical="center"/>
    </xf>
    <xf borderId="4" fillId="0" fontId="5" numFmtId="0" xfId="0" applyAlignment="1" applyBorder="1" applyFont="1">
      <alignment horizontal="center" readingOrder="1" vertical="center"/>
    </xf>
    <xf borderId="4" fillId="0" fontId="5" numFmtId="49" xfId="0" applyAlignment="1" applyBorder="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chemeClr val="dk1"/>
                </a:solidFill>
                <a:latin typeface="Arial"/>
              </a:defRPr>
            </a:pPr>
            <a:r>
              <a:rPr b="1" i="0">
                <a:solidFill>
                  <a:schemeClr val="dk1"/>
                </a:solidFill>
                <a:latin typeface="Arial"/>
              </a:rPr>
              <a:t>Unidades Temática e Objetos do Conhecimento</a:t>
            </a:r>
          </a:p>
        </c:rich>
      </c:tx>
      <c:overlay val="0"/>
    </c:title>
    <c:plotArea>
      <c:layout>
        <c:manualLayout>
          <c:xMode val="edge"/>
          <c:yMode val="edge"/>
          <c:x val="0.4589041095890411"/>
          <c:y val="0.10173259736277214"/>
          <c:w val="0.5087254318046457"/>
          <c:h val="0.8041091689665748"/>
        </c:manualLayout>
      </c:layout>
      <c:barChart>
        <c:barDir val="bar"/>
        <c:ser>
          <c:idx val="0"/>
          <c:order val="0"/>
          <c:tx>
            <c:strRef>
              <c:f>'Gráfico'!$B$1</c:f>
            </c:strRef>
          </c:tx>
          <c:cat>
            <c:strRef>
              <c:f>'Gráfico'!$A$2:$A$55</c:f>
            </c:strRef>
          </c:cat>
          <c:val>
            <c:numRef>
              <c:f>'Gráfico'!$B$2:$B$55</c:f>
              <c:numCache/>
            </c:numRef>
          </c:val>
        </c:ser>
        <c:axId val="780584865"/>
        <c:axId val="1548109591"/>
      </c:barChart>
      <c:catAx>
        <c:axId val="780584865"/>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UNIDADE TEMÁTICA</a:t>
                </a:r>
              </a:p>
            </c:rich>
          </c:tx>
          <c:overlay val="0"/>
        </c:title>
        <c:numFmt formatCode="General" sourceLinked="1"/>
        <c:majorTickMark val="none"/>
        <c:minorTickMark val="none"/>
        <c:spPr/>
        <c:txPr>
          <a:bodyPr/>
          <a:lstStyle/>
          <a:p>
            <a:pPr lvl="0">
              <a:defRPr b="0" i="0" sz="1200">
                <a:solidFill>
                  <a:srgbClr val="000000"/>
                </a:solidFill>
                <a:latin typeface="Arial"/>
              </a:defRPr>
            </a:pPr>
          </a:p>
        </c:txPr>
        <c:crossAx val="1548109591"/>
      </c:catAx>
      <c:valAx>
        <c:axId val="1548109591"/>
        <c:scaling>
          <c:orientation val="minMax"/>
        </c:scaling>
        <c:delete val="0"/>
        <c:axPos val="b"/>
        <c:tickLblPos val="nextTo"/>
        <c:spPr>
          <a:ln>
            <a:noFill/>
          </a:ln>
        </c:spPr>
        <c:crossAx val="780584865"/>
        <c:crosses val="max"/>
      </c:valAx>
    </c:plotArea>
    <c:legend>
      <c:legendPos val="r"/>
      <c:overlay val="0"/>
      <c:txPr>
        <a:bodyPr/>
        <a:lstStyle/>
        <a:p>
          <a:pPr lvl="0">
            <a:defRPr b="0" i="0">
              <a:solidFill>
                <a:srgbClr val="1A1A1A"/>
              </a:solidFill>
              <a:latin typeface="+mn-lt"/>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610975" cy="10353675"/>
    <xdr:graphicFrame>
      <xdr:nvGraphicFramePr>
        <xdr:cNvPr id="216466499"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2F1DA"/>
    <outlinePr summaryBelow="0" summaryRight="0"/>
  </sheetPr>
  <sheetViews>
    <sheetView workbookViewId="0"/>
  </sheetViews>
  <sheetFormatPr customHeight="1" defaultColWidth="12.63" defaultRowHeight="15.0"/>
  <cols>
    <col customWidth="1" min="1" max="1" width="7.13"/>
    <col customWidth="1" min="2" max="2" width="43.88"/>
    <col hidden="1" min="4" max="26" width="12.63"/>
  </cols>
  <sheetData>
    <row r="1">
      <c r="A1" s="1"/>
      <c r="B1" s="1"/>
      <c r="C1" s="1"/>
      <c r="D1" s="1"/>
      <c r="E1" s="1"/>
      <c r="F1" s="1"/>
      <c r="G1" s="1"/>
      <c r="H1" s="1"/>
      <c r="I1" s="1"/>
      <c r="J1" s="1"/>
      <c r="K1" s="1"/>
      <c r="L1" s="1"/>
      <c r="M1" s="1"/>
      <c r="N1" s="1"/>
      <c r="O1" s="1"/>
      <c r="P1" s="1"/>
      <c r="Q1" s="1"/>
      <c r="R1" s="1"/>
      <c r="S1" s="1"/>
      <c r="T1" s="1"/>
      <c r="U1" s="1"/>
      <c r="V1" s="1"/>
      <c r="W1" s="1"/>
      <c r="X1" s="1"/>
      <c r="Y1" s="1"/>
      <c r="Z1" s="1"/>
    </row>
    <row r="2" ht="33.75" customHeight="1">
      <c r="A2" s="1"/>
      <c r="B2" s="2" t="s">
        <v>0</v>
      </c>
      <c r="C2" s="1"/>
      <c r="D2" s="1"/>
      <c r="E2" s="1"/>
      <c r="F2" s="1"/>
      <c r="G2" s="1"/>
      <c r="H2" s="1"/>
      <c r="I2" s="1"/>
      <c r="J2" s="1"/>
      <c r="K2" s="1"/>
      <c r="L2" s="1"/>
      <c r="M2" s="1"/>
      <c r="N2" s="1"/>
      <c r="O2" s="1"/>
      <c r="P2" s="1"/>
      <c r="Q2" s="1"/>
      <c r="R2" s="1"/>
      <c r="S2" s="1"/>
      <c r="T2" s="1"/>
      <c r="U2" s="1"/>
      <c r="V2" s="1"/>
      <c r="W2" s="1"/>
      <c r="X2" s="1"/>
      <c r="Y2" s="1"/>
      <c r="Z2" s="1"/>
    </row>
    <row r="3" ht="22.5" customHeight="1">
      <c r="A3" s="1"/>
      <c r="B3" s="3" t="s">
        <v>1</v>
      </c>
      <c r="C3" s="1"/>
      <c r="D3" s="1"/>
      <c r="E3" s="1"/>
      <c r="F3" s="1"/>
      <c r="G3" s="1"/>
      <c r="H3" s="1"/>
      <c r="I3" s="1"/>
      <c r="J3" s="1"/>
      <c r="K3" s="1"/>
      <c r="L3" s="1"/>
      <c r="M3" s="1"/>
      <c r="N3" s="1"/>
      <c r="O3" s="1"/>
      <c r="P3" s="1"/>
      <c r="Q3" s="1"/>
      <c r="R3" s="1"/>
      <c r="S3" s="1"/>
      <c r="T3" s="1"/>
      <c r="U3" s="1"/>
      <c r="V3" s="1"/>
      <c r="W3" s="1"/>
      <c r="X3" s="1"/>
      <c r="Y3" s="1"/>
      <c r="Z3" s="1"/>
    </row>
    <row r="4" ht="22.5" customHeight="1">
      <c r="A4" s="1"/>
      <c r="B4" s="3" t="s">
        <v>2</v>
      </c>
      <c r="C4" s="1"/>
      <c r="D4" s="1"/>
      <c r="E4" s="1"/>
      <c r="F4" s="1"/>
      <c r="G4" s="1"/>
      <c r="H4" s="1"/>
      <c r="I4" s="1"/>
      <c r="J4" s="1"/>
      <c r="K4" s="1"/>
      <c r="L4" s="1"/>
      <c r="M4" s="1"/>
      <c r="N4" s="1"/>
      <c r="O4" s="1"/>
      <c r="P4" s="1"/>
      <c r="Q4" s="1"/>
      <c r="R4" s="1"/>
      <c r="S4" s="1"/>
      <c r="T4" s="1"/>
      <c r="U4" s="1"/>
      <c r="V4" s="1"/>
      <c r="W4" s="1"/>
      <c r="X4" s="1"/>
      <c r="Y4" s="1"/>
      <c r="Z4" s="1"/>
    </row>
    <row r="5" ht="22.5" customHeight="1">
      <c r="A5" s="1"/>
      <c r="B5" s="3" t="s">
        <v>3</v>
      </c>
      <c r="C5" s="1"/>
      <c r="D5" s="1"/>
      <c r="E5" s="1"/>
      <c r="F5" s="1"/>
      <c r="G5" s="1"/>
      <c r="H5" s="1"/>
      <c r="I5" s="1"/>
      <c r="J5" s="1"/>
      <c r="K5" s="1"/>
      <c r="L5" s="1"/>
      <c r="M5" s="1"/>
      <c r="N5" s="1"/>
      <c r="O5" s="1"/>
      <c r="P5" s="1"/>
      <c r="Q5" s="1"/>
      <c r="R5" s="1"/>
      <c r="S5" s="1"/>
      <c r="T5" s="1"/>
      <c r="U5" s="1"/>
      <c r="V5" s="1"/>
      <c r="W5" s="1"/>
      <c r="X5" s="1"/>
      <c r="Y5" s="1"/>
      <c r="Z5" s="1"/>
    </row>
    <row r="6" ht="22.5" customHeight="1">
      <c r="A6" s="1"/>
      <c r="B6" s="3" t="s">
        <v>4</v>
      </c>
      <c r="C6" s="1"/>
      <c r="D6" s="1"/>
      <c r="E6" s="1"/>
      <c r="F6" s="1"/>
      <c r="G6" s="1"/>
      <c r="H6" s="1"/>
      <c r="I6" s="1"/>
      <c r="J6" s="1"/>
      <c r="K6" s="1"/>
      <c r="L6" s="1"/>
      <c r="M6" s="1"/>
      <c r="N6" s="1"/>
      <c r="O6" s="1"/>
      <c r="P6" s="1"/>
      <c r="Q6" s="1"/>
      <c r="R6" s="1"/>
      <c r="S6" s="1"/>
      <c r="T6" s="1"/>
      <c r="U6" s="1"/>
      <c r="V6" s="1"/>
      <c r="W6" s="1"/>
      <c r="X6" s="1"/>
      <c r="Y6" s="1"/>
      <c r="Z6" s="1"/>
    </row>
    <row r="7" ht="22.5" customHeight="1">
      <c r="A7" s="1"/>
      <c r="B7" s="3" t="s">
        <v>5</v>
      </c>
      <c r="C7" s="1"/>
      <c r="D7" s="1"/>
      <c r="E7" s="1"/>
      <c r="F7" s="1"/>
      <c r="G7" s="1"/>
      <c r="H7" s="1"/>
      <c r="I7" s="1"/>
      <c r="J7" s="1"/>
      <c r="K7" s="1"/>
      <c r="L7" s="1"/>
      <c r="M7" s="1"/>
      <c r="N7" s="1"/>
      <c r="O7" s="1"/>
      <c r="P7" s="1"/>
      <c r="Q7" s="1"/>
      <c r="R7" s="1"/>
      <c r="S7" s="1"/>
      <c r="T7" s="1"/>
      <c r="U7" s="1"/>
      <c r="V7" s="1"/>
      <c r="W7" s="1"/>
      <c r="X7" s="1"/>
      <c r="Y7" s="1"/>
      <c r="Z7" s="1"/>
    </row>
    <row r="8" ht="22.5" customHeight="1">
      <c r="A8" s="1"/>
      <c r="B8" s="3" t="s">
        <v>6</v>
      </c>
      <c r="C8" s="1"/>
      <c r="D8" s="1"/>
      <c r="E8" s="1"/>
      <c r="F8" s="1"/>
      <c r="G8" s="1"/>
      <c r="H8" s="1"/>
      <c r="I8" s="1"/>
      <c r="J8" s="1"/>
      <c r="K8" s="1"/>
      <c r="L8" s="1"/>
      <c r="M8" s="1"/>
      <c r="N8" s="1"/>
      <c r="O8" s="1"/>
      <c r="P8" s="1"/>
      <c r="Q8" s="1"/>
      <c r="R8" s="1"/>
      <c r="S8" s="1"/>
      <c r="T8" s="1"/>
      <c r="U8" s="1"/>
      <c r="V8" s="1"/>
      <c r="W8" s="1"/>
      <c r="X8" s="1"/>
      <c r="Y8" s="1"/>
      <c r="Z8" s="1"/>
    </row>
    <row r="9" ht="22.5" customHeight="1">
      <c r="A9" s="1"/>
      <c r="B9" s="4" t="s">
        <v>7</v>
      </c>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sheetData>
  <hyperlinks>
    <hyperlink display="EDUCAÇÃO FINANCEIRA" location="'Educação Financeira'!A1" ref="B3"/>
    <hyperlink display="PRÁTICAS EXPERIMENTAIS" location="'Práticas Experimentais'!A1" ref="B4"/>
    <hyperlink display="PROJETO DE VIDA" location="'Projeto de Vida'!A1" ref="B5"/>
    <hyperlink display="REDAÇÃO E LEITURA" location="'Redação e Leitura'!A1" ref="B6"/>
    <hyperlink display="ROBÓTICA - PEI 9H" location="'Robótica - PEI 9h'!A1" ref="B7"/>
    <hyperlink display="TECNOLOGIA E INOVAÇÃO" location="'Tecnologia e Inovação'!A1" ref="B8"/>
    <hyperlink display="MATRIZ SOCIOEMOCIONAL PROJETO DE VIDA" location="'Matriz Socioemocional PV AF'!A1" ref="B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63"/>
    <col customWidth="1" min="2" max="2" width="9.75"/>
    <col customWidth="1" min="3" max="3" width="7.25"/>
    <col customWidth="1" min="4" max="4" width="12.13"/>
    <col customWidth="1" min="5" max="5" width="10.0"/>
    <col customWidth="1" min="6" max="6" width="14.38"/>
    <col customWidth="1" min="7" max="7" width="51.88"/>
    <col customWidth="1" min="8" max="8" width="25.38"/>
    <col customWidth="1" min="9" max="9" width="28.38"/>
    <col customWidth="1" min="10" max="10" width="25.38"/>
    <col customWidth="1" min="11" max="11" width="31.0"/>
    <col customWidth="1" min="12" max="12" width="52.0"/>
  </cols>
  <sheetData>
    <row r="1" ht="27.0" customHeight="1">
      <c r="A1" s="6" t="s">
        <v>8</v>
      </c>
      <c r="B1" s="7" t="s">
        <v>9</v>
      </c>
      <c r="C1" s="6" t="s">
        <v>10</v>
      </c>
      <c r="D1" s="7" t="s">
        <v>11</v>
      </c>
      <c r="E1" s="7" t="s">
        <v>12</v>
      </c>
      <c r="F1" s="8" t="s">
        <v>13</v>
      </c>
      <c r="G1" s="8" t="s">
        <v>14</v>
      </c>
      <c r="H1" s="9" t="s">
        <v>15</v>
      </c>
      <c r="I1" s="9" t="s">
        <v>16</v>
      </c>
      <c r="J1" s="9" t="s">
        <v>17</v>
      </c>
      <c r="K1" s="9" t="s">
        <v>18</v>
      </c>
      <c r="L1" s="9" t="s">
        <v>19</v>
      </c>
    </row>
    <row r="2">
      <c r="A2" s="10"/>
      <c r="B2" s="10" t="s">
        <v>20</v>
      </c>
      <c r="C2" s="10" t="s">
        <v>21</v>
      </c>
      <c r="D2" s="10" t="s">
        <v>22</v>
      </c>
      <c r="E2" s="10">
        <v>1.0</v>
      </c>
      <c r="F2" s="11" t="s">
        <v>23</v>
      </c>
      <c r="G2" s="10" t="s">
        <v>24</v>
      </c>
      <c r="H2" s="10" t="s">
        <v>25</v>
      </c>
      <c r="I2" s="10" t="s">
        <v>26</v>
      </c>
      <c r="J2" s="10" t="s">
        <v>27</v>
      </c>
      <c r="K2" s="11" t="s">
        <v>28</v>
      </c>
      <c r="L2" s="11" t="s">
        <v>29</v>
      </c>
    </row>
    <row r="3">
      <c r="A3" s="10"/>
      <c r="B3" s="10" t="s">
        <v>20</v>
      </c>
      <c r="C3" s="10" t="s">
        <v>21</v>
      </c>
      <c r="D3" s="10" t="s">
        <v>22</v>
      </c>
      <c r="E3" s="10">
        <v>2.0</v>
      </c>
      <c r="F3" s="11" t="s">
        <v>30</v>
      </c>
      <c r="G3" s="10" t="s">
        <v>31</v>
      </c>
      <c r="H3" s="10" t="s">
        <v>25</v>
      </c>
      <c r="I3" s="10" t="s">
        <v>26</v>
      </c>
      <c r="J3" s="10" t="s">
        <v>32</v>
      </c>
      <c r="K3" s="10" t="s">
        <v>33</v>
      </c>
      <c r="L3" s="10" t="s">
        <v>34</v>
      </c>
    </row>
    <row r="4">
      <c r="A4" s="10"/>
      <c r="B4" s="10" t="s">
        <v>20</v>
      </c>
      <c r="C4" s="10" t="s">
        <v>21</v>
      </c>
      <c r="D4" s="10" t="s">
        <v>22</v>
      </c>
      <c r="E4" s="10">
        <v>3.0</v>
      </c>
      <c r="F4" s="11" t="s">
        <v>35</v>
      </c>
      <c r="G4" s="10" t="s">
        <v>36</v>
      </c>
      <c r="H4" s="10" t="s">
        <v>37</v>
      </c>
      <c r="I4" s="10" t="s">
        <v>38</v>
      </c>
      <c r="J4" s="10" t="s">
        <v>39</v>
      </c>
      <c r="K4" s="11" t="s">
        <v>40</v>
      </c>
      <c r="L4" s="10" t="s">
        <v>41</v>
      </c>
    </row>
    <row r="5">
      <c r="A5" s="10"/>
      <c r="B5" s="10" t="s">
        <v>20</v>
      </c>
      <c r="C5" s="10" t="s">
        <v>21</v>
      </c>
      <c r="D5" s="10" t="s">
        <v>22</v>
      </c>
      <c r="E5" s="10">
        <v>4.0</v>
      </c>
      <c r="F5" s="11" t="s">
        <v>42</v>
      </c>
      <c r="G5" s="10" t="s">
        <v>43</v>
      </c>
      <c r="H5" s="10" t="s">
        <v>25</v>
      </c>
      <c r="I5" s="11" t="s">
        <v>44</v>
      </c>
      <c r="J5" s="10" t="s">
        <v>45</v>
      </c>
      <c r="K5" s="10" t="s">
        <v>46</v>
      </c>
      <c r="L5" s="10" t="s">
        <v>47</v>
      </c>
    </row>
    <row r="6">
      <c r="A6" s="10"/>
      <c r="B6" s="10" t="s">
        <v>20</v>
      </c>
      <c r="C6" s="10" t="s">
        <v>21</v>
      </c>
      <c r="D6" s="10" t="s">
        <v>22</v>
      </c>
      <c r="E6" s="10">
        <v>5.0</v>
      </c>
      <c r="F6" s="11" t="s">
        <v>42</v>
      </c>
      <c r="G6" s="10" t="s">
        <v>43</v>
      </c>
      <c r="H6" s="10" t="s">
        <v>25</v>
      </c>
      <c r="I6" s="11" t="s">
        <v>44</v>
      </c>
      <c r="J6" s="10" t="s">
        <v>48</v>
      </c>
      <c r="K6" s="10" t="s">
        <v>46</v>
      </c>
      <c r="L6" s="11" t="s">
        <v>49</v>
      </c>
    </row>
    <row r="7">
      <c r="A7" s="10"/>
      <c r="B7" s="10" t="s">
        <v>20</v>
      </c>
      <c r="C7" s="10" t="s">
        <v>21</v>
      </c>
      <c r="D7" s="10" t="s">
        <v>22</v>
      </c>
      <c r="E7" s="10">
        <v>6.0</v>
      </c>
      <c r="F7" s="11" t="s">
        <v>42</v>
      </c>
      <c r="G7" s="10" t="s">
        <v>43</v>
      </c>
      <c r="H7" s="10" t="s">
        <v>25</v>
      </c>
      <c r="I7" s="11" t="s">
        <v>44</v>
      </c>
      <c r="J7" s="10" t="s">
        <v>50</v>
      </c>
      <c r="K7" s="10" t="s">
        <v>46</v>
      </c>
      <c r="L7" s="11" t="s">
        <v>51</v>
      </c>
    </row>
    <row r="8">
      <c r="A8" s="10"/>
      <c r="B8" s="10" t="s">
        <v>20</v>
      </c>
      <c r="C8" s="10" t="s">
        <v>21</v>
      </c>
      <c r="D8" s="10" t="s">
        <v>22</v>
      </c>
      <c r="E8" s="10">
        <v>7.0</v>
      </c>
      <c r="F8" s="11" t="s">
        <v>52</v>
      </c>
      <c r="G8" s="10" t="s">
        <v>53</v>
      </c>
      <c r="H8" s="10" t="s">
        <v>25</v>
      </c>
      <c r="I8" s="10" t="s">
        <v>26</v>
      </c>
      <c r="J8" s="10" t="s">
        <v>54</v>
      </c>
      <c r="K8" s="11" t="s">
        <v>55</v>
      </c>
      <c r="L8" s="11" t="s">
        <v>56</v>
      </c>
    </row>
    <row r="9">
      <c r="A9" s="10"/>
      <c r="B9" s="10" t="s">
        <v>20</v>
      </c>
      <c r="C9" s="10" t="s">
        <v>21</v>
      </c>
      <c r="D9" s="10" t="s">
        <v>22</v>
      </c>
      <c r="E9" s="10">
        <v>8.0</v>
      </c>
      <c r="F9" s="11" t="s">
        <v>42</v>
      </c>
      <c r="G9" s="10" t="s">
        <v>43</v>
      </c>
      <c r="H9" s="10" t="s">
        <v>25</v>
      </c>
      <c r="I9" s="10" t="s">
        <v>26</v>
      </c>
      <c r="J9" s="10" t="s">
        <v>57</v>
      </c>
      <c r="K9" s="11" t="s">
        <v>58</v>
      </c>
      <c r="L9" s="10" t="s">
        <v>59</v>
      </c>
    </row>
    <row r="10">
      <c r="A10" s="10"/>
      <c r="B10" s="10" t="s">
        <v>20</v>
      </c>
      <c r="C10" s="10" t="s">
        <v>21</v>
      </c>
      <c r="D10" s="10" t="s">
        <v>22</v>
      </c>
      <c r="E10" s="10">
        <v>9.0</v>
      </c>
      <c r="F10" s="11" t="s">
        <v>42</v>
      </c>
      <c r="G10" s="10" t="s">
        <v>43</v>
      </c>
      <c r="H10" s="10" t="s">
        <v>25</v>
      </c>
      <c r="I10" s="11" t="s">
        <v>44</v>
      </c>
      <c r="J10" s="10" t="s">
        <v>60</v>
      </c>
      <c r="K10" s="11" t="s">
        <v>61</v>
      </c>
      <c r="L10" s="10" t="s">
        <v>62</v>
      </c>
    </row>
    <row r="11">
      <c r="A11" s="10"/>
      <c r="B11" s="10" t="s">
        <v>20</v>
      </c>
      <c r="C11" s="10" t="s">
        <v>21</v>
      </c>
      <c r="D11" s="10" t="s">
        <v>22</v>
      </c>
      <c r="E11" s="10">
        <v>10.0</v>
      </c>
      <c r="F11" s="11" t="s">
        <v>63</v>
      </c>
      <c r="G11" s="10" t="s">
        <v>64</v>
      </c>
      <c r="H11" s="10" t="s">
        <v>25</v>
      </c>
      <c r="I11" s="11" t="s">
        <v>44</v>
      </c>
      <c r="J11" s="10" t="s">
        <v>65</v>
      </c>
      <c r="K11" s="11" t="s">
        <v>61</v>
      </c>
      <c r="L11" s="10" t="s">
        <v>62</v>
      </c>
    </row>
    <row r="12">
      <c r="A12" s="10"/>
      <c r="B12" s="10" t="s">
        <v>20</v>
      </c>
      <c r="C12" s="10" t="s">
        <v>21</v>
      </c>
      <c r="D12" s="10" t="s">
        <v>22</v>
      </c>
      <c r="E12" s="10">
        <v>11.0</v>
      </c>
      <c r="F12" s="11" t="s">
        <v>66</v>
      </c>
      <c r="G12" s="10" t="s">
        <v>67</v>
      </c>
      <c r="H12" s="10" t="s">
        <v>37</v>
      </c>
      <c r="I12" s="10" t="s">
        <v>38</v>
      </c>
      <c r="J12" s="10" t="s">
        <v>68</v>
      </c>
      <c r="K12" s="11" t="s">
        <v>69</v>
      </c>
      <c r="L12" s="10" t="s">
        <v>70</v>
      </c>
    </row>
    <row r="13">
      <c r="A13" s="10"/>
      <c r="B13" s="10" t="s">
        <v>20</v>
      </c>
      <c r="C13" s="10" t="s">
        <v>21</v>
      </c>
      <c r="D13" s="10" t="s">
        <v>22</v>
      </c>
      <c r="E13" s="10">
        <v>12.0</v>
      </c>
      <c r="F13" s="11" t="s">
        <v>71</v>
      </c>
      <c r="G13" s="10" t="s">
        <v>72</v>
      </c>
      <c r="H13" s="10" t="s">
        <v>37</v>
      </c>
      <c r="I13" s="10" t="s">
        <v>38</v>
      </c>
      <c r="J13" s="10" t="s">
        <v>73</v>
      </c>
      <c r="K13" s="10" t="s">
        <v>74</v>
      </c>
      <c r="L13" s="10" t="s">
        <v>75</v>
      </c>
    </row>
    <row r="14">
      <c r="A14" s="10"/>
      <c r="B14" s="10" t="s">
        <v>20</v>
      </c>
      <c r="C14" s="10" t="s">
        <v>21</v>
      </c>
      <c r="D14" s="10" t="s">
        <v>22</v>
      </c>
      <c r="E14" s="10">
        <v>13.0</v>
      </c>
      <c r="F14" s="11" t="s">
        <v>76</v>
      </c>
      <c r="G14" s="10" t="s">
        <v>77</v>
      </c>
      <c r="H14" s="10" t="s">
        <v>37</v>
      </c>
      <c r="I14" s="10" t="s">
        <v>38</v>
      </c>
      <c r="J14" s="10" t="s">
        <v>78</v>
      </c>
      <c r="K14" s="11" t="s">
        <v>69</v>
      </c>
      <c r="L14" s="10" t="s">
        <v>79</v>
      </c>
    </row>
    <row r="15">
      <c r="A15" s="10"/>
      <c r="B15" s="10" t="s">
        <v>20</v>
      </c>
      <c r="C15" s="10" t="s">
        <v>21</v>
      </c>
      <c r="D15" s="10" t="s">
        <v>22</v>
      </c>
      <c r="E15" s="10">
        <v>14.0</v>
      </c>
      <c r="F15" s="11" t="s">
        <v>66</v>
      </c>
      <c r="G15" s="10" t="s">
        <v>67</v>
      </c>
      <c r="H15" s="10" t="s">
        <v>37</v>
      </c>
      <c r="I15" s="10" t="s">
        <v>38</v>
      </c>
      <c r="J15" s="10" t="s">
        <v>80</v>
      </c>
      <c r="K15" s="10" t="s">
        <v>74</v>
      </c>
      <c r="L15" s="10" t="s">
        <v>81</v>
      </c>
    </row>
    <row r="16">
      <c r="A16" s="10"/>
      <c r="B16" s="10" t="s">
        <v>20</v>
      </c>
      <c r="C16" s="10" t="s">
        <v>82</v>
      </c>
      <c r="D16" s="10" t="s">
        <v>22</v>
      </c>
      <c r="E16" s="10">
        <v>1.0</v>
      </c>
      <c r="F16" s="11" t="s">
        <v>66</v>
      </c>
      <c r="G16" s="10" t="s">
        <v>67</v>
      </c>
      <c r="H16" s="10" t="s">
        <v>37</v>
      </c>
      <c r="I16" s="10" t="s">
        <v>38</v>
      </c>
      <c r="J16" s="10" t="s">
        <v>83</v>
      </c>
      <c r="K16" s="11" t="s">
        <v>84</v>
      </c>
      <c r="L16" s="12" t="s">
        <v>85</v>
      </c>
    </row>
    <row r="17">
      <c r="A17" s="12"/>
      <c r="B17" s="10" t="s">
        <v>20</v>
      </c>
      <c r="C17" s="10" t="s">
        <v>82</v>
      </c>
      <c r="D17" s="10" t="s">
        <v>22</v>
      </c>
      <c r="E17" s="10">
        <v>2.0</v>
      </c>
      <c r="F17" s="11" t="s">
        <v>86</v>
      </c>
      <c r="G17" s="10" t="s">
        <v>87</v>
      </c>
      <c r="H17" s="10" t="s">
        <v>37</v>
      </c>
      <c r="I17" s="10" t="s">
        <v>88</v>
      </c>
      <c r="J17" s="10" t="s">
        <v>89</v>
      </c>
      <c r="K17" s="10" t="s">
        <v>90</v>
      </c>
      <c r="L17" s="12" t="s">
        <v>91</v>
      </c>
    </row>
    <row r="18">
      <c r="A18" s="12"/>
      <c r="B18" s="10" t="s">
        <v>20</v>
      </c>
      <c r="C18" s="10" t="s">
        <v>82</v>
      </c>
      <c r="D18" s="10" t="s">
        <v>22</v>
      </c>
      <c r="E18" s="10">
        <v>3.0</v>
      </c>
      <c r="F18" s="11" t="s">
        <v>92</v>
      </c>
      <c r="G18" s="10" t="s">
        <v>93</v>
      </c>
      <c r="H18" s="10" t="s">
        <v>37</v>
      </c>
      <c r="I18" s="10" t="s">
        <v>94</v>
      </c>
      <c r="J18" s="10" t="s">
        <v>95</v>
      </c>
      <c r="K18" s="10" t="s">
        <v>96</v>
      </c>
      <c r="L18" s="12" t="s">
        <v>97</v>
      </c>
    </row>
    <row r="19">
      <c r="A19" s="12"/>
      <c r="B19" s="10" t="s">
        <v>20</v>
      </c>
      <c r="C19" s="10" t="s">
        <v>82</v>
      </c>
      <c r="D19" s="10" t="s">
        <v>22</v>
      </c>
      <c r="E19" s="10">
        <v>4.0</v>
      </c>
      <c r="F19" s="11" t="s">
        <v>98</v>
      </c>
      <c r="G19" s="10" t="s">
        <v>99</v>
      </c>
      <c r="H19" s="10" t="s">
        <v>37</v>
      </c>
      <c r="I19" s="10" t="s">
        <v>100</v>
      </c>
      <c r="J19" s="10" t="s">
        <v>101</v>
      </c>
      <c r="K19" s="11" t="s">
        <v>102</v>
      </c>
      <c r="L19" s="12" t="s">
        <v>103</v>
      </c>
    </row>
    <row r="20">
      <c r="A20" s="12"/>
      <c r="B20" s="10" t="s">
        <v>20</v>
      </c>
      <c r="C20" s="10" t="s">
        <v>82</v>
      </c>
      <c r="D20" s="10" t="s">
        <v>22</v>
      </c>
      <c r="E20" s="10">
        <v>5.0</v>
      </c>
      <c r="F20" s="11" t="s">
        <v>104</v>
      </c>
      <c r="G20" s="10" t="s">
        <v>105</v>
      </c>
      <c r="H20" s="10" t="s">
        <v>37</v>
      </c>
      <c r="I20" s="10" t="s">
        <v>100</v>
      </c>
      <c r="J20" s="10" t="s">
        <v>106</v>
      </c>
      <c r="K20" s="10" t="s">
        <v>107</v>
      </c>
      <c r="L20" s="12" t="s">
        <v>108</v>
      </c>
    </row>
    <row r="21" ht="15.75" customHeight="1">
      <c r="A21" s="12"/>
      <c r="B21" s="10" t="s">
        <v>20</v>
      </c>
      <c r="C21" s="10" t="s">
        <v>82</v>
      </c>
      <c r="D21" s="10" t="s">
        <v>22</v>
      </c>
      <c r="E21" s="10">
        <v>6.0</v>
      </c>
      <c r="F21" s="11" t="s">
        <v>109</v>
      </c>
      <c r="G21" s="10" t="s">
        <v>110</v>
      </c>
      <c r="H21" s="10" t="s">
        <v>37</v>
      </c>
      <c r="I21" s="10" t="s">
        <v>111</v>
      </c>
      <c r="J21" s="10" t="s">
        <v>112</v>
      </c>
      <c r="K21" s="10" t="s">
        <v>113</v>
      </c>
      <c r="L21" s="12" t="s">
        <v>114</v>
      </c>
    </row>
    <row r="22" ht="15.75" customHeight="1">
      <c r="A22" s="12"/>
      <c r="B22" s="10" t="s">
        <v>20</v>
      </c>
      <c r="C22" s="10" t="s">
        <v>82</v>
      </c>
      <c r="D22" s="10" t="s">
        <v>22</v>
      </c>
      <c r="E22" s="10">
        <v>7.0</v>
      </c>
      <c r="F22" s="11" t="s">
        <v>115</v>
      </c>
      <c r="G22" s="10" t="s">
        <v>116</v>
      </c>
      <c r="H22" s="10" t="s">
        <v>37</v>
      </c>
      <c r="I22" s="10" t="s">
        <v>117</v>
      </c>
      <c r="J22" s="10" t="s">
        <v>118</v>
      </c>
      <c r="K22" s="11" t="s">
        <v>119</v>
      </c>
      <c r="L22" s="12" t="s">
        <v>120</v>
      </c>
    </row>
    <row r="23" ht="15.75" customHeight="1">
      <c r="A23" s="12"/>
      <c r="B23" s="10" t="s">
        <v>20</v>
      </c>
      <c r="C23" s="10" t="s">
        <v>82</v>
      </c>
      <c r="D23" s="10" t="s">
        <v>22</v>
      </c>
      <c r="E23" s="10">
        <v>8.0</v>
      </c>
      <c r="F23" s="11" t="s">
        <v>121</v>
      </c>
      <c r="G23" s="10" t="s">
        <v>122</v>
      </c>
      <c r="H23" s="10" t="s">
        <v>37</v>
      </c>
      <c r="I23" s="10" t="s">
        <v>117</v>
      </c>
      <c r="J23" s="10" t="s">
        <v>123</v>
      </c>
      <c r="K23" s="11" t="s">
        <v>124</v>
      </c>
      <c r="L23" s="12" t="s">
        <v>125</v>
      </c>
    </row>
    <row r="24" ht="15.75" customHeight="1">
      <c r="A24" s="12"/>
      <c r="B24" s="10" t="s">
        <v>20</v>
      </c>
      <c r="C24" s="10" t="s">
        <v>82</v>
      </c>
      <c r="D24" s="10" t="s">
        <v>22</v>
      </c>
      <c r="E24" s="10">
        <v>9.0</v>
      </c>
      <c r="F24" s="11" t="s">
        <v>126</v>
      </c>
      <c r="G24" s="10" t="s">
        <v>127</v>
      </c>
      <c r="H24" s="10" t="s">
        <v>37</v>
      </c>
      <c r="I24" s="10" t="s">
        <v>117</v>
      </c>
      <c r="J24" s="10" t="s">
        <v>128</v>
      </c>
      <c r="K24" s="10" t="s">
        <v>129</v>
      </c>
      <c r="L24" s="12" t="s">
        <v>130</v>
      </c>
    </row>
    <row r="25" ht="15.75" customHeight="1">
      <c r="A25" s="12"/>
      <c r="B25" s="10" t="s">
        <v>20</v>
      </c>
      <c r="C25" s="10" t="s">
        <v>82</v>
      </c>
      <c r="D25" s="10" t="s">
        <v>22</v>
      </c>
      <c r="E25" s="10">
        <v>10.0</v>
      </c>
      <c r="F25" s="11" t="s">
        <v>131</v>
      </c>
      <c r="G25" s="10" t="s">
        <v>132</v>
      </c>
      <c r="H25" s="10" t="s">
        <v>37</v>
      </c>
      <c r="I25" s="10" t="s">
        <v>38</v>
      </c>
      <c r="J25" s="10" t="s">
        <v>133</v>
      </c>
      <c r="K25" s="11" t="s">
        <v>134</v>
      </c>
      <c r="L25" s="12" t="s">
        <v>135</v>
      </c>
    </row>
    <row r="26" ht="15.75" customHeight="1">
      <c r="A26" s="12"/>
      <c r="B26" s="10" t="s">
        <v>20</v>
      </c>
      <c r="C26" s="10" t="s">
        <v>82</v>
      </c>
      <c r="D26" s="10" t="s">
        <v>22</v>
      </c>
      <c r="E26" s="10">
        <v>11.0</v>
      </c>
      <c r="F26" s="11" t="s">
        <v>136</v>
      </c>
      <c r="G26" s="10" t="s">
        <v>137</v>
      </c>
      <c r="H26" s="10" t="s">
        <v>37</v>
      </c>
      <c r="I26" s="10" t="s">
        <v>38</v>
      </c>
      <c r="J26" s="10" t="s">
        <v>138</v>
      </c>
      <c r="K26" s="10" t="s">
        <v>139</v>
      </c>
      <c r="L26" s="12" t="s">
        <v>140</v>
      </c>
    </row>
    <row r="27" ht="15.75" customHeight="1">
      <c r="A27" s="12"/>
      <c r="B27" s="10" t="s">
        <v>20</v>
      </c>
      <c r="C27" s="10" t="s">
        <v>82</v>
      </c>
      <c r="D27" s="10" t="s">
        <v>22</v>
      </c>
      <c r="E27" s="10">
        <v>12.0</v>
      </c>
      <c r="F27" s="11" t="s">
        <v>76</v>
      </c>
      <c r="G27" s="10" t="s">
        <v>141</v>
      </c>
      <c r="H27" s="10" t="s">
        <v>37</v>
      </c>
      <c r="I27" s="10" t="s">
        <v>38</v>
      </c>
      <c r="J27" s="10" t="s">
        <v>142</v>
      </c>
      <c r="K27" s="10" t="s">
        <v>143</v>
      </c>
      <c r="L27" s="12" t="s">
        <v>144</v>
      </c>
    </row>
    <row r="28" ht="15.75" customHeight="1">
      <c r="A28" s="12"/>
      <c r="B28" s="10" t="s">
        <v>20</v>
      </c>
      <c r="C28" s="10" t="s">
        <v>82</v>
      </c>
      <c r="D28" s="10" t="s">
        <v>22</v>
      </c>
      <c r="E28" s="10">
        <v>13.0</v>
      </c>
      <c r="F28" s="11" t="s">
        <v>145</v>
      </c>
      <c r="G28" s="10" t="s">
        <v>146</v>
      </c>
      <c r="H28" s="10" t="s">
        <v>37</v>
      </c>
      <c r="I28" s="10" t="s">
        <v>38</v>
      </c>
      <c r="J28" s="10" t="s">
        <v>147</v>
      </c>
      <c r="K28" s="10" t="s">
        <v>148</v>
      </c>
      <c r="L28" s="12" t="s">
        <v>149</v>
      </c>
    </row>
    <row r="29" ht="15.75" customHeight="1">
      <c r="A29" s="12"/>
      <c r="B29" s="10" t="s">
        <v>20</v>
      </c>
      <c r="C29" s="10" t="s">
        <v>82</v>
      </c>
      <c r="D29" s="10" t="s">
        <v>22</v>
      </c>
      <c r="E29" s="10">
        <v>14.0</v>
      </c>
      <c r="F29" s="11" t="s">
        <v>76</v>
      </c>
      <c r="G29" s="10" t="s">
        <v>141</v>
      </c>
      <c r="H29" s="10" t="s">
        <v>37</v>
      </c>
      <c r="I29" s="10" t="s">
        <v>38</v>
      </c>
      <c r="J29" s="10" t="s">
        <v>150</v>
      </c>
      <c r="K29" s="10" t="s">
        <v>151</v>
      </c>
      <c r="L29" s="12" t="s">
        <v>152</v>
      </c>
    </row>
    <row r="30" ht="15.75" customHeight="1">
      <c r="A30" s="12"/>
      <c r="B30" s="10" t="s">
        <v>20</v>
      </c>
      <c r="C30" s="10" t="s">
        <v>21</v>
      </c>
      <c r="D30" s="10" t="s">
        <v>153</v>
      </c>
      <c r="E30" s="10">
        <v>1.0</v>
      </c>
      <c r="F30" s="11" t="s">
        <v>52</v>
      </c>
      <c r="G30" s="10" t="s">
        <v>53</v>
      </c>
      <c r="H30" s="10" t="s">
        <v>25</v>
      </c>
      <c r="I30" s="10" t="s">
        <v>154</v>
      </c>
      <c r="J30" s="10" t="s">
        <v>155</v>
      </c>
      <c r="K30" s="11" t="s">
        <v>156</v>
      </c>
      <c r="L30" s="11" t="s">
        <v>157</v>
      </c>
    </row>
    <row r="31" ht="15.75" customHeight="1">
      <c r="A31" s="12"/>
      <c r="B31" s="10" t="s">
        <v>20</v>
      </c>
      <c r="C31" s="10" t="s">
        <v>21</v>
      </c>
      <c r="D31" s="10" t="s">
        <v>153</v>
      </c>
      <c r="E31" s="10">
        <v>2.0</v>
      </c>
      <c r="F31" s="11" t="s">
        <v>52</v>
      </c>
      <c r="G31" s="10" t="s">
        <v>53</v>
      </c>
      <c r="H31" s="10" t="s">
        <v>25</v>
      </c>
      <c r="I31" s="10" t="s">
        <v>154</v>
      </c>
      <c r="J31" s="10" t="s">
        <v>158</v>
      </c>
      <c r="K31" s="10" t="s">
        <v>159</v>
      </c>
      <c r="L31" s="10" t="s">
        <v>160</v>
      </c>
    </row>
    <row r="32" ht="15.75" customHeight="1">
      <c r="A32" s="12"/>
      <c r="B32" s="10" t="s">
        <v>20</v>
      </c>
      <c r="C32" s="10" t="s">
        <v>21</v>
      </c>
      <c r="D32" s="10" t="s">
        <v>153</v>
      </c>
      <c r="E32" s="10">
        <v>3.0</v>
      </c>
      <c r="F32" s="11" t="s">
        <v>42</v>
      </c>
      <c r="G32" s="10" t="s">
        <v>43</v>
      </c>
      <c r="H32" s="10" t="s">
        <v>25</v>
      </c>
      <c r="I32" s="10" t="s">
        <v>154</v>
      </c>
      <c r="J32" s="10" t="s">
        <v>161</v>
      </c>
      <c r="K32" s="10" t="s">
        <v>162</v>
      </c>
      <c r="L32" s="10" t="s">
        <v>163</v>
      </c>
    </row>
    <row r="33" ht="15.75" customHeight="1">
      <c r="A33" s="12"/>
      <c r="B33" s="10" t="s">
        <v>20</v>
      </c>
      <c r="C33" s="10" t="s">
        <v>21</v>
      </c>
      <c r="D33" s="10" t="s">
        <v>153</v>
      </c>
      <c r="E33" s="10">
        <v>4.0</v>
      </c>
      <c r="F33" s="11" t="s">
        <v>164</v>
      </c>
      <c r="G33" s="10" t="s">
        <v>165</v>
      </c>
      <c r="H33" s="10" t="s">
        <v>25</v>
      </c>
      <c r="I33" s="10" t="s">
        <v>154</v>
      </c>
      <c r="J33" s="10" t="s">
        <v>166</v>
      </c>
      <c r="K33" s="11" t="s">
        <v>167</v>
      </c>
      <c r="L33" s="11" t="s">
        <v>168</v>
      </c>
    </row>
    <row r="34" ht="15.75" customHeight="1">
      <c r="A34" s="12"/>
      <c r="B34" s="10" t="s">
        <v>20</v>
      </c>
      <c r="C34" s="10" t="s">
        <v>21</v>
      </c>
      <c r="D34" s="10" t="s">
        <v>153</v>
      </c>
      <c r="E34" s="10">
        <v>5.0</v>
      </c>
      <c r="F34" s="11" t="s">
        <v>169</v>
      </c>
      <c r="G34" s="10" t="s">
        <v>170</v>
      </c>
      <c r="H34" s="10" t="s">
        <v>171</v>
      </c>
      <c r="I34" s="11" t="s">
        <v>172</v>
      </c>
      <c r="J34" s="10" t="s">
        <v>173</v>
      </c>
      <c r="K34" s="11" t="s">
        <v>174</v>
      </c>
      <c r="L34" s="10" t="s">
        <v>175</v>
      </c>
    </row>
    <row r="35" ht="15.75" customHeight="1">
      <c r="A35" s="12"/>
      <c r="B35" s="10" t="s">
        <v>20</v>
      </c>
      <c r="C35" s="10" t="s">
        <v>21</v>
      </c>
      <c r="D35" s="10" t="s">
        <v>153</v>
      </c>
      <c r="E35" s="10">
        <v>6.0</v>
      </c>
      <c r="F35" s="11" t="s">
        <v>42</v>
      </c>
      <c r="G35" s="10" t="s">
        <v>43</v>
      </c>
      <c r="H35" s="10" t="s">
        <v>176</v>
      </c>
      <c r="I35" s="11" t="s">
        <v>177</v>
      </c>
      <c r="J35" s="10" t="s">
        <v>178</v>
      </c>
      <c r="K35" s="11" t="s">
        <v>179</v>
      </c>
      <c r="L35" s="10" t="s">
        <v>180</v>
      </c>
    </row>
    <row r="36" ht="15.75" customHeight="1">
      <c r="A36" s="12"/>
      <c r="B36" s="10" t="s">
        <v>20</v>
      </c>
      <c r="C36" s="10" t="s">
        <v>21</v>
      </c>
      <c r="D36" s="10" t="s">
        <v>153</v>
      </c>
      <c r="E36" s="10">
        <v>7.0</v>
      </c>
      <c r="F36" s="11" t="s">
        <v>42</v>
      </c>
      <c r="G36" s="10" t="s">
        <v>43</v>
      </c>
      <c r="H36" s="10" t="s">
        <v>176</v>
      </c>
      <c r="I36" s="11" t="s">
        <v>177</v>
      </c>
      <c r="J36" s="10" t="s">
        <v>181</v>
      </c>
      <c r="K36" s="10" t="s">
        <v>182</v>
      </c>
      <c r="L36" s="10" t="s">
        <v>183</v>
      </c>
    </row>
    <row r="37" ht="15.75" customHeight="1">
      <c r="A37" s="12"/>
      <c r="B37" s="10" t="s">
        <v>20</v>
      </c>
      <c r="C37" s="10" t="s">
        <v>21</v>
      </c>
      <c r="D37" s="10" t="s">
        <v>153</v>
      </c>
      <c r="E37" s="10">
        <v>8.0</v>
      </c>
      <c r="F37" s="11" t="s">
        <v>184</v>
      </c>
      <c r="G37" s="10" t="s">
        <v>185</v>
      </c>
      <c r="H37" s="10" t="s">
        <v>25</v>
      </c>
      <c r="I37" s="11" t="s">
        <v>186</v>
      </c>
      <c r="J37" s="10" t="s">
        <v>187</v>
      </c>
      <c r="K37" s="10" t="s">
        <v>188</v>
      </c>
      <c r="L37" s="10" t="s">
        <v>189</v>
      </c>
    </row>
    <row r="38" ht="15.75" customHeight="1">
      <c r="A38" s="12"/>
      <c r="B38" s="10" t="s">
        <v>20</v>
      </c>
      <c r="C38" s="10" t="s">
        <v>21</v>
      </c>
      <c r="D38" s="10" t="s">
        <v>153</v>
      </c>
      <c r="E38" s="10">
        <v>9.0</v>
      </c>
      <c r="F38" s="11" t="s">
        <v>190</v>
      </c>
      <c r="G38" s="10" t="s">
        <v>191</v>
      </c>
      <c r="H38" s="10" t="s">
        <v>25</v>
      </c>
      <c r="I38" s="11" t="s">
        <v>186</v>
      </c>
      <c r="J38" s="10" t="s">
        <v>192</v>
      </c>
      <c r="K38" s="10" t="s">
        <v>193</v>
      </c>
      <c r="L38" s="11" t="s">
        <v>194</v>
      </c>
    </row>
    <row r="39" ht="15.75" customHeight="1">
      <c r="A39" s="12"/>
      <c r="B39" s="10" t="s">
        <v>20</v>
      </c>
      <c r="C39" s="10" t="s">
        <v>21</v>
      </c>
      <c r="D39" s="10" t="s">
        <v>153</v>
      </c>
      <c r="E39" s="10">
        <v>10.0</v>
      </c>
      <c r="F39" s="11" t="s">
        <v>164</v>
      </c>
      <c r="G39" s="10" t="s">
        <v>165</v>
      </c>
      <c r="H39" s="10" t="s">
        <v>25</v>
      </c>
      <c r="I39" s="11" t="s">
        <v>186</v>
      </c>
      <c r="J39" s="10" t="s">
        <v>195</v>
      </c>
      <c r="K39" s="11" t="s">
        <v>196</v>
      </c>
      <c r="L39" s="11" t="s">
        <v>197</v>
      </c>
    </row>
    <row r="40" ht="15.75" customHeight="1">
      <c r="A40" s="12"/>
      <c r="B40" s="10" t="s">
        <v>20</v>
      </c>
      <c r="C40" s="10" t="s">
        <v>21</v>
      </c>
      <c r="D40" s="10" t="s">
        <v>153</v>
      </c>
      <c r="E40" s="10">
        <v>11.0</v>
      </c>
      <c r="F40" s="11" t="s">
        <v>198</v>
      </c>
      <c r="G40" s="10" t="s">
        <v>199</v>
      </c>
      <c r="H40" s="10" t="s">
        <v>25</v>
      </c>
      <c r="I40" s="11" t="s">
        <v>186</v>
      </c>
      <c r="J40" s="10" t="s">
        <v>200</v>
      </c>
      <c r="K40" s="10" t="s">
        <v>201</v>
      </c>
      <c r="L40" s="11" t="s">
        <v>202</v>
      </c>
    </row>
    <row r="41" ht="15.75" customHeight="1">
      <c r="A41" s="12"/>
      <c r="B41" s="10" t="s">
        <v>20</v>
      </c>
      <c r="C41" s="10" t="s">
        <v>21</v>
      </c>
      <c r="D41" s="10" t="s">
        <v>153</v>
      </c>
      <c r="E41" s="10">
        <v>12.0</v>
      </c>
      <c r="F41" s="11" t="s">
        <v>98</v>
      </c>
      <c r="G41" s="10" t="s">
        <v>99</v>
      </c>
      <c r="H41" s="10" t="s">
        <v>25</v>
      </c>
      <c r="I41" s="11" t="s">
        <v>203</v>
      </c>
      <c r="J41" s="10" t="s">
        <v>204</v>
      </c>
      <c r="K41" s="11" t="s">
        <v>205</v>
      </c>
      <c r="L41" s="10" t="s">
        <v>206</v>
      </c>
    </row>
    <row r="42" ht="15.75" customHeight="1">
      <c r="A42" s="12"/>
      <c r="B42" s="10" t="s">
        <v>20</v>
      </c>
      <c r="C42" s="10" t="s">
        <v>21</v>
      </c>
      <c r="D42" s="10" t="s">
        <v>153</v>
      </c>
      <c r="E42" s="10">
        <v>13.0</v>
      </c>
      <c r="F42" s="11" t="s">
        <v>207</v>
      </c>
      <c r="G42" s="10" t="s">
        <v>208</v>
      </c>
      <c r="H42" s="10" t="s">
        <v>25</v>
      </c>
      <c r="I42" s="10" t="s">
        <v>209</v>
      </c>
      <c r="J42" s="10" t="s">
        <v>210</v>
      </c>
      <c r="K42" s="11" t="s">
        <v>211</v>
      </c>
      <c r="L42" s="10" t="s">
        <v>212</v>
      </c>
    </row>
    <row r="43" ht="15.75" customHeight="1">
      <c r="A43" s="12"/>
      <c r="B43" s="10" t="s">
        <v>20</v>
      </c>
      <c r="C43" s="10" t="s">
        <v>21</v>
      </c>
      <c r="D43" s="10" t="s">
        <v>153</v>
      </c>
      <c r="E43" s="10">
        <v>14.0</v>
      </c>
      <c r="F43" s="11" t="s">
        <v>207</v>
      </c>
      <c r="G43" s="10" t="s">
        <v>208</v>
      </c>
      <c r="H43" s="10" t="s">
        <v>25</v>
      </c>
      <c r="I43" s="10" t="s">
        <v>209</v>
      </c>
      <c r="J43" s="10" t="s">
        <v>213</v>
      </c>
      <c r="K43" s="11" t="s">
        <v>211</v>
      </c>
      <c r="L43" s="10" t="s">
        <v>214</v>
      </c>
    </row>
    <row r="44" ht="15.75" customHeight="1">
      <c r="A44" s="12"/>
      <c r="B44" s="10" t="s">
        <v>20</v>
      </c>
      <c r="C44" s="10" t="s">
        <v>82</v>
      </c>
      <c r="D44" s="10" t="s">
        <v>153</v>
      </c>
      <c r="E44" s="10">
        <v>1.0</v>
      </c>
      <c r="F44" s="11" t="s">
        <v>121</v>
      </c>
      <c r="G44" s="10" t="s">
        <v>215</v>
      </c>
      <c r="H44" s="10" t="s">
        <v>37</v>
      </c>
      <c r="I44" s="11" t="s">
        <v>216</v>
      </c>
      <c r="J44" s="10" t="s">
        <v>217</v>
      </c>
      <c r="K44" s="11" t="s">
        <v>218</v>
      </c>
      <c r="L44" s="10" t="s">
        <v>219</v>
      </c>
    </row>
    <row r="45" ht="15.75" customHeight="1">
      <c r="A45" s="12"/>
      <c r="B45" s="10" t="s">
        <v>20</v>
      </c>
      <c r="C45" s="10" t="s">
        <v>82</v>
      </c>
      <c r="D45" s="10" t="s">
        <v>153</v>
      </c>
      <c r="E45" s="10">
        <v>2.0</v>
      </c>
      <c r="F45" s="11" t="s">
        <v>121</v>
      </c>
      <c r="G45" s="10" t="s">
        <v>220</v>
      </c>
      <c r="H45" s="10" t="s">
        <v>37</v>
      </c>
      <c r="I45" s="11" t="s">
        <v>216</v>
      </c>
      <c r="J45" s="10" t="s">
        <v>221</v>
      </c>
      <c r="K45" s="11" t="s">
        <v>222</v>
      </c>
      <c r="L45" s="10" t="s">
        <v>223</v>
      </c>
    </row>
    <row r="46" ht="15.75" customHeight="1">
      <c r="A46" s="12"/>
      <c r="B46" s="10" t="s">
        <v>20</v>
      </c>
      <c r="C46" s="10" t="s">
        <v>82</v>
      </c>
      <c r="D46" s="10" t="s">
        <v>153</v>
      </c>
      <c r="E46" s="10">
        <v>3.0</v>
      </c>
      <c r="F46" s="11" t="s">
        <v>121</v>
      </c>
      <c r="G46" s="10" t="s">
        <v>220</v>
      </c>
      <c r="H46" s="10" t="s">
        <v>37</v>
      </c>
      <c r="I46" s="11" t="s">
        <v>216</v>
      </c>
      <c r="J46" s="10" t="s">
        <v>224</v>
      </c>
      <c r="K46" s="11" t="s">
        <v>218</v>
      </c>
      <c r="L46" s="10" t="s">
        <v>225</v>
      </c>
    </row>
    <row r="47" ht="15.75" customHeight="1">
      <c r="A47" s="12"/>
      <c r="B47" s="10" t="s">
        <v>20</v>
      </c>
      <c r="C47" s="10" t="s">
        <v>82</v>
      </c>
      <c r="D47" s="10" t="s">
        <v>153</v>
      </c>
      <c r="E47" s="10">
        <v>4.0</v>
      </c>
      <c r="F47" s="11" t="s">
        <v>121</v>
      </c>
      <c r="G47" s="10" t="s">
        <v>220</v>
      </c>
      <c r="H47" s="10" t="s">
        <v>37</v>
      </c>
      <c r="I47" s="11" t="s">
        <v>216</v>
      </c>
      <c r="J47" s="10" t="s">
        <v>226</v>
      </c>
      <c r="K47" s="11" t="s">
        <v>227</v>
      </c>
      <c r="L47" s="10" t="s">
        <v>228</v>
      </c>
    </row>
    <row r="48" ht="15.75" customHeight="1">
      <c r="A48" s="12"/>
      <c r="B48" s="10" t="s">
        <v>20</v>
      </c>
      <c r="C48" s="10" t="s">
        <v>82</v>
      </c>
      <c r="D48" s="10" t="s">
        <v>153</v>
      </c>
      <c r="E48" s="10">
        <v>5.0</v>
      </c>
      <c r="F48" s="11" t="s">
        <v>121</v>
      </c>
      <c r="G48" s="10" t="s">
        <v>220</v>
      </c>
      <c r="H48" s="10" t="s">
        <v>37</v>
      </c>
      <c r="I48" s="11" t="s">
        <v>216</v>
      </c>
      <c r="J48" s="10" t="s">
        <v>229</v>
      </c>
      <c r="K48" s="11" t="s">
        <v>230</v>
      </c>
      <c r="L48" s="10" t="s">
        <v>231</v>
      </c>
    </row>
    <row r="49" ht="15.75" customHeight="1">
      <c r="A49" s="12"/>
      <c r="B49" s="10" t="s">
        <v>20</v>
      </c>
      <c r="C49" s="10" t="s">
        <v>82</v>
      </c>
      <c r="D49" s="10" t="s">
        <v>153</v>
      </c>
      <c r="E49" s="10">
        <v>6.0</v>
      </c>
      <c r="F49" s="11" t="s">
        <v>121</v>
      </c>
      <c r="G49" s="10" t="s">
        <v>220</v>
      </c>
      <c r="H49" s="10" t="s">
        <v>37</v>
      </c>
      <c r="I49" s="11" t="s">
        <v>216</v>
      </c>
      <c r="J49" s="10" t="s">
        <v>232</v>
      </c>
      <c r="K49" s="11" t="s">
        <v>230</v>
      </c>
      <c r="L49" s="10" t="s">
        <v>233</v>
      </c>
    </row>
    <row r="50" ht="15.75" customHeight="1">
      <c r="A50" s="12"/>
      <c r="B50" s="10" t="s">
        <v>20</v>
      </c>
      <c r="C50" s="10" t="s">
        <v>82</v>
      </c>
      <c r="D50" s="10" t="s">
        <v>153</v>
      </c>
      <c r="E50" s="10">
        <v>7.0</v>
      </c>
      <c r="F50" s="11" t="s">
        <v>234</v>
      </c>
      <c r="G50" s="10" t="s">
        <v>235</v>
      </c>
      <c r="H50" s="10" t="s">
        <v>171</v>
      </c>
      <c r="I50" s="10" t="s">
        <v>236</v>
      </c>
      <c r="J50" s="10" t="s">
        <v>237</v>
      </c>
      <c r="K50" s="10" t="s">
        <v>238</v>
      </c>
      <c r="L50" s="10" t="s">
        <v>239</v>
      </c>
    </row>
    <row r="51" ht="15.75" customHeight="1">
      <c r="A51" s="12"/>
      <c r="B51" s="10" t="s">
        <v>20</v>
      </c>
      <c r="C51" s="10" t="s">
        <v>82</v>
      </c>
      <c r="D51" s="10" t="s">
        <v>153</v>
      </c>
      <c r="E51" s="10">
        <v>8.0</v>
      </c>
      <c r="F51" s="11" t="s">
        <v>234</v>
      </c>
      <c r="G51" s="10" t="s">
        <v>235</v>
      </c>
      <c r="H51" s="10" t="s">
        <v>171</v>
      </c>
      <c r="I51" s="10" t="s">
        <v>236</v>
      </c>
      <c r="J51" s="10" t="s">
        <v>240</v>
      </c>
      <c r="K51" s="10" t="s">
        <v>238</v>
      </c>
      <c r="L51" s="10" t="s">
        <v>241</v>
      </c>
    </row>
    <row r="52" ht="15.75" customHeight="1">
      <c r="A52" s="12"/>
      <c r="B52" s="10" t="s">
        <v>20</v>
      </c>
      <c r="C52" s="10" t="s">
        <v>82</v>
      </c>
      <c r="D52" s="10" t="s">
        <v>153</v>
      </c>
      <c r="E52" s="10">
        <v>9.0</v>
      </c>
      <c r="F52" s="11" t="s">
        <v>242</v>
      </c>
      <c r="G52" s="10" t="s">
        <v>243</v>
      </c>
      <c r="H52" s="10" t="s">
        <v>171</v>
      </c>
      <c r="I52" s="10" t="s">
        <v>244</v>
      </c>
      <c r="J52" s="10" t="s">
        <v>245</v>
      </c>
      <c r="K52" s="11" t="s">
        <v>246</v>
      </c>
      <c r="L52" s="11" t="s">
        <v>247</v>
      </c>
    </row>
    <row r="53" ht="15.75" customHeight="1">
      <c r="A53" s="12"/>
      <c r="B53" s="10" t="s">
        <v>20</v>
      </c>
      <c r="C53" s="10" t="s">
        <v>82</v>
      </c>
      <c r="D53" s="10" t="s">
        <v>153</v>
      </c>
      <c r="E53" s="10">
        <v>10.0</v>
      </c>
      <c r="F53" s="11" t="s">
        <v>248</v>
      </c>
      <c r="G53" s="10" t="s">
        <v>249</v>
      </c>
      <c r="H53" s="10" t="s">
        <v>171</v>
      </c>
      <c r="I53" s="10" t="s">
        <v>244</v>
      </c>
      <c r="J53" s="10" t="s">
        <v>250</v>
      </c>
      <c r="K53" s="11" t="s">
        <v>246</v>
      </c>
      <c r="L53" s="11" t="s">
        <v>251</v>
      </c>
    </row>
    <row r="54" ht="15.75" customHeight="1">
      <c r="A54" s="12"/>
      <c r="B54" s="10" t="s">
        <v>20</v>
      </c>
      <c r="C54" s="10" t="s">
        <v>82</v>
      </c>
      <c r="D54" s="10" t="s">
        <v>153</v>
      </c>
      <c r="E54" s="10">
        <v>11.0</v>
      </c>
      <c r="F54" s="11" t="s">
        <v>252</v>
      </c>
      <c r="G54" s="10" t="s">
        <v>253</v>
      </c>
      <c r="H54" s="10" t="s">
        <v>25</v>
      </c>
      <c r="I54" s="10" t="s">
        <v>244</v>
      </c>
      <c r="J54" s="10" t="s">
        <v>254</v>
      </c>
      <c r="K54" s="11" t="s">
        <v>255</v>
      </c>
      <c r="L54" s="10" t="s">
        <v>256</v>
      </c>
    </row>
    <row r="55" ht="15.75" customHeight="1">
      <c r="A55" s="12"/>
      <c r="B55" s="10" t="s">
        <v>20</v>
      </c>
      <c r="C55" s="10" t="s">
        <v>82</v>
      </c>
      <c r="D55" s="10" t="s">
        <v>153</v>
      </c>
      <c r="E55" s="10">
        <v>12.0</v>
      </c>
      <c r="F55" s="11" t="s">
        <v>252</v>
      </c>
      <c r="G55" s="10" t="s">
        <v>253</v>
      </c>
      <c r="H55" s="10" t="s">
        <v>25</v>
      </c>
      <c r="I55" s="10" t="s">
        <v>244</v>
      </c>
      <c r="J55" s="10" t="s">
        <v>257</v>
      </c>
      <c r="K55" s="11" t="s">
        <v>255</v>
      </c>
      <c r="L55" s="11" t="s">
        <v>258</v>
      </c>
    </row>
    <row r="56" ht="15.75" customHeight="1">
      <c r="A56" s="12"/>
      <c r="B56" s="10" t="s">
        <v>20</v>
      </c>
      <c r="C56" s="10" t="s">
        <v>82</v>
      </c>
      <c r="D56" s="10" t="s">
        <v>153</v>
      </c>
      <c r="E56" s="10">
        <v>13.0</v>
      </c>
      <c r="F56" s="11" t="s">
        <v>252</v>
      </c>
      <c r="G56" s="10" t="s">
        <v>253</v>
      </c>
      <c r="H56" s="10" t="s">
        <v>25</v>
      </c>
      <c r="I56" s="10" t="s">
        <v>244</v>
      </c>
      <c r="J56" s="10" t="s">
        <v>259</v>
      </c>
      <c r="K56" s="11" t="s">
        <v>260</v>
      </c>
      <c r="L56" s="11" t="s">
        <v>261</v>
      </c>
    </row>
    <row r="57" ht="15.75" customHeight="1">
      <c r="A57" s="12"/>
      <c r="B57" s="10" t="s">
        <v>20</v>
      </c>
      <c r="C57" s="10" t="s">
        <v>82</v>
      </c>
      <c r="D57" s="10" t="s">
        <v>153</v>
      </c>
      <c r="E57" s="10">
        <v>14.0</v>
      </c>
      <c r="F57" s="11" t="s">
        <v>252</v>
      </c>
      <c r="G57" s="10" t="s">
        <v>253</v>
      </c>
      <c r="H57" s="10" t="s">
        <v>25</v>
      </c>
      <c r="I57" s="10" t="s">
        <v>244</v>
      </c>
      <c r="J57" s="10" t="s">
        <v>262</v>
      </c>
      <c r="K57" s="11" t="s">
        <v>255</v>
      </c>
      <c r="L57" s="10" t="s">
        <v>263</v>
      </c>
    </row>
    <row r="58" ht="15.75" customHeight="1">
      <c r="A58" s="12"/>
      <c r="B58" s="13" t="s">
        <v>20</v>
      </c>
      <c r="C58" s="13" t="s">
        <v>21</v>
      </c>
      <c r="D58" s="13" t="s">
        <v>264</v>
      </c>
      <c r="E58" s="13">
        <v>1.0</v>
      </c>
      <c r="F58" s="13" t="s">
        <v>265</v>
      </c>
      <c r="G58" s="13" t="s">
        <v>266</v>
      </c>
      <c r="H58" s="13" t="s">
        <v>25</v>
      </c>
      <c r="I58" s="13" t="s">
        <v>267</v>
      </c>
      <c r="J58" s="13" t="s">
        <v>268</v>
      </c>
      <c r="K58" s="13" t="s">
        <v>269</v>
      </c>
      <c r="L58" s="13" t="s">
        <v>270</v>
      </c>
    </row>
    <row r="59" ht="15.75" customHeight="1">
      <c r="A59" s="12"/>
      <c r="B59" s="13" t="s">
        <v>20</v>
      </c>
      <c r="C59" s="13" t="s">
        <v>21</v>
      </c>
      <c r="D59" s="13" t="s">
        <v>264</v>
      </c>
      <c r="E59" s="13">
        <v>2.0</v>
      </c>
      <c r="F59" s="13" t="s">
        <v>265</v>
      </c>
      <c r="G59" s="13" t="s">
        <v>266</v>
      </c>
      <c r="H59" s="13" t="s">
        <v>25</v>
      </c>
      <c r="I59" s="13" t="s">
        <v>267</v>
      </c>
      <c r="J59" s="13" t="s">
        <v>271</v>
      </c>
      <c r="K59" s="13" t="s">
        <v>272</v>
      </c>
      <c r="L59" s="13" t="s">
        <v>273</v>
      </c>
    </row>
    <row r="60" ht="15.75" customHeight="1">
      <c r="A60" s="12"/>
      <c r="B60" s="13" t="s">
        <v>20</v>
      </c>
      <c r="C60" s="13" t="s">
        <v>21</v>
      </c>
      <c r="D60" s="13" t="s">
        <v>264</v>
      </c>
      <c r="E60" s="13">
        <v>3.0</v>
      </c>
      <c r="F60" s="13" t="s">
        <v>265</v>
      </c>
      <c r="G60" s="13" t="s">
        <v>266</v>
      </c>
      <c r="H60" s="13" t="s">
        <v>25</v>
      </c>
      <c r="I60" s="13" t="s">
        <v>267</v>
      </c>
      <c r="J60" s="13" t="s">
        <v>274</v>
      </c>
      <c r="K60" s="13" t="s">
        <v>275</v>
      </c>
      <c r="L60" s="13" t="s">
        <v>276</v>
      </c>
    </row>
    <row r="61" ht="15.75" customHeight="1">
      <c r="A61" s="12"/>
      <c r="B61" s="13" t="s">
        <v>20</v>
      </c>
      <c r="C61" s="13" t="s">
        <v>21</v>
      </c>
      <c r="D61" s="13" t="s">
        <v>264</v>
      </c>
      <c r="E61" s="13">
        <v>4.0</v>
      </c>
      <c r="F61" s="13" t="s">
        <v>265</v>
      </c>
      <c r="G61" s="13" t="s">
        <v>266</v>
      </c>
      <c r="H61" s="13" t="s">
        <v>25</v>
      </c>
      <c r="I61" s="13" t="s">
        <v>267</v>
      </c>
      <c r="J61" s="13" t="s">
        <v>277</v>
      </c>
      <c r="K61" s="13" t="s">
        <v>278</v>
      </c>
      <c r="L61" s="13" t="s">
        <v>276</v>
      </c>
    </row>
    <row r="62" ht="15.75" customHeight="1">
      <c r="A62" s="12"/>
      <c r="B62" s="13" t="s">
        <v>20</v>
      </c>
      <c r="C62" s="13" t="s">
        <v>21</v>
      </c>
      <c r="D62" s="13" t="s">
        <v>264</v>
      </c>
      <c r="E62" s="13">
        <v>5.0</v>
      </c>
      <c r="F62" s="13" t="s">
        <v>279</v>
      </c>
      <c r="G62" s="13" t="s">
        <v>280</v>
      </c>
      <c r="H62" s="13" t="s">
        <v>281</v>
      </c>
      <c r="I62" s="13" t="s">
        <v>282</v>
      </c>
      <c r="J62" s="13" t="s">
        <v>283</v>
      </c>
      <c r="K62" s="13" t="s">
        <v>284</v>
      </c>
      <c r="L62" s="13" t="s">
        <v>285</v>
      </c>
    </row>
    <row r="63" ht="15.75" customHeight="1">
      <c r="A63" s="12"/>
      <c r="B63" s="13" t="s">
        <v>20</v>
      </c>
      <c r="C63" s="13" t="s">
        <v>21</v>
      </c>
      <c r="D63" s="13" t="s">
        <v>264</v>
      </c>
      <c r="E63" s="13">
        <v>6.0</v>
      </c>
      <c r="F63" s="13" t="s">
        <v>279</v>
      </c>
      <c r="G63" s="13" t="s">
        <v>280</v>
      </c>
      <c r="H63" s="13" t="s">
        <v>281</v>
      </c>
      <c r="I63" s="13" t="s">
        <v>282</v>
      </c>
      <c r="J63" s="13" t="s">
        <v>286</v>
      </c>
      <c r="K63" s="13" t="s">
        <v>284</v>
      </c>
      <c r="L63" s="13" t="s">
        <v>287</v>
      </c>
    </row>
    <row r="64" ht="15.75" customHeight="1">
      <c r="A64" s="12"/>
      <c r="B64" s="13" t="s">
        <v>20</v>
      </c>
      <c r="C64" s="13" t="s">
        <v>21</v>
      </c>
      <c r="D64" s="13" t="s">
        <v>264</v>
      </c>
      <c r="E64" s="13">
        <v>7.0</v>
      </c>
      <c r="F64" s="13" t="s">
        <v>288</v>
      </c>
      <c r="G64" s="13" t="s">
        <v>289</v>
      </c>
      <c r="H64" s="13" t="s">
        <v>25</v>
      </c>
      <c r="I64" s="13" t="s">
        <v>282</v>
      </c>
      <c r="J64" s="13" t="s">
        <v>290</v>
      </c>
      <c r="K64" s="13" t="s">
        <v>291</v>
      </c>
      <c r="L64" s="13" t="s">
        <v>292</v>
      </c>
    </row>
    <row r="65" ht="15.75" customHeight="1">
      <c r="A65" s="12"/>
      <c r="B65" s="13" t="s">
        <v>20</v>
      </c>
      <c r="C65" s="13" t="s">
        <v>21</v>
      </c>
      <c r="D65" s="13" t="s">
        <v>264</v>
      </c>
      <c r="E65" s="13">
        <v>8.0</v>
      </c>
      <c r="F65" s="13" t="s">
        <v>288</v>
      </c>
      <c r="G65" s="13" t="s">
        <v>289</v>
      </c>
      <c r="H65" s="13" t="s">
        <v>25</v>
      </c>
      <c r="I65" s="13" t="s">
        <v>282</v>
      </c>
      <c r="J65" s="13" t="s">
        <v>293</v>
      </c>
      <c r="K65" s="13" t="s">
        <v>291</v>
      </c>
      <c r="L65" s="13" t="s">
        <v>294</v>
      </c>
    </row>
    <row r="66" ht="15.75" customHeight="1">
      <c r="A66" s="12"/>
      <c r="B66" s="13" t="s">
        <v>20</v>
      </c>
      <c r="C66" s="13" t="s">
        <v>21</v>
      </c>
      <c r="D66" s="13" t="s">
        <v>264</v>
      </c>
      <c r="E66" s="13">
        <v>9.0</v>
      </c>
      <c r="F66" s="13" t="s">
        <v>295</v>
      </c>
      <c r="G66" s="13" t="s">
        <v>296</v>
      </c>
      <c r="H66" s="13" t="s">
        <v>25</v>
      </c>
      <c r="I66" s="13" t="s">
        <v>297</v>
      </c>
      <c r="J66" s="13" t="s">
        <v>298</v>
      </c>
      <c r="K66" s="13" t="s">
        <v>299</v>
      </c>
      <c r="L66" s="13" t="s">
        <v>300</v>
      </c>
    </row>
    <row r="67" ht="15.75" customHeight="1">
      <c r="A67" s="12"/>
      <c r="B67" s="13" t="s">
        <v>20</v>
      </c>
      <c r="C67" s="13" t="s">
        <v>21</v>
      </c>
      <c r="D67" s="13" t="s">
        <v>264</v>
      </c>
      <c r="E67" s="13">
        <v>10.0</v>
      </c>
      <c r="F67" s="13" t="s">
        <v>288</v>
      </c>
      <c r="G67" s="13" t="s">
        <v>301</v>
      </c>
      <c r="H67" s="13" t="s">
        <v>25</v>
      </c>
      <c r="I67" s="13" t="s">
        <v>297</v>
      </c>
      <c r="J67" s="13" t="s">
        <v>302</v>
      </c>
      <c r="K67" s="13" t="s">
        <v>299</v>
      </c>
      <c r="L67" s="13" t="s">
        <v>303</v>
      </c>
    </row>
    <row r="68" ht="15.75" customHeight="1">
      <c r="A68" s="12"/>
      <c r="B68" s="13" t="s">
        <v>20</v>
      </c>
      <c r="C68" s="13" t="s">
        <v>21</v>
      </c>
      <c r="D68" s="13" t="s">
        <v>264</v>
      </c>
      <c r="E68" s="13">
        <v>11.0</v>
      </c>
      <c r="F68" s="13" t="s">
        <v>304</v>
      </c>
      <c r="G68" s="13" t="s">
        <v>305</v>
      </c>
      <c r="H68" s="13" t="s">
        <v>25</v>
      </c>
      <c r="I68" s="13" t="s">
        <v>306</v>
      </c>
      <c r="J68" s="13" t="s">
        <v>307</v>
      </c>
      <c r="K68" s="13" t="s">
        <v>308</v>
      </c>
      <c r="L68" s="13" t="s">
        <v>309</v>
      </c>
    </row>
    <row r="69" ht="15.75" customHeight="1">
      <c r="A69" s="12"/>
      <c r="B69" s="13" t="s">
        <v>20</v>
      </c>
      <c r="C69" s="13" t="s">
        <v>21</v>
      </c>
      <c r="D69" s="13" t="s">
        <v>264</v>
      </c>
      <c r="E69" s="13">
        <v>12.0</v>
      </c>
      <c r="F69" s="13" t="s">
        <v>304</v>
      </c>
      <c r="G69" s="13" t="s">
        <v>305</v>
      </c>
      <c r="H69" s="13" t="s">
        <v>25</v>
      </c>
      <c r="I69" s="13" t="s">
        <v>310</v>
      </c>
      <c r="J69" s="13" t="s">
        <v>311</v>
      </c>
      <c r="K69" s="13" t="s">
        <v>312</v>
      </c>
      <c r="L69" s="13" t="s">
        <v>309</v>
      </c>
    </row>
    <row r="70" ht="15.75" customHeight="1">
      <c r="A70" s="12"/>
      <c r="B70" s="13" t="s">
        <v>20</v>
      </c>
      <c r="C70" s="13" t="s">
        <v>21</v>
      </c>
      <c r="D70" s="13" t="s">
        <v>313</v>
      </c>
      <c r="E70" s="13">
        <v>1.0</v>
      </c>
      <c r="F70" s="13" t="s">
        <v>314</v>
      </c>
      <c r="G70" s="13" t="s">
        <v>315</v>
      </c>
      <c r="H70" s="13" t="s">
        <v>316</v>
      </c>
      <c r="I70" s="13" t="s">
        <v>317</v>
      </c>
      <c r="J70" s="13" t="s">
        <v>318</v>
      </c>
      <c r="K70" s="13" t="s">
        <v>319</v>
      </c>
      <c r="L70" s="13" t="s">
        <v>320</v>
      </c>
    </row>
    <row r="71" ht="15.75" customHeight="1">
      <c r="A71" s="12"/>
      <c r="B71" s="13" t="s">
        <v>20</v>
      </c>
      <c r="C71" s="13" t="s">
        <v>21</v>
      </c>
      <c r="D71" s="13" t="s">
        <v>313</v>
      </c>
      <c r="E71" s="13">
        <v>2.0</v>
      </c>
      <c r="F71" s="13" t="s">
        <v>321</v>
      </c>
      <c r="G71" s="13" t="s">
        <v>322</v>
      </c>
      <c r="H71" s="13" t="s">
        <v>316</v>
      </c>
      <c r="I71" s="13" t="s">
        <v>317</v>
      </c>
      <c r="J71" s="13" t="s">
        <v>323</v>
      </c>
      <c r="K71" s="13" t="s">
        <v>319</v>
      </c>
      <c r="L71" s="13" t="s">
        <v>324</v>
      </c>
    </row>
    <row r="72" ht="15.75" customHeight="1">
      <c r="A72" s="12"/>
      <c r="B72" s="13" t="s">
        <v>20</v>
      </c>
      <c r="C72" s="13" t="s">
        <v>21</v>
      </c>
      <c r="D72" s="13" t="s">
        <v>313</v>
      </c>
      <c r="E72" s="13">
        <v>3.0</v>
      </c>
      <c r="F72" s="13" t="s">
        <v>288</v>
      </c>
      <c r="G72" s="13" t="s">
        <v>301</v>
      </c>
      <c r="H72" s="13" t="s">
        <v>25</v>
      </c>
      <c r="I72" s="13" t="s">
        <v>282</v>
      </c>
      <c r="J72" s="13" t="s">
        <v>325</v>
      </c>
      <c r="K72" s="13" t="s">
        <v>326</v>
      </c>
      <c r="L72" s="13" t="s">
        <v>327</v>
      </c>
    </row>
    <row r="73" ht="15.75" customHeight="1">
      <c r="A73" s="12"/>
      <c r="B73" s="13" t="s">
        <v>20</v>
      </c>
      <c r="C73" s="13" t="s">
        <v>21</v>
      </c>
      <c r="D73" s="13" t="s">
        <v>313</v>
      </c>
      <c r="E73" s="13">
        <v>4.0</v>
      </c>
      <c r="F73" s="13" t="s">
        <v>288</v>
      </c>
      <c r="G73" s="13" t="s">
        <v>289</v>
      </c>
      <c r="H73" s="13" t="s">
        <v>25</v>
      </c>
      <c r="I73" s="13" t="s">
        <v>282</v>
      </c>
      <c r="J73" s="13" t="s">
        <v>328</v>
      </c>
      <c r="K73" s="13" t="s">
        <v>329</v>
      </c>
      <c r="L73" s="13" t="s">
        <v>330</v>
      </c>
    </row>
    <row r="74" ht="15.75" customHeight="1">
      <c r="A74" s="12"/>
      <c r="B74" s="13" t="s">
        <v>20</v>
      </c>
      <c r="C74" s="13" t="s">
        <v>21</v>
      </c>
      <c r="D74" s="13" t="s">
        <v>313</v>
      </c>
      <c r="E74" s="13">
        <v>5.0</v>
      </c>
      <c r="F74" s="13" t="s">
        <v>331</v>
      </c>
      <c r="G74" s="13" t="s">
        <v>332</v>
      </c>
      <c r="H74" s="13" t="s">
        <v>333</v>
      </c>
      <c r="I74" s="13" t="s">
        <v>334</v>
      </c>
      <c r="J74" s="13" t="s">
        <v>335</v>
      </c>
      <c r="K74" s="13" t="s">
        <v>336</v>
      </c>
      <c r="L74" s="13" t="s">
        <v>337</v>
      </c>
    </row>
    <row r="75" ht="15.75" customHeight="1">
      <c r="A75" s="12"/>
      <c r="B75" s="13" t="s">
        <v>20</v>
      </c>
      <c r="C75" s="13" t="s">
        <v>21</v>
      </c>
      <c r="D75" s="13" t="s">
        <v>313</v>
      </c>
      <c r="E75" s="13">
        <v>6.0</v>
      </c>
      <c r="F75" s="13" t="s">
        <v>338</v>
      </c>
      <c r="G75" s="13" t="s">
        <v>339</v>
      </c>
      <c r="H75" s="13" t="s">
        <v>333</v>
      </c>
      <c r="I75" s="13" t="s">
        <v>334</v>
      </c>
      <c r="J75" s="13" t="s">
        <v>340</v>
      </c>
      <c r="K75" s="13" t="s">
        <v>341</v>
      </c>
      <c r="L75" s="13" t="s">
        <v>342</v>
      </c>
    </row>
    <row r="76" ht="15.75" customHeight="1">
      <c r="A76" s="12"/>
      <c r="B76" s="13" t="s">
        <v>20</v>
      </c>
      <c r="C76" s="13" t="s">
        <v>21</v>
      </c>
      <c r="D76" s="13" t="s">
        <v>313</v>
      </c>
      <c r="E76" s="13">
        <v>7.0</v>
      </c>
      <c r="F76" s="13" t="s">
        <v>115</v>
      </c>
      <c r="G76" s="13" t="s">
        <v>343</v>
      </c>
      <c r="H76" s="13" t="s">
        <v>333</v>
      </c>
      <c r="I76" s="13" t="s">
        <v>344</v>
      </c>
      <c r="J76" s="13" t="s">
        <v>345</v>
      </c>
      <c r="K76" s="13" t="s">
        <v>346</v>
      </c>
      <c r="L76" s="13" t="s">
        <v>347</v>
      </c>
    </row>
    <row r="77" ht="15.75" customHeight="1">
      <c r="A77" s="12"/>
      <c r="B77" s="13" t="s">
        <v>20</v>
      </c>
      <c r="C77" s="13" t="s">
        <v>21</v>
      </c>
      <c r="D77" s="13" t="s">
        <v>313</v>
      </c>
      <c r="E77" s="13">
        <v>8.0</v>
      </c>
      <c r="F77" s="13" t="s">
        <v>115</v>
      </c>
      <c r="G77" s="13" t="s">
        <v>343</v>
      </c>
      <c r="H77" s="13" t="s">
        <v>25</v>
      </c>
      <c r="I77" s="13" t="s">
        <v>344</v>
      </c>
      <c r="J77" s="13" t="s">
        <v>348</v>
      </c>
      <c r="K77" s="13" t="s">
        <v>349</v>
      </c>
      <c r="L77" s="13" t="s">
        <v>350</v>
      </c>
    </row>
    <row r="78" ht="15.75" customHeight="1">
      <c r="A78" s="12"/>
      <c r="B78" s="13" t="s">
        <v>20</v>
      </c>
      <c r="C78" s="13" t="s">
        <v>21</v>
      </c>
      <c r="D78" s="13" t="s">
        <v>313</v>
      </c>
      <c r="E78" s="13">
        <v>9.0</v>
      </c>
      <c r="F78" s="13" t="s">
        <v>115</v>
      </c>
      <c r="G78" s="13" t="s">
        <v>343</v>
      </c>
      <c r="H78" s="13" t="s">
        <v>25</v>
      </c>
      <c r="I78" s="13" t="s">
        <v>344</v>
      </c>
      <c r="J78" s="13" t="s">
        <v>351</v>
      </c>
      <c r="K78" s="13" t="s">
        <v>349</v>
      </c>
      <c r="L78" s="13" t="s">
        <v>352</v>
      </c>
    </row>
    <row r="79" ht="15.75" customHeight="1">
      <c r="A79" s="12"/>
      <c r="B79" s="13" t="s">
        <v>20</v>
      </c>
      <c r="C79" s="13" t="s">
        <v>21</v>
      </c>
      <c r="D79" s="13" t="s">
        <v>313</v>
      </c>
      <c r="E79" s="13">
        <v>10.0</v>
      </c>
      <c r="F79" s="13" t="s">
        <v>115</v>
      </c>
      <c r="G79" s="13" t="s">
        <v>343</v>
      </c>
      <c r="H79" s="13" t="s">
        <v>25</v>
      </c>
      <c r="I79" s="13" t="s">
        <v>353</v>
      </c>
      <c r="J79" s="13" t="s">
        <v>354</v>
      </c>
      <c r="K79" s="13" t="s">
        <v>355</v>
      </c>
      <c r="L79" s="13" t="s">
        <v>356</v>
      </c>
    </row>
    <row r="80" ht="15.75" customHeight="1">
      <c r="A80" s="12"/>
      <c r="B80" s="13" t="s">
        <v>20</v>
      </c>
      <c r="C80" s="13" t="s">
        <v>21</v>
      </c>
      <c r="D80" s="13" t="s">
        <v>313</v>
      </c>
      <c r="E80" s="13">
        <v>11.0</v>
      </c>
      <c r="F80" s="13" t="s">
        <v>357</v>
      </c>
      <c r="G80" s="13" t="s">
        <v>358</v>
      </c>
      <c r="H80" s="13" t="s">
        <v>25</v>
      </c>
      <c r="I80" s="13" t="s">
        <v>353</v>
      </c>
      <c r="J80" s="13" t="s">
        <v>359</v>
      </c>
      <c r="K80" s="13" t="s">
        <v>360</v>
      </c>
      <c r="L80" s="13" t="s">
        <v>361</v>
      </c>
    </row>
    <row r="81" ht="15.75" customHeight="1">
      <c r="A81" s="12"/>
      <c r="B81" s="13" t="s">
        <v>20</v>
      </c>
      <c r="C81" s="13" t="s">
        <v>21</v>
      </c>
      <c r="D81" s="13" t="s">
        <v>313</v>
      </c>
      <c r="E81" s="13">
        <v>12.0</v>
      </c>
      <c r="F81" s="13" t="s">
        <v>357</v>
      </c>
      <c r="G81" s="13" t="s">
        <v>358</v>
      </c>
      <c r="H81" s="13" t="s">
        <v>25</v>
      </c>
      <c r="I81" s="13" t="s">
        <v>353</v>
      </c>
      <c r="J81" s="13" t="s">
        <v>362</v>
      </c>
      <c r="K81" s="13" t="s">
        <v>360</v>
      </c>
      <c r="L81" s="13" t="s">
        <v>361</v>
      </c>
    </row>
    <row r="82" ht="15.75" customHeight="1">
      <c r="A82" s="12"/>
      <c r="B82" s="13" t="s">
        <v>20</v>
      </c>
      <c r="C82" s="13" t="s">
        <v>82</v>
      </c>
      <c r="D82" s="13" t="s">
        <v>264</v>
      </c>
      <c r="E82" s="13">
        <v>1.0</v>
      </c>
      <c r="F82" s="13" t="s">
        <v>121</v>
      </c>
      <c r="G82" s="13" t="s">
        <v>122</v>
      </c>
      <c r="H82" s="13" t="s">
        <v>25</v>
      </c>
      <c r="I82" s="13" t="s">
        <v>363</v>
      </c>
      <c r="J82" s="13" t="s">
        <v>364</v>
      </c>
      <c r="K82" s="13" t="s">
        <v>365</v>
      </c>
      <c r="L82" s="13" t="s">
        <v>366</v>
      </c>
    </row>
    <row r="83" ht="15.75" customHeight="1">
      <c r="A83" s="12"/>
      <c r="B83" s="13" t="s">
        <v>20</v>
      </c>
      <c r="C83" s="13" t="s">
        <v>82</v>
      </c>
      <c r="D83" s="13" t="s">
        <v>264</v>
      </c>
      <c r="E83" s="13">
        <v>2.0</v>
      </c>
      <c r="F83" s="13" t="s">
        <v>121</v>
      </c>
      <c r="G83" s="13" t="s">
        <v>122</v>
      </c>
      <c r="H83" s="13" t="s">
        <v>25</v>
      </c>
      <c r="I83" s="13" t="s">
        <v>363</v>
      </c>
      <c r="J83" s="13" t="s">
        <v>367</v>
      </c>
      <c r="K83" s="13" t="s">
        <v>368</v>
      </c>
      <c r="L83" s="13" t="s">
        <v>369</v>
      </c>
    </row>
    <row r="84" ht="15.75" customHeight="1">
      <c r="A84" s="12"/>
      <c r="B84" s="13" t="s">
        <v>20</v>
      </c>
      <c r="C84" s="13" t="s">
        <v>82</v>
      </c>
      <c r="D84" s="13" t="s">
        <v>264</v>
      </c>
      <c r="E84" s="13">
        <v>3.0</v>
      </c>
      <c r="F84" s="13" t="s">
        <v>314</v>
      </c>
      <c r="G84" s="13" t="s">
        <v>315</v>
      </c>
      <c r="H84" s="13" t="s">
        <v>25</v>
      </c>
      <c r="I84" s="13" t="s">
        <v>363</v>
      </c>
      <c r="J84" s="13" t="s">
        <v>370</v>
      </c>
      <c r="K84" s="13" t="s">
        <v>371</v>
      </c>
      <c r="L84" s="13" t="s">
        <v>372</v>
      </c>
    </row>
    <row r="85" ht="15.75" customHeight="1">
      <c r="A85" s="12"/>
      <c r="B85" s="13" t="s">
        <v>20</v>
      </c>
      <c r="C85" s="13" t="s">
        <v>82</v>
      </c>
      <c r="D85" s="13" t="s">
        <v>264</v>
      </c>
      <c r="E85" s="13">
        <v>4.0</v>
      </c>
      <c r="F85" s="13" t="s">
        <v>373</v>
      </c>
      <c r="G85" s="13" t="s">
        <v>374</v>
      </c>
      <c r="H85" s="13" t="s">
        <v>25</v>
      </c>
      <c r="I85" s="13" t="s">
        <v>363</v>
      </c>
      <c r="J85" s="13" t="s">
        <v>375</v>
      </c>
      <c r="K85" s="13" t="s">
        <v>376</v>
      </c>
      <c r="L85" s="13" t="s">
        <v>377</v>
      </c>
    </row>
    <row r="86" ht="15.75" customHeight="1">
      <c r="A86" s="12"/>
      <c r="B86" s="13" t="s">
        <v>20</v>
      </c>
      <c r="C86" s="13" t="s">
        <v>82</v>
      </c>
      <c r="D86" s="13" t="s">
        <v>264</v>
      </c>
      <c r="E86" s="13">
        <v>5.0</v>
      </c>
      <c r="F86" s="13" t="s">
        <v>378</v>
      </c>
      <c r="G86" s="13" t="s">
        <v>379</v>
      </c>
      <c r="H86" s="13" t="s">
        <v>25</v>
      </c>
      <c r="I86" s="13" t="s">
        <v>380</v>
      </c>
      <c r="J86" s="13" t="s">
        <v>381</v>
      </c>
      <c r="K86" s="13" t="s">
        <v>382</v>
      </c>
      <c r="L86" s="13" t="s">
        <v>383</v>
      </c>
    </row>
    <row r="87" ht="15.75" customHeight="1">
      <c r="A87" s="12"/>
      <c r="B87" s="13" t="s">
        <v>20</v>
      </c>
      <c r="C87" s="13" t="s">
        <v>82</v>
      </c>
      <c r="D87" s="13" t="s">
        <v>264</v>
      </c>
      <c r="E87" s="13">
        <v>6.0</v>
      </c>
      <c r="F87" s="13" t="s">
        <v>121</v>
      </c>
      <c r="G87" s="13" t="s">
        <v>122</v>
      </c>
      <c r="H87" s="13" t="s">
        <v>25</v>
      </c>
      <c r="I87" s="13" t="s">
        <v>384</v>
      </c>
      <c r="J87" s="13" t="s">
        <v>385</v>
      </c>
      <c r="K87" s="13" t="s">
        <v>386</v>
      </c>
      <c r="L87" s="13" t="s">
        <v>387</v>
      </c>
    </row>
    <row r="88" ht="15.75" customHeight="1">
      <c r="A88" s="12"/>
      <c r="B88" s="13" t="s">
        <v>20</v>
      </c>
      <c r="C88" s="13" t="s">
        <v>82</v>
      </c>
      <c r="D88" s="13" t="s">
        <v>264</v>
      </c>
      <c r="E88" s="13">
        <v>7.0</v>
      </c>
      <c r="F88" s="13" t="s">
        <v>121</v>
      </c>
      <c r="G88" s="13" t="s">
        <v>122</v>
      </c>
      <c r="H88" s="13" t="s">
        <v>25</v>
      </c>
      <c r="I88" s="13" t="s">
        <v>384</v>
      </c>
      <c r="J88" s="13" t="s">
        <v>388</v>
      </c>
      <c r="K88" s="13" t="s">
        <v>389</v>
      </c>
      <c r="L88" s="13" t="s">
        <v>390</v>
      </c>
    </row>
    <row r="89" ht="15.75" customHeight="1">
      <c r="A89" s="12"/>
      <c r="B89" s="13" t="s">
        <v>20</v>
      </c>
      <c r="C89" s="13" t="s">
        <v>82</v>
      </c>
      <c r="D89" s="13" t="s">
        <v>264</v>
      </c>
      <c r="E89" s="13">
        <v>8.0</v>
      </c>
      <c r="F89" s="13" t="s">
        <v>121</v>
      </c>
      <c r="G89" s="13" t="s">
        <v>122</v>
      </c>
      <c r="H89" s="13" t="s">
        <v>25</v>
      </c>
      <c r="I89" s="13" t="s">
        <v>384</v>
      </c>
      <c r="J89" s="13" t="s">
        <v>391</v>
      </c>
      <c r="K89" s="13" t="s">
        <v>392</v>
      </c>
      <c r="L89" s="13" t="s">
        <v>393</v>
      </c>
    </row>
    <row r="90" ht="15.75" customHeight="1">
      <c r="A90" s="12"/>
      <c r="B90" s="13" t="s">
        <v>20</v>
      </c>
      <c r="C90" s="13" t="s">
        <v>82</v>
      </c>
      <c r="D90" s="13" t="s">
        <v>264</v>
      </c>
      <c r="E90" s="13">
        <v>9.0</v>
      </c>
      <c r="F90" s="13" t="s">
        <v>121</v>
      </c>
      <c r="G90" s="13" t="s">
        <v>122</v>
      </c>
      <c r="H90" s="13" t="s">
        <v>25</v>
      </c>
      <c r="I90" s="13" t="s">
        <v>394</v>
      </c>
      <c r="J90" s="13" t="s">
        <v>395</v>
      </c>
      <c r="K90" s="13" t="s">
        <v>396</v>
      </c>
      <c r="L90" s="13" t="s">
        <v>397</v>
      </c>
    </row>
    <row r="91" ht="15.75" customHeight="1">
      <c r="A91" s="12"/>
      <c r="B91" s="13" t="s">
        <v>20</v>
      </c>
      <c r="C91" s="13" t="s">
        <v>82</v>
      </c>
      <c r="D91" s="13" t="s">
        <v>264</v>
      </c>
      <c r="E91" s="13">
        <v>10.0</v>
      </c>
      <c r="F91" s="13" t="s">
        <v>378</v>
      </c>
      <c r="G91" s="13" t="s">
        <v>379</v>
      </c>
      <c r="H91" s="13" t="s">
        <v>25</v>
      </c>
      <c r="I91" s="13" t="s">
        <v>398</v>
      </c>
      <c r="J91" s="13" t="s">
        <v>399</v>
      </c>
      <c r="K91" s="13" t="s">
        <v>400</v>
      </c>
      <c r="L91" s="13" t="s">
        <v>401</v>
      </c>
    </row>
    <row r="92" ht="15.75" customHeight="1">
      <c r="A92" s="12"/>
      <c r="B92" s="13" t="s">
        <v>20</v>
      </c>
      <c r="C92" s="13" t="s">
        <v>82</v>
      </c>
      <c r="D92" s="13" t="s">
        <v>264</v>
      </c>
      <c r="E92" s="13">
        <v>11.0</v>
      </c>
      <c r="F92" s="13" t="s">
        <v>378</v>
      </c>
      <c r="G92" s="13" t="s">
        <v>379</v>
      </c>
      <c r="H92" s="13" t="s">
        <v>25</v>
      </c>
      <c r="I92" s="13" t="s">
        <v>398</v>
      </c>
      <c r="J92" s="13" t="s">
        <v>402</v>
      </c>
      <c r="K92" s="13" t="s">
        <v>403</v>
      </c>
      <c r="L92" s="13" t="s">
        <v>404</v>
      </c>
    </row>
    <row r="93" ht="15.75" customHeight="1">
      <c r="A93" s="12"/>
      <c r="B93" s="13" t="s">
        <v>20</v>
      </c>
      <c r="C93" s="13" t="s">
        <v>82</v>
      </c>
      <c r="D93" s="13" t="s">
        <v>264</v>
      </c>
      <c r="E93" s="13">
        <v>12.0</v>
      </c>
      <c r="F93" s="13" t="s">
        <v>405</v>
      </c>
      <c r="G93" s="13" t="s">
        <v>406</v>
      </c>
      <c r="H93" s="13" t="s">
        <v>25</v>
      </c>
      <c r="I93" s="13" t="s">
        <v>398</v>
      </c>
      <c r="J93" s="13" t="s">
        <v>407</v>
      </c>
      <c r="K93" s="13" t="s">
        <v>408</v>
      </c>
      <c r="L93" s="13" t="s">
        <v>409</v>
      </c>
    </row>
    <row r="94" ht="15.75" customHeight="1">
      <c r="A94" s="12"/>
      <c r="B94" s="13" t="s">
        <v>20</v>
      </c>
      <c r="C94" s="13" t="s">
        <v>82</v>
      </c>
      <c r="D94" s="13" t="s">
        <v>313</v>
      </c>
      <c r="E94" s="13">
        <v>1.0</v>
      </c>
      <c r="F94" s="13" t="s">
        <v>405</v>
      </c>
      <c r="G94" s="13" t="s">
        <v>406</v>
      </c>
      <c r="H94" s="13" t="s">
        <v>410</v>
      </c>
      <c r="I94" s="13" t="s">
        <v>411</v>
      </c>
      <c r="J94" s="13" t="s">
        <v>412</v>
      </c>
      <c r="K94" s="13" t="s">
        <v>413</v>
      </c>
      <c r="L94" s="13" t="s">
        <v>414</v>
      </c>
    </row>
    <row r="95" ht="15.75" customHeight="1">
      <c r="A95" s="12"/>
      <c r="B95" s="13" t="s">
        <v>20</v>
      </c>
      <c r="C95" s="13" t="s">
        <v>82</v>
      </c>
      <c r="D95" s="13" t="s">
        <v>313</v>
      </c>
      <c r="E95" s="13">
        <v>2.0</v>
      </c>
      <c r="F95" s="13" t="s">
        <v>405</v>
      </c>
      <c r="G95" s="13" t="s">
        <v>406</v>
      </c>
      <c r="H95" s="13" t="s">
        <v>410</v>
      </c>
      <c r="I95" s="13" t="s">
        <v>411</v>
      </c>
      <c r="J95" s="13" t="s">
        <v>415</v>
      </c>
      <c r="K95" s="13" t="s">
        <v>416</v>
      </c>
      <c r="L95" s="13" t="s">
        <v>417</v>
      </c>
    </row>
    <row r="96" ht="15.75" customHeight="1">
      <c r="A96" s="12"/>
      <c r="B96" s="13" t="s">
        <v>20</v>
      </c>
      <c r="C96" s="13" t="s">
        <v>82</v>
      </c>
      <c r="D96" s="13" t="s">
        <v>313</v>
      </c>
      <c r="E96" s="13">
        <v>3.0</v>
      </c>
      <c r="F96" s="13" t="s">
        <v>418</v>
      </c>
      <c r="G96" s="13" t="s">
        <v>419</v>
      </c>
      <c r="H96" s="13" t="s">
        <v>420</v>
      </c>
      <c r="I96" s="13" t="s">
        <v>421</v>
      </c>
      <c r="J96" s="13" t="s">
        <v>422</v>
      </c>
      <c r="K96" s="13" t="s">
        <v>423</v>
      </c>
      <c r="L96" s="13" t="s">
        <v>424</v>
      </c>
    </row>
    <row r="97" ht="15.75" customHeight="1">
      <c r="A97" s="12"/>
      <c r="B97" s="13" t="s">
        <v>20</v>
      </c>
      <c r="C97" s="13" t="s">
        <v>82</v>
      </c>
      <c r="D97" s="13" t="s">
        <v>313</v>
      </c>
      <c r="E97" s="13">
        <v>4.0</v>
      </c>
      <c r="F97" s="13" t="s">
        <v>418</v>
      </c>
      <c r="G97" s="13" t="s">
        <v>419</v>
      </c>
      <c r="H97" s="13" t="s">
        <v>420</v>
      </c>
      <c r="I97" s="13" t="s">
        <v>425</v>
      </c>
      <c r="J97" s="13" t="s">
        <v>426</v>
      </c>
      <c r="K97" s="13" t="s">
        <v>427</v>
      </c>
      <c r="L97" s="13" t="s">
        <v>428</v>
      </c>
    </row>
    <row r="98" ht="15.75" customHeight="1">
      <c r="A98" s="12"/>
      <c r="B98" s="13" t="s">
        <v>20</v>
      </c>
      <c r="C98" s="13" t="s">
        <v>82</v>
      </c>
      <c r="D98" s="13" t="s">
        <v>313</v>
      </c>
      <c r="E98" s="13">
        <v>5.0</v>
      </c>
      <c r="F98" s="13" t="s">
        <v>405</v>
      </c>
      <c r="G98" s="13" t="s">
        <v>406</v>
      </c>
      <c r="H98" s="13" t="s">
        <v>177</v>
      </c>
      <c r="I98" s="13" t="s">
        <v>429</v>
      </c>
      <c r="J98" s="13" t="s">
        <v>430</v>
      </c>
      <c r="K98" s="13" t="s">
        <v>431</v>
      </c>
      <c r="L98" s="13" t="s">
        <v>432</v>
      </c>
    </row>
    <row r="99" ht="15.75" customHeight="1">
      <c r="A99" s="12"/>
      <c r="B99" s="13" t="s">
        <v>20</v>
      </c>
      <c r="C99" s="13" t="s">
        <v>82</v>
      </c>
      <c r="D99" s="13" t="s">
        <v>313</v>
      </c>
      <c r="E99" s="13">
        <v>6.0</v>
      </c>
      <c r="F99" s="13" t="s">
        <v>433</v>
      </c>
      <c r="G99" s="13" t="s">
        <v>434</v>
      </c>
      <c r="H99" s="13" t="s">
        <v>177</v>
      </c>
      <c r="I99" s="13" t="s">
        <v>435</v>
      </c>
      <c r="J99" s="13" t="s">
        <v>436</v>
      </c>
      <c r="K99" s="13" t="s">
        <v>437</v>
      </c>
      <c r="L99" s="13" t="s">
        <v>438</v>
      </c>
    </row>
    <row r="100" ht="15.75" customHeight="1">
      <c r="A100" s="12"/>
      <c r="B100" s="13" t="s">
        <v>20</v>
      </c>
      <c r="C100" s="13" t="s">
        <v>82</v>
      </c>
      <c r="D100" s="13" t="s">
        <v>313</v>
      </c>
      <c r="E100" s="13">
        <v>7.0</v>
      </c>
      <c r="F100" s="13" t="s">
        <v>439</v>
      </c>
      <c r="G100" s="13" t="s">
        <v>440</v>
      </c>
      <c r="H100" s="13" t="s">
        <v>441</v>
      </c>
      <c r="I100" s="14" t="s">
        <v>442</v>
      </c>
      <c r="J100" s="13" t="s">
        <v>443</v>
      </c>
      <c r="K100" s="13" t="s">
        <v>444</v>
      </c>
      <c r="L100" s="13" t="s">
        <v>445</v>
      </c>
    </row>
    <row r="101" ht="15.75" customHeight="1">
      <c r="A101" s="12"/>
      <c r="B101" s="13" t="s">
        <v>20</v>
      </c>
      <c r="C101" s="13" t="s">
        <v>82</v>
      </c>
      <c r="D101" s="13" t="s">
        <v>313</v>
      </c>
      <c r="E101" s="13">
        <v>8.0</v>
      </c>
      <c r="F101" s="13" t="s">
        <v>439</v>
      </c>
      <c r="G101" s="13" t="s">
        <v>440</v>
      </c>
      <c r="H101" s="13" t="s">
        <v>441</v>
      </c>
      <c r="I101" s="13" t="s">
        <v>446</v>
      </c>
      <c r="J101" s="13" t="s">
        <v>447</v>
      </c>
      <c r="K101" s="13" t="s">
        <v>448</v>
      </c>
      <c r="L101" s="13" t="s">
        <v>449</v>
      </c>
    </row>
    <row r="102" ht="15.75" customHeight="1">
      <c r="A102" s="12"/>
      <c r="B102" s="13" t="s">
        <v>20</v>
      </c>
      <c r="C102" s="13" t="s">
        <v>82</v>
      </c>
      <c r="D102" s="13" t="s">
        <v>313</v>
      </c>
      <c r="E102" s="13">
        <v>9.0</v>
      </c>
      <c r="F102" s="13" t="s">
        <v>439</v>
      </c>
      <c r="G102" s="13" t="s">
        <v>440</v>
      </c>
      <c r="H102" s="13" t="s">
        <v>441</v>
      </c>
      <c r="I102" s="13" t="s">
        <v>450</v>
      </c>
      <c r="J102" s="13" t="s">
        <v>451</v>
      </c>
      <c r="K102" s="13" t="s">
        <v>452</v>
      </c>
      <c r="L102" s="13" t="s">
        <v>453</v>
      </c>
    </row>
    <row r="103" ht="15.75" customHeight="1">
      <c r="A103" s="12"/>
      <c r="B103" s="13" t="s">
        <v>20</v>
      </c>
      <c r="C103" s="13" t="s">
        <v>82</v>
      </c>
      <c r="D103" s="13" t="s">
        <v>313</v>
      </c>
      <c r="E103" s="13">
        <v>10.0</v>
      </c>
      <c r="F103" s="13" t="s">
        <v>234</v>
      </c>
      <c r="G103" s="13" t="s">
        <v>235</v>
      </c>
      <c r="H103" s="13" t="s">
        <v>441</v>
      </c>
      <c r="I103" s="14" t="s">
        <v>454</v>
      </c>
      <c r="J103" s="13" t="s">
        <v>455</v>
      </c>
      <c r="K103" s="13" t="s">
        <v>456</v>
      </c>
      <c r="L103" s="14" t="s">
        <v>457</v>
      </c>
    </row>
    <row r="104" ht="15.75" customHeight="1">
      <c r="A104" s="12"/>
      <c r="B104" s="13" t="s">
        <v>20</v>
      </c>
      <c r="C104" s="13" t="s">
        <v>82</v>
      </c>
      <c r="D104" s="13" t="s">
        <v>313</v>
      </c>
      <c r="E104" s="13">
        <v>11.0</v>
      </c>
      <c r="F104" s="13" t="s">
        <v>121</v>
      </c>
      <c r="G104" s="13" t="s">
        <v>458</v>
      </c>
      <c r="H104" s="13" t="s">
        <v>459</v>
      </c>
      <c r="I104" s="13" t="s">
        <v>460</v>
      </c>
      <c r="J104" s="13" t="s">
        <v>461</v>
      </c>
      <c r="K104" s="13" t="s">
        <v>462</v>
      </c>
      <c r="L104" s="13" t="s">
        <v>463</v>
      </c>
    </row>
    <row r="105" ht="15.75" customHeight="1">
      <c r="A105" s="12"/>
      <c r="B105" s="13" t="s">
        <v>20</v>
      </c>
      <c r="C105" s="13" t="s">
        <v>82</v>
      </c>
      <c r="D105" s="13" t="s">
        <v>313</v>
      </c>
      <c r="E105" s="13">
        <v>12.0</v>
      </c>
      <c r="F105" s="13" t="s">
        <v>405</v>
      </c>
      <c r="G105" s="13" t="s">
        <v>458</v>
      </c>
      <c r="H105" s="13" t="s">
        <v>459</v>
      </c>
      <c r="I105" s="13" t="s">
        <v>464</v>
      </c>
      <c r="J105" s="13" t="s">
        <v>465</v>
      </c>
      <c r="K105" s="13" t="s">
        <v>466</v>
      </c>
      <c r="L105" s="13" t="s">
        <v>467</v>
      </c>
    </row>
  </sheetData>
  <autoFilter ref="$A$1:$L$105"/>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13"/>
    <col customWidth="1" min="2" max="2" width="7.25"/>
    <col customWidth="1" min="3" max="3" width="12.13"/>
    <col customWidth="1" min="4" max="4" width="9.13"/>
    <col customWidth="1" min="5" max="5" width="16.88"/>
    <col customWidth="1" min="6" max="6" width="20.5"/>
    <col customWidth="1" min="7" max="7" width="18.75"/>
    <col customWidth="1" min="8" max="8" width="16.63"/>
    <col customWidth="1" min="9" max="9" width="41.75"/>
    <col customWidth="1" hidden="1" min="10" max="26" width="9.13"/>
  </cols>
  <sheetData>
    <row r="1" ht="27.0" customHeight="1">
      <c r="A1" s="15" t="s">
        <v>9</v>
      </c>
      <c r="B1" s="9" t="s">
        <v>10</v>
      </c>
      <c r="C1" s="9" t="s">
        <v>11</v>
      </c>
      <c r="D1" s="9" t="s">
        <v>12</v>
      </c>
      <c r="E1" s="9" t="s">
        <v>468</v>
      </c>
      <c r="F1" s="9" t="s">
        <v>16</v>
      </c>
      <c r="G1" s="9" t="s">
        <v>17</v>
      </c>
      <c r="H1" s="9" t="s">
        <v>18</v>
      </c>
      <c r="I1" s="9" t="s">
        <v>19</v>
      </c>
      <c r="J1" s="16"/>
      <c r="K1" s="16"/>
      <c r="L1" s="16"/>
      <c r="M1" s="16"/>
      <c r="N1" s="16"/>
      <c r="O1" s="16"/>
      <c r="P1" s="16"/>
      <c r="Q1" s="16"/>
      <c r="R1" s="16"/>
      <c r="S1" s="16"/>
      <c r="T1" s="16"/>
      <c r="U1" s="16"/>
      <c r="V1" s="16"/>
      <c r="W1" s="16"/>
      <c r="X1" s="16"/>
      <c r="Y1" s="16"/>
      <c r="Z1" s="16"/>
    </row>
    <row r="2" ht="12.75" customHeight="1">
      <c r="A2" s="13" t="s">
        <v>20</v>
      </c>
      <c r="B2" s="13" t="s">
        <v>469</v>
      </c>
      <c r="C2" s="13" t="s">
        <v>22</v>
      </c>
      <c r="D2" s="10">
        <v>1.0</v>
      </c>
      <c r="E2" s="10" t="s">
        <v>470</v>
      </c>
      <c r="F2" s="10" t="s">
        <v>471</v>
      </c>
      <c r="G2" s="10" t="s">
        <v>472</v>
      </c>
      <c r="H2" s="10" t="s">
        <v>473</v>
      </c>
      <c r="I2" s="10" t="s">
        <v>474</v>
      </c>
      <c r="J2" s="12"/>
      <c r="K2" s="12"/>
      <c r="L2" s="12"/>
      <c r="M2" s="12"/>
      <c r="N2" s="12"/>
      <c r="O2" s="12"/>
      <c r="P2" s="12"/>
      <c r="Q2" s="12"/>
      <c r="R2" s="12"/>
      <c r="S2" s="12"/>
      <c r="T2" s="12"/>
      <c r="U2" s="12"/>
      <c r="V2" s="12"/>
      <c r="W2" s="12"/>
      <c r="X2" s="12"/>
      <c r="Y2" s="12"/>
      <c r="Z2" s="12"/>
    </row>
    <row r="3" ht="12.75" customHeight="1">
      <c r="A3" s="13" t="s">
        <v>20</v>
      </c>
      <c r="B3" s="13" t="s">
        <v>469</v>
      </c>
      <c r="C3" s="13" t="s">
        <v>22</v>
      </c>
      <c r="D3" s="10">
        <v>2.0</v>
      </c>
      <c r="E3" s="10" t="s">
        <v>475</v>
      </c>
      <c r="F3" s="10" t="s">
        <v>471</v>
      </c>
      <c r="G3" s="10" t="s">
        <v>476</v>
      </c>
      <c r="H3" s="10" t="s">
        <v>477</v>
      </c>
      <c r="I3" s="10" t="s">
        <v>478</v>
      </c>
      <c r="J3" s="12"/>
      <c r="K3" s="12"/>
      <c r="L3" s="12"/>
      <c r="M3" s="12"/>
      <c r="N3" s="12"/>
      <c r="O3" s="12"/>
      <c r="P3" s="12"/>
      <c r="Q3" s="12"/>
      <c r="R3" s="12"/>
      <c r="S3" s="12"/>
      <c r="T3" s="12"/>
      <c r="U3" s="12"/>
      <c r="V3" s="12"/>
      <c r="W3" s="12"/>
      <c r="X3" s="12"/>
      <c r="Y3" s="12"/>
      <c r="Z3" s="12"/>
    </row>
    <row r="4" ht="12.75" customHeight="1">
      <c r="A4" s="13" t="s">
        <v>20</v>
      </c>
      <c r="B4" s="13" t="s">
        <v>469</v>
      </c>
      <c r="C4" s="13" t="s">
        <v>22</v>
      </c>
      <c r="D4" s="10">
        <v>3.0</v>
      </c>
      <c r="E4" s="10" t="s">
        <v>479</v>
      </c>
      <c r="F4" s="10" t="s">
        <v>471</v>
      </c>
      <c r="G4" s="10" t="s">
        <v>480</v>
      </c>
      <c r="H4" s="10" t="s">
        <v>481</v>
      </c>
      <c r="I4" s="10" t="s">
        <v>482</v>
      </c>
      <c r="J4" s="12"/>
      <c r="K4" s="12"/>
      <c r="L4" s="12"/>
      <c r="M4" s="12"/>
      <c r="N4" s="12"/>
      <c r="O4" s="12"/>
      <c r="P4" s="12"/>
      <c r="Q4" s="12"/>
      <c r="R4" s="12"/>
      <c r="S4" s="12"/>
      <c r="T4" s="12"/>
      <c r="U4" s="12"/>
      <c r="V4" s="12"/>
      <c r="W4" s="12"/>
      <c r="X4" s="12"/>
      <c r="Y4" s="12"/>
      <c r="Z4" s="12"/>
    </row>
    <row r="5" ht="12.75" customHeight="1">
      <c r="A5" s="13" t="s">
        <v>20</v>
      </c>
      <c r="B5" s="13" t="s">
        <v>469</v>
      </c>
      <c r="C5" s="13" t="s">
        <v>153</v>
      </c>
      <c r="D5" s="10">
        <v>1.0</v>
      </c>
      <c r="E5" s="10" t="s">
        <v>475</v>
      </c>
      <c r="F5" s="10" t="s">
        <v>471</v>
      </c>
      <c r="G5" s="10" t="s">
        <v>483</v>
      </c>
      <c r="H5" s="10" t="s">
        <v>484</v>
      </c>
      <c r="I5" s="10" t="s">
        <v>485</v>
      </c>
      <c r="J5" s="12"/>
      <c r="K5" s="12"/>
      <c r="L5" s="12"/>
      <c r="M5" s="12"/>
      <c r="N5" s="12"/>
      <c r="O5" s="12"/>
      <c r="P5" s="12"/>
      <c r="Q5" s="12"/>
      <c r="R5" s="12"/>
      <c r="S5" s="12"/>
      <c r="T5" s="12"/>
      <c r="U5" s="12"/>
      <c r="V5" s="12"/>
      <c r="W5" s="12"/>
      <c r="X5" s="12"/>
      <c r="Y5" s="12"/>
      <c r="Z5" s="12"/>
    </row>
    <row r="6" ht="12.75" customHeight="1">
      <c r="A6" s="13" t="s">
        <v>20</v>
      </c>
      <c r="B6" s="13" t="s">
        <v>469</v>
      </c>
      <c r="C6" s="13" t="s">
        <v>153</v>
      </c>
      <c r="D6" s="10">
        <v>2.0</v>
      </c>
      <c r="E6" s="10" t="s">
        <v>486</v>
      </c>
      <c r="F6" s="10" t="s">
        <v>487</v>
      </c>
      <c r="G6" s="10" t="s">
        <v>488</v>
      </c>
      <c r="H6" s="11" t="s">
        <v>489</v>
      </c>
      <c r="I6" s="10" t="s">
        <v>490</v>
      </c>
      <c r="J6" s="12"/>
      <c r="K6" s="12"/>
      <c r="L6" s="12"/>
      <c r="M6" s="12"/>
      <c r="N6" s="12"/>
      <c r="O6" s="12"/>
      <c r="P6" s="12"/>
      <c r="Q6" s="12"/>
      <c r="R6" s="12"/>
      <c r="S6" s="12"/>
      <c r="T6" s="12"/>
      <c r="U6" s="12"/>
      <c r="V6" s="12"/>
      <c r="W6" s="12"/>
      <c r="X6" s="12"/>
      <c r="Y6" s="12"/>
      <c r="Z6" s="12"/>
    </row>
    <row r="7" ht="12.75" customHeight="1">
      <c r="A7" s="13" t="s">
        <v>20</v>
      </c>
      <c r="B7" s="13" t="s">
        <v>469</v>
      </c>
      <c r="C7" s="13" t="s">
        <v>153</v>
      </c>
      <c r="D7" s="10">
        <v>3.0</v>
      </c>
      <c r="E7" s="10" t="s">
        <v>491</v>
      </c>
      <c r="F7" s="10" t="s">
        <v>471</v>
      </c>
      <c r="G7" s="10" t="s">
        <v>492</v>
      </c>
      <c r="H7" s="10" t="s">
        <v>493</v>
      </c>
      <c r="I7" s="10" t="s">
        <v>494</v>
      </c>
      <c r="J7" s="12"/>
      <c r="K7" s="12"/>
      <c r="L7" s="12"/>
      <c r="M7" s="12"/>
      <c r="N7" s="12"/>
      <c r="O7" s="12"/>
      <c r="P7" s="12"/>
      <c r="Q7" s="12"/>
      <c r="R7" s="12"/>
      <c r="S7" s="12"/>
      <c r="T7" s="12"/>
      <c r="U7" s="12"/>
      <c r="V7" s="12"/>
      <c r="W7" s="12"/>
      <c r="X7" s="12"/>
      <c r="Y7" s="12"/>
      <c r="Z7" s="12"/>
    </row>
    <row r="8" ht="12.75" customHeight="1">
      <c r="A8" s="13" t="s">
        <v>20</v>
      </c>
      <c r="B8" s="13" t="s">
        <v>21</v>
      </c>
      <c r="C8" s="13" t="s">
        <v>22</v>
      </c>
      <c r="D8" s="10">
        <v>1.0</v>
      </c>
      <c r="E8" s="10" t="s">
        <v>495</v>
      </c>
      <c r="F8" s="10" t="s">
        <v>496</v>
      </c>
      <c r="G8" s="10" t="s">
        <v>497</v>
      </c>
      <c r="H8" s="10" t="s">
        <v>498</v>
      </c>
      <c r="I8" s="10" t="s">
        <v>499</v>
      </c>
      <c r="J8" s="12"/>
      <c r="K8" s="12"/>
      <c r="L8" s="12"/>
      <c r="M8" s="12"/>
      <c r="N8" s="12"/>
      <c r="O8" s="12"/>
      <c r="P8" s="12"/>
      <c r="Q8" s="12"/>
      <c r="R8" s="12"/>
      <c r="S8" s="12"/>
      <c r="T8" s="12"/>
      <c r="U8" s="12"/>
      <c r="V8" s="12"/>
      <c r="W8" s="12"/>
      <c r="X8" s="12"/>
      <c r="Y8" s="12"/>
      <c r="Z8" s="12"/>
    </row>
    <row r="9" ht="12.75" customHeight="1">
      <c r="A9" s="13" t="s">
        <v>20</v>
      </c>
      <c r="B9" s="13" t="s">
        <v>21</v>
      </c>
      <c r="C9" s="13" t="s">
        <v>22</v>
      </c>
      <c r="D9" s="10">
        <v>2.0</v>
      </c>
      <c r="E9" s="10" t="s">
        <v>500</v>
      </c>
      <c r="F9" s="10" t="s">
        <v>501</v>
      </c>
      <c r="G9" s="10" t="s">
        <v>502</v>
      </c>
      <c r="H9" s="10" t="s">
        <v>503</v>
      </c>
      <c r="I9" s="10" t="s">
        <v>504</v>
      </c>
      <c r="J9" s="12"/>
      <c r="K9" s="12"/>
      <c r="L9" s="12"/>
      <c r="M9" s="12"/>
      <c r="N9" s="12"/>
      <c r="O9" s="12"/>
      <c r="P9" s="12"/>
      <c r="Q9" s="12"/>
      <c r="R9" s="12"/>
      <c r="S9" s="12"/>
      <c r="T9" s="12"/>
      <c r="U9" s="12"/>
      <c r="V9" s="12"/>
      <c r="W9" s="12"/>
      <c r="X9" s="12"/>
      <c r="Y9" s="12"/>
      <c r="Z9" s="12"/>
    </row>
    <row r="10" ht="12.75" customHeight="1">
      <c r="A10" s="13" t="s">
        <v>20</v>
      </c>
      <c r="B10" s="13" t="s">
        <v>21</v>
      </c>
      <c r="C10" s="13" t="s">
        <v>22</v>
      </c>
      <c r="D10" s="10">
        <v>3.0</v>
      </c>
      <c r="E10" s="10" t="s">
        <v>505</v>
      </c>
      <c r="F10" s="10" t="s">
        <v>506</v>
      </c>
      <c r="G10" s="10" t="s">
        <v>507</v>
      </c>
      <c r="H10" s="11" t="s">
        <v>508</v>
      </c>
      <c r="I10" s="10" t="s">
        <v>509</v>
      </c>
      <c r="J10" s="12"/>
      <c r="K10" s="12"/>
      <c r="L10" s="12"/>
      <c r="M10" s="12"/>
      <c r="N10" s="12"/>
      <c r="O10" s="12"/>
      <c r="P10" s="12"/>
      <c r="Q10" s="12"/>
      <c r="R10" s="12"/>
      <c r="S10" s="12"/>
      <c r="T10" s="12"/>
      <c r="U10" s="12"/>
      <c r="V10" s="12"/>
      <c r="W10" s="12"/>
      <c r="X10" s="12"/>
      <c r="Y10" s="12"/>
      <c r="Z10" s="12"/>
    </row>
    <row r="11" ht="12.75" customHeight="1">
      <c r="A11" s="13" t="s">
        <v>20</v>
      </c>
      <c r="B11" s="13" t="s">
        <v>21</v>
      </c>
      <c r="C11" s="13" t="s">
        <v>153</v>
      </c>
      <c r="D11" s="10">
        <v>1.0</v>
      </c>
      <c r="E11" s="10" t="s">
        <v>510</v>
      </c>
      <c r="F11" s="10" t="s">
        <v>511</v>
      </c>
      <c r="G11" s="10" t="s">
        <v>512</v>
      </c>
      <c r="H11" s="10" t="s">
        <v>513</v>
      </c>
      <c r="I11" s="10" t="s">
        <v>514</v>
      </c>
      <c r="J11" s="12"/>
      <c r="K11" s="12"/>
      <c r="L11" s="12"/>
      <c r="M11" s="12"/>
      <c r="N11" s="12"/>
      <c r="O11" s="12"/>
      <c r="P11" s="12"/>
      <c r="Q11" s="12"/>
      <c r="R11" s="12"/>
      <c r="S11" s="12"/>
      <c r="T11" s="12"/>
      <c r="U11" s="12"/>
      <c r="V11" s="12"/>
      <c r="W11" s="12"/>
      <c r="X11" s="12"/>
      <c r="Y11" s="12"/>
      <c r="Z11" s="12"/>
    </row>
    <row r="12" ht="12.75" customHeight="1">
      <c r="A12" s="13" t="s">
        <v>20</v>
      </c>
      <c r="B12" s="13" t="s">
        <v>21</v>
      </c>
      <c r="C12" s="13" t="s">
        <v>153</v>
      </c>
      <c r="D12" s="10">
        <v>2.0</v>
      </c>
      <c r="E12" s="10" t="s">
        <v>515</v>
      </c>
      <c r="F12" s="10" t="s">
        <v>516</v>
      </c>
      <c r="G12" s="10" t="s">
        <v>517</v>
      </c>
      <c r="H12" s="10" t="s">
        <v>518</v>
      </c>
      <c r="I12" s="10" t="s">
        <v>519</v>
      </c>
      <c r="J12" s="12"/>
      <c r="K12" s="12"/>
      <c r="L12" s="12"/>
      <c r="M12" s="12"/>
      <c r="N12" s="12"/>
      <c r="O12" s="12"/>
      <c r="P12" s="12"/>
      <c r="Q12" s="12"/>
      <c r="R12" s="12"/>
      <c r="S12" s="12"/>
      <c r="T12" s="12"/>
      <c r="U12" s="12"/>
      <c r="V12" s="12"/>
      <c r="W12" s="12"/>
      <c r="X12" s="12"/>
      <c r="Y12" s="12"/>
      <c r="Z12" s="12"/>
    </row>
    <row r="13" ht="12.75" customHeight="1">
      <c r="A13" s="13" t="s">
        <v>20</v>
      </c>
      <c r="B13" s="13" t="s">
        <v>21</v>
      </c>
      <c r="C13" s="13" t="s">
        <v>153</v>
      </c>
      <c r="D13" s="10">
        <v>3.0</v>
      </c>
      <c r="E13" s="10" t="s">
        <v>520</v>
      </c>
      <c r="F13" s="10" t="s">
        <v>521</v>
      </c>
      <c r="G13" s="10" t="s">
        <v>522</v>
      </c>
      <c r="H13" s="10" t="s">
        <v>523</v>
      </c>
      <c r="I13" s="10" t="s">
        <v>524</v>
      </c>
      <c r="J13" s="12"/>
      <c r="K13" s="12"/>
      <c r="L13" s="12"/>
      <c r="M13" s="12"/>
      <c r="N13" s="12"/>
      <c r="O13" s="12"/>
      <c r="P13" s="12"/>
      <c r="Q13" s="12"/>
      <c r="R13" s="12"/>
      <c r="S13" s="12"/>
      <c r="T13" s="12"/>
      <c r="U13" s="12"/>
      <c r="V13" s="12"/>
      <c r="W13" s="12"/>
      <c r="X13" s="12"/>
      <c r="Y13" s="12"/>
      <c r="Z13" s="12"/>
    </row>
    <row r="14" ht="12.75" customHeight="1">
      <c r="A14" s="13" t="s">
        <v>20</v>
      </c>
      <c r="B14" s="13" t="s">
        <v>82</v>
      </c>
      <c r="C14" s="13" t="s">
        <v>22</v>
      </c>
      <c r="D14" s="10">
        <v>1.0</v>
      </c>
      <c r="E14" s="10" t="s">
        <v>525</v>
      </c>
      <c r="F14" s="10" t="s">
        <v>526</v>
      </c>
      <c r="G14" s="10" t="s">
        <v>527</v>
      </c>
      <c r="H14" s="10" t="s">
        <v>528</v>
      </c>
      <c r="I14" s="10" t="s">
        <v>529</v>
      </c>
      <c r="J14" s="12"/>
      <c r="K14" s="12"/>
      <c r="L14" s="12"/>
      <c r="M14" s="12"/>
      <c r="N14" s="12"/>
      <c r="O14" s="12"/>
      <c r="P14" s="12"/>
      <c r="Q14" s="12"/>
      <c r="R14" s="12"/>
      <c r="S14" s="12"/>
      <c r="T14" s="12"/>
      <c r="U14" s="12"/>
      <c r="V14" s="12"/>
      <c r="W14" s="12"/>
      <c r="X14" s="12"/>
      <c r="Y14" s="12"/>
      <c r="Z14" s="12"/>
    </row>
    <row r="15" ht="12.75" customHeight="1">
      <c r="A15" s="13" t="s">
        <v>20</v>
      </c>
      <c r="B15" s="13" t="s">
        <v>82</v>
      </c>
      <c r="C15" s="13" t="s">
        <v>22</v>
      </c>
      <c r="D15" s="10">
        <v>2.0</v>
      </c>
      <c r="E15" s="10" t="s">
        <v>530</v>
      </c>
      <c r="F15" s="10" t="s">
        <v>526</v>
      </c>
      <c r="G15" s="10" t="s">
        <v>531</v>
      </c>
      <c r="H15" s="11" t="s">
        <v>532</v>
      </c>
      <c r="I15" s="10" t="s">
        <v>533</v>
      </c>
      <c r="J15" s="12"/>
      <c r="K15" s="12"/>
      <c r="L15" s="12"/>
      <c r="M15" s="12"/>
      <c r="N15" s="12"/>
      <c r="O15" s="12"/>
      <c r="P15" s="12"/>
      <c r="Q15" s="12"/>
      <c r="R15" s="12"/>
      <c r="S15" s="12"/>
      <c r="T15" s="12"/>
      <c r="U15" s="12"/>
      <c r="V15" s="12"/>
      <c r="W15" s="12"/>
      <c r="X15" s="12"/>
      <c r="Y15" s="12"/>
      <c r="Z15" s="12"/>
    </row>
    <row r="16" ht="12.75" customHeight="1">
      <c r="A16" s="13" t="s">
        <v>20</v>
      </c>
      <c r="B16" s="13" t="s">
        <v>82</v>
      </c>
      <c r="C16" s="13" t="s">
        <v>22</v>
      </c>
      <c r="D16" s="10">
        <v>3.0</v>
      </c>
      <c r="E16" s="10" t="s">
        <v>530</v>
      </c>
      <c r="F16" s="10" t="s">
        <v>526</v>
      </c>
      <c r="G16" s="10" t="s">
        <v>534</v>
      </c>
      <c r="H16" s="11" t="s">
        <v>535</v>
      </c>
      <c r="I16" s="10" t="s">
        <v>536</v>
      </c>
      <c r="J16" s="12"/>
      <c r="K16" s="12"/>
      <c r="L16" s="12"/>
      <c r="M16" s="12"/>
      <c r="N16" s="12"/>
      <c r="O16" s="12"/>
      <c r="P16" s="12"/>
      <c r="Q16" s="12"/>
      <c r="R16" s="12"/>
      <c r="S16" s="12"/>
      <c r="T16" s="12"/>
      <c r="U16" s="12"/>
      <c r="V16" s="12"/>
      <c r="W16" s="12"/>
      <c r="X16" s="12"/>
      <c r="Y16" s="12"/>
      <c r="Z16" s="12"/>
    </row>
    <row r="17" ht="12.75" customHeight="1">
      <c r="A17" s="13" t="s">
        <v>20</v>
      </c>
      <c r="B17" s="13" t="s">
        <v>82</v>
      </c>
      <c r="C17" s="13" t="s">
        <v>153</v>
      </c>
      <c r="D17" s="10">
        <v>1.0</v>
      </c>
      <c r="E17" s="10" t="s">
        <v>537</v>
      </c>
      <c r="F17" s="10" t="s">
        <v>538</v>
      </c>
      <c r="G17" s="10" t="s">
        <v>539</v>
      </c>
      <c r="H17" s="10" t="s">
        <v>540</v>
      </c>
      <c r="I17" s="10" t="s">
        <v>541</v>
      </c>
      <c r="J17" s="12"/>
      <c r="K17" s="12"/>
      <c r="L17" s="12"/>
      <c r="M17" s="12"/>
      <c r="N17" s="12"/>
      <c r="O17" s="12"/>
      <c r="P17" s="12"/>
      <c r="Q17" s="12"/>
      <c r="R17" s="12"/>
      <c r="S17" s="12"/>
      <c r="T17" s="12"/>
      <c r="U17" s="12"/>
      <c r="V17" s="12"/>
      <c r="W17" s="12"/>
      <c r="X17" s="12"/>
      <c r="Y17" s="12"/>
      <c r="Z17" s="12"/>
    </row>
    <row r="18" ht="12.75" customHeight="1">
      <c r="A18" s="13" t="s">
        <v>20</v>
      </c>
      <c r="B18" s="13" t="s">
        <v>82</v>
      </c>
      <c r="C18" s="13" t="s">
        <v>153</v>
      </c>
      <c r="D18" s="10">
        <v>2.0</v>
      </c>
      <c r="E18" s="10" t="s">
        <v>537</v>
      </c>
      <c r="F18" s="10" t="s">
        <v>542</v>
      </c>
      <c r="G18" s="10" t="s">
        <v>543</v>
      </c>
      <c r="H18" s="10" t="s">
        <v>544</v>
      </c>
      <c r="I18" s="10" t="s">
        <v>545</v>
      </c>
      <c r="J18" s="12"/>
      <c r="K18" s="12"/>
      <c r="L18" s="12"/>
      <c r="M18" s="12"/>
      <c r="N18" s="12"/>
      <c r="O18" s="12"/>
      <c r="P18" s="12"/>
      <c r="Q18" s="12"/>
      <c r="R18" s="12"/>
      <c r="S18" s="12"/>
      <c r="T18" s="12"/>
      <c r="U18" s="12"/>
      <c r="V18" s="12"/>
      <c r="W18" s="12"/>
      <c r="X18" s="12"/>
      <c r="Y18" s="12"/>
      <c r="Z18" s="12"/>
    </row>
    <row r="19" ht="12.75" customHeight="1">
      <c r="A19" s="13" t="s">
        <v>20</v>
      </c>
      <c r="B19" s="13" t="s">
        <v>82</v>
      </c>
      <c r="C19" s="13" t="s">
        <v>153</v>
      </c>
      <c r="D19" s="10">
        <v>3.0</v>
      </c>
      <c r="E19" s="10" t="s">
        <v>537</v>
      </c>
      <c r="F19" s="10" t="s">
        <v>542</v>
      </c>
      <c r="G19" s="10" t="s">
        <v>546</v>
      </c>
      <c r="H19" s="10" t="s">
        <v>547</v>
      </c>
      <c r="I19" s="10" t="s">
        <v>548</v>
      </c>
      <c r="J19" s="12"/>
      <c r="K19" s="12"/>
      <c r="L19" s="12"/>
      <c r="M19" s="12"/>
      <c r="N19" s="12"/>
      <c r="O19" s="12"/>
      <c r="P19" s="12"/>
      <c r="Q19" s="12"/>
      <c r="R19" s="12"/>
      <c r="S19" s="12"/>
      <c r="T19" s="12"/>
      <c r="U19" s="12"/>
      <c r="V19" s="12"/>
      <c r="W19" s="12"/>
      <c r="X19" s="12"/>
      <c r="Y19" s="12"/>
      <c r="Z19" s="12"/>
    </row>
    <row r="20" ht="12.75" customHeight="1">
      <c r="A20" s="13" t="s">
        <v>20</v>
      </c>
      <c r="B20" s="13" t="s">
        <v>549</v>
      </c>
      <c r="C20" s="13" t="s">
        <v>22</v>
      </c>
      <c r="D20" s="10">
        <v>1.0</v>
      </c>
      <c r="E20" s="10" t="s">
        <v>550</v>
      </c>
      <c r="F20" s="10" t="s">
        <v>551</v>
      </c>
      <c r="G20" s="10" t="s">
        <v>552</v>
      </c>
      <c r="H20" s="10" t="s">
        <v>553</v>
      </c>
      <c r="I20" s="10" t="s">
        <v>554</v>
      </c>
      <c r="J20" s="12"/>
      <c r="K20" s="12"/>
      <c r="L20" s="12"/>
      <c r="M20" s="12"/>
      <c r="N20" s="12"/>
      <c r="O20" s="12"/>
      <c r="P20" s="12"/>
      <c r="Q20" s="12"/>
      <c r="R20" s="12"/>
      <c r="S20" s="12"/>
      <c r="T20" s="12"/>
      <c r="U20" s="12"/>
      <c r="V20" s="12"/>
      <c r="W20" s="12"/>
      <c r="X20" s="12"/>
      <c r="Y20" s="12"/>
      <c r="Z20" s="12"/>
    </row>
    <row r="21" ht="12.75" customHeight="1">
      <c r="A21" s="13" t="s">
        <v>20</v>
      </c>
      <c r="B21" s="13" t="s">
        <v>549</v>
      </c>
      <c r="C21" s="13" t="s">
        <v>22</v>
      </c>
      <c r="D21" s="10">
        <v>2.0</v>
      </c>
      <c r="E21" s="10" t="s">
        <v>555</v>
      </c>
      <c r="F21" s="10" t="s">
        <v>556</v>
      </c>
      <c r="G21" s="10" t="s">
        <v>557</v>
      </c>
      <c r="H21" s="10" t="s">
        <v>558</v>
      </c>
      <c r="I21" s="10" t="s">
        <v>559</v>
      </c>
      <c r="J21" s="12"/>
      <c r="K21" s="12"/>
      <c r="L21" s="12"/>
      <c r="M21" s="12"/>
      <c r="N21" s="12"/>
      <c r="O21" s="12"/>
      <c r="P21" s="12"/>
      <c r="Q21" s="12"/>
      <c r="R21" s="12"/>
      <c r="S21" s="12"/>
      <c r="T21" s="12"/>
      <c r="U21" s="12"/>
      <c r="V21" s="12"/>
      <c r="W21" s="12"/>
      <c r="X21" s="12"/>
      <c r="Y21" s="12"/>
      <c r="Z21" s="12"/>
    </row>
    <row r="22" ht="12.75" customHeight="1">
      <c r="A22" s="13" t="s">
        <v>20</v>
      </c>
      <c r="B22" s="13" t="s">
        <v>549</v>
      </c>
      <c r="C22" s="13" t="s">
        <v>22</v>
      </c>
      <c r="D22" s="10">
        <v>3.0</v>
      </c>
      <c r="E22" s="10" t="s">
        <v>560</v>
      </c>
      <c r="F22" s="10" t="s">
        <v>561</v>
      </c>
      <c r="G22" s="10" t="s">
        <v>562</v>
      </c>
      <c r="H22" s="10" t="s">
        <v>563</v>
      </c>
      <c r="I22" s="10" t="s">
        <v>564</v>
      </c>
      <c r="J22" s="12"/>
      <c r="K22" s="12"/>
      <c r="L22" s="12"/>
      <c r="M22" s="12"/>
      <c r="N22" s="12"/>
      <c r="O22" s="12"/>
      <c r="P22" s="12"/>
      <c r="Q22" s="12"/>
      <c r="R22" s="12"/>
      <c r="S22" s="12"/>
      <c r="T22" s="12"/>
      <c r="U22" s="12"/>
      <c r="V22" s="12"/>
      <c r="W22" s="12"/>
      <c r="X22" s="12"/>
      <c r="Y22" s="12"/>
      <c r="Z22" s="12"/>
    </row>
    <row r="23" ht="12.75" customHeight="1">
      <c r="A23" s="13" t="s">
        <v>20</v>
      </c>
      <c r="B23" s="13" t="s">
        <v>549</v>
      </c>
      <c r="C23" s="13" t="s">
        <v>153</v>
      </c>
      <c r="D23" s="10">
        <v>1.0</v>
      </c>
      <c r="E23" s="10" t="s">
        <v>565</v>
      </c>
      <c r="F23" s="10" t="s">
        <v>566</v>
      </c>
      <c r="G23" s="10" t="s">
        <v>567</v>
      </c>
      <c r="H23" s="11" t="s">
        <v>568</v>
      </c>
      <c r="I23" s="10" t="s">
        <v>569</v>
      </c>
      <c r="J23" s="12"/>
      <c r="K23" s="12"/>
      <c r="L23" s="12"/>
      <c r="M23" s="12"/>
      <c r="N23" s="12"/>
      <c r="O23" s="12"/>
      <c r="P23" s="12"/>
      <c r="Q23" s="12"/>
      <c r="R23" s="12"/>
      <c r="S23" s="12"/>
      <c r="T23" s="12"/>
      <c r="U23" s="12"/>
      <c r="V23" s="12"/>
      <c r="W23" s="12"/>
      <c r="X23" s="12"/>
      <c r="Y23" s="12"/>
      <c r="Z23" s="12"/>
    </row>
    <row r="24" ht="12.75" customHeight="1">
      <c r="A24" s="13" t="s">
        <v>20</v>
      </c>
      <c r="B24" s="13" t="s">
        <v>549</v>
      </c>
      <c r="C24" s="13" t="s">
        <v>153</v>
      </c>
      <c r="D24" s="10">
        <v>2.0</v>
      </c>
      <c r="E24" s="10" t="s">
        <v>570</v>
      </c>
      <c r="F24" s="10" t="s">
        <v>571</v>
      </c>
      <c r="G24" s="10" t="s">
        <v>572</v>
      </c>
      <c r="H24" s="10" t="s">
        <v>573</v>
      </c>
      <c r="I24" s="10" t="s">
        <v>574</v>
      </c>
      <c r="J24" s="12"/>
      <c r="K24" s="12"/>
      <c r="L24" s="12"/>
      <c r="M24" s="12"/>
      <c r="N24" s="12"/>
      <c r="O24" s="12"/>
      <c r="P24" s="12"/>
      <c r="Q24" s="12"/>
      <c r="R24" s="12"/>
      <c r="S24" s="12"/>
      <c r="T24" s="12"/>
      <c r="U24" s="12"/>
      <c r="V24" s="12"/>
      <c r="W24" s="12"/>
      <c r="X24" s="12"/>
      <c r="Y24" s="12"/>
      <c r="Z24" s="12"/>
    </row>
    <row r="25" ht="12.75" customHeight="1">
      <c r="A25" s="13" t="s">
        <v>20</v>
      </c>
      <c r="B25" s="13" t="s">
        <v>549</v>
      </c>
      <c r="C25" s="13" t="s">
        <v>153</v>
      </c>
      <c r="D25" s="10">
        <v>3.0</v>
      </c>
      <c r="E25" s="10" t="s">
        <v>575</v>
      </c>
      <c r="F25" s="10" t="s">
        <v>576</v>
      </c>
      <c r="G25" s="10" t="s">
        <v>577</v>
      </c>
      <c r="H25" s="10" t="s">
        <v>578</v>
      </c>
      <c r="I25" s="10" t="s">
        <v>579</v>
      </c>
      <c r="J25" s="12"/>
      <c r="K25" s="12"/>
      <c r="L25" s="12"/>
      <c r="M25" s="12"/>
      <c r="N25" s="12"/>
      <c r="O25" s="12"/>
      <c r="P25" s="12"/>
      <c r="Q25" s="12"/>
      <c r="R25" s="12"/>
      <c r="S25" s="12"/>
      <c r="T25" s="12"/>
      <c r="U25" s="12"/>
      <c r="V25" s="12"/>
      <c r="W25" s="12"/>
      <c r="X25" s="12"/>
      <c r="Y25" s="12"/>
      <c r="Z25" s="12"/>
    </row>
    <row r="26" ht="12.75" customHeight="1">
      <c r="A26" s="13" t="s">
        <v>20</v>
      </c>
      <c r="B26" s="17" t="s">
        <v>469</v>
      </c>
      <c r="C26" s="17" t="s">
        <v>264</v>
      </c>
      <c r="D26" s="17">
        <v>1.0</v>
      </c>
      <c r="E26" s="17" t="s">
        <v>580</v>
      </c>
      <c r="F26" s="17" t="s">
        <v>581</v>
      </c>
      <c r="G26" s="17" t="s">
        <v>582</v>
      </c>
      <c r="H26" s="17" t="s">
        <v>583</v>
      </c>
      <c r="I26" s="17" t="s">
        <v>584</v>
      </c>
      <c r="J26" s="12"/>
      <c r="K26" s="12"/>
      <c r="L26" s="12"/>
      <c r="M26" s="12"/>
      <c r="N26" s="12"/>
      <c r="O26" s="12"/>
      <c r="P26" s="12"/>
      <c r="Q26" s="12"/>
      <c r="R26" s="12"/>
      <c r="S26" s="12"/>
      <c r="T26" s="12"/>
      <c r="U26" s="12"/>
      <c r="V26" s="12"/>
      <c r="W26" s="12"/>
      <c r="X26" s="12"/>
      <c r="Y26" s="12"/>
      <c r="Z26" s="12"/>
    </row>
    <row r="27" ht="12.75" customHeight="1">
      <c r="A27" s="13" t="s">
        <v>20</v>
      </c>
      <c r="B27" s="17" t="s">
        <v>469</v>
      </c>
      <c r="C27" s="17" t="s">
        <v>264</v>
      </c>
      <c r="D27" s="17">
        <v>2.0</v>
      </c>
      <c r="E27" s="17" t="s">
        <v>580</v>
      </c>
      <c r="F27" s="17" t="s">
        <v>581</v>
      </c>
      <c r="G27" s="17" t="s">
        <v>585</v>
      </c>
      <c r="H27" s="17" t="s">
        <v>586</v>
      </c>
      <c r="I27" s="17" t="s">
        <v>587</v>
      </c>
      <c r="J27" s="12"/>
      <c r="K27" s="12"/>
      <c r="L27" s="12"/>
      <c r="M27" s="12"/>
      <c r="N27" s="12"/>
      <c r="O27" s="12"/>
      <c r="P27" s="12"/>
      <c r="Q27" s="12"/>
      <c r="R27" s="12"/>
      <c r="S27" s="12"/>
      <c r="T27" s="12"/>
      <c r="U27" s="12"/>
      <c r="V27" s="12"/>
      <c r="W27" s="12"/>
      <c r="X27" s="12"/>
      <c r="Y27" s="12"/>
      <c r="Z27" s="12"/>
    </row>
    <row r="28" ht="12.75" customHeight="1">
      <c r="A28" s="13" t="s">
        <v>20</v>
      </c>
      <c r="B28" s="17" t="s">
        <v>469</v>
      </c>
      <c r="C28" s="17" t="s">
        <v>264</v>
      </c>
      <c r="D28" s="17">
        <v>3.0</v>
      </c>
      <c r="E28" s="17" t="s">
        <v>580</v>
      </c>
      <c r="F28" s="17" t="s">
        <v>581</v>
      </c>
      <c r="G28" s="17" t="s">
        <v>588</v>
      </c>
      <c r="H28" s="17" t="s">
        <v>589</v>
      </c>
      <c r="I28" s="17" t="s">
        <v>590</v>
      </c>
      <c r="J28" s="12"/>
      <c r="K28" s="12"/>
      <c r="L28" s="12"/>
      <c r="M28" s="12"/>
      <c r="N28" s="12"/>
      <c r="O28" s="12"/>
      <c r="P28" s="12"/>
      <c r="Q28" s="12"/>
      <c r="R28" s="12"/>
      <c r="S28" s="12"/>
      <c r="T28" s="12"/>
      <c r="U28" s="12"/>
      <c r="V28" s="12"/>
      <c r="W28" s="12"/>
      <c r="X28" s="12"/>
      <c r="Y28" s="12"/>
      <c r="Z28" s="12"/>
    </row>
    <row r="29" ht="12.75" customHeight="1">
      <c r="A29" s="13" t="s">
        <v>20</v>
      </c>
      <c r="B29" s="17" t="s">
        <v>469</v>
      </c>
      <c r="C29" s="17" t="s">
        <v>313</v>
      </c>
      <c r="D29" s="17">
        <v>1.0</v>
      </c>
      <c r="E29" s="17" t="s">
        <v>591</v>
      </c>
      <c r="F29" s="17" t="s">
        <v>592</v>
      </c>
      <c r="G29" s="17" t="s">
        <v>593</v>
      </c>
      <c r="H29" s="17" t="s">
        <v>594</v>
      </c>
      <c r="I29" s="17" t="s">
        <v>595</v>
      </c>
      <c r="J29" s="12"/>
      <c r="K29" s="12"/>
      <c r="L29" s="12"/>
      <c r="M29" s="12"/>
      <c r="N29" s="12"/>
      <c r="O29" s="12"/>
      <c r="P29" s="12"/>
      <c r="Q29" s="12"/>
      <c r="R29" s="12"/>
      <c r="S29" s="12"/>
      <c r="T29" s="12"/>
      <c r="U29" s="12"/>
      <c r="V29" s="12"/>
      <c r="W29" s="12"/>
      <c r="X29" s="12"/>
      <c r="Y29" s="12"/>
      <c r="Z29" s="12"/>
    </row>
    <row r="30" ht="12.75" customHeight="1">
      <c r="A30" s="13" t="s">
        <v>20</v>
      </c>
      <c r="B30" s="17" t="s">
        <v>469</v>
      </c>
      <c r="C30" s="17" t="s">
        <v>313</v>
      </c>
      <c r="D30" s="17">
        <v>2.0</v>
      </c>
      <c r="E30" s="17" t="s">
        <v>596</v>
      </c>
      <c r="F30" s="17" t="s">
        <v>597</v>
      </c>
      <c r="G30" s="17" t="s">
        <v>598</v>
      </c>
      <c r="H30" s="17" t="s">
        <v>599</v>
      </c>
      <c r="I30" s="17" t="s">
        <v>600</v>
      </c>
      <c r="J30" s="12"/>
      <c r="K30" s="12"/>
      <c r="L30" s="12"/>
      <c r="M30" s="12"/>
      <c r="N30" s="12"/>
      <c r="O30" s="12"/>
      <c r="P30" s="12"/>
      <c r="Q30" s="12"/>
      <c r="R30" s="12"/>
      <c r="S30" s="12"/>
      <c r="T30" s="12"/>
      <c r="U30" s="12"/>
      <c r="V30" s="12"/>
      <c r="W30" s="12"/>
      <c r="X30" s="12"/>
      <c r="Y30" s="12"/>
      <c r="Z30" s="12"/>
    </row>
    <row r="31" ht="12.75" customHeight="1">
      <c r="A31" s="13" t="s">
        <v>20</v>
      </c>
      <c r="B31" s="17" t="s">
        <v>469</v>
      </c>
      <c r="C31" s="17" t="s">
        <v>313</v>
      </c>
      <c r="D31" s="17">
        <v>3.0</v>
      </c>
      <c r="E31" s="17" t="s">
        <v>596</v>
      </c>
      <c r="F31" s="17" t="s">
        <v>597</v>
      </c>
      <c r="G31" s="17" t="s">
        <v>601</v>
      </c>
      <c r="H31" s="17" t="s">
        <v>602</v>
      </c>
      <c r="I31" s="17" t="s">
        <v>603</v>
      </c>
      <c r="J31" s="12"/>
      <c r="K31" s="12"/>
      <c r="L31" s="12"/>
      <c r="M31" s="12"/>
      <c r="N31" s="12"/>
      <c r="O31" s="12"/>
      <c r="P31" s="12"/>
      <c r="Q31" s="12"/>
      <c r="R31" s="12"/>
      <c r="S31" s="12"/>
      <c r="T31" s="12"/>
      <c r="U31" s="12"/>
      <c r="V31" s="12"/>
      <c r="W31" s="12"/>
      <c r="X31" s="12"/>
      <c r="Y31" s="12"/>
      <c r="Z31" s="12"/>
    </row>
    <row r="32" ht="12.75" customHeight="1">
      <c r="A32" s="13" t="s">
        <v>20</v>
      </c>
      <c r="B32" s="17" t="s">
        <v>21</v>
      </c>
      <c r="C32" s="17" t="s">
        <v>264</v>
      </c>
      <c r="D32" s="17">
        <v>1.0</v>
      </c>
      <c r="E32" s="17" t="s">
        <v>515</v>
      </c>
      <c r="F32" s="17" t="s">
        <v>516</v>
      </c>
      <c r="G32" s="17" t="s">
        <v>604</v>
      </c>
      <c r="H32" s="17" t="s">
        <v>605</v>
      </c>
      <c r="I32" s="17" t="s">
        <v>606</v>
      </c>
      <c r="J32" s="12"/>
      <c r="K32" s="12"/>
      <c r="L32" s="12"/>
      <c r="M32" s="12"/>
      <c r="N32" s="12"/>
      <c r="O32" s="12"/>
      <c r="P32" s="12"/>
      <c r="Q32" s="12"/>
      <c r="R32" s="12"/>
      <c r="S32" s="12"/>
      <c r="T32" s="12"/>
      <c r="U32" s="12"/>
      <c r="V32" s="12"/>
      <c r="W32" s="12"/>
      <c r="X32" s="12"/>
      <c r="Y32" s="12"/>
      <c r="Z32" s="12"/>
    </row>
    <row r="33" ht="12.75" customHeight="1">
      <c r="A33" s="13" t="s">
        <v>20</v>
      </c>
      <c r="B33" s="17" t="s">
        <v>21</v>
      </c>
      <c r="C33" s="17" t="s">
        <v>264</v>
      </c>
      <c r="D33" s="17">
        <v>2.0</v>
      </c>
      <c r="E33" s="17" t="s">
        <v>607</v>
      </c>
      <c r="F33" s="17" t="s">
        <v>608</v>
      </c>
      <c r="G33" s="17" t="s">
        <v>609</v>
      </c>
      <c r="H33" s="17" t="s">
        <v>610</v>
      </c>
      <c r="I33" s="17" t="s">
        <v>611</v>
      </c>
      <c r="J33" s="12"/>
      <c r="K33" s="12"/>
      <c r="L33" s="12"/>
      <c r="M33" s="12"/>
      <c r="N33" s="12"/>
      <c r="O33" s="12"/>
      <c r="P33" s="12"/>
      <c r="Q33" s="12"/>
      <c r="R33" s="12"/>
      <c r="S33" s="12"/>
      <c r="T33" s="12"/>
      <c r="U33" s="12"/>
      <c r="V33" s="12"/>
      <c r="W33" s="12"/>
      <c r="X33" s="12"/>
      <c r="Y33" s="12"/>
      <c r="Z33" s="12"/>
    </row>
    <row r="34" ht="12.75" customHeight="1">
      <c r="A34" s="13" t="s">
        <v>20</v>
      </c>
      <c r="B34" s="17" t="s">
        <v>21</v>
      </c>
      <c r="C34" s="17" t="s">
        <v>264</v>
      </c>
      <c r="D34" s="17">
        <v>3.0</v>
      </c>
      <c r="E34" s="17" t="s">
        <v>607</v>
      </c>
      <c r="F34" s="17" t="s">
        <v>516</v>
      </c>
      <c r="G34" s="17" t="s">
        <v>612</v>
      </c>
      <c r="H34" s="17" t="s">
        <v>613</v>
      </c>
      <c r="I34" s="17" t="s">
        <v>614</v>
      </c>
      <c r="J34" s="12"/>
      <c r="K34" s="12"/>
      <c r="L34" s="12"/>
      <c r="M34" s="12"/>
      <c r="N34" s="12"/>
      <c r="O34" s="12"/>
      <c r="P34" s="12"/>
      <c r="Q34" s="12"/>
      <c r="R34" s="12"/>
      <c r="S34" s="12"/>
      <c r="T34" s="12"/>
      <c r="U34" s="12"/>
      <c r="V34" s="12"/>
      <c r="W34" s="12"/>
      <c r="X34" s="12"/>
      <c r="Y34" s="12"/>
      <c r="Z34" s="12"/>
    </row>
    <row r="35" ht="12.75" customHeight="1">
      <c r="A35" s="13" t="s">
        <v>20</v>
      </c>
      <c r="B35" s="17" t="s">
        <v>21</v>
      </c>
      <c r="C35" s="17" t="s">
        <v>313</v>
      </c>
      <c r="D35" s="17">
        <v>1.0</v>
      </c>
      <c r="E35" s="17" t="s">
        <v>520</v>
      </c>
      <c r="F35" s="17" t="s">
        <v>521</v>
      </c>
      <c r="G35" s="17" t="s">
        <v>615</v>
      </c>
      <c r="H35" s="17" t="s">
        <v>616</v>
      </c>
      <c r="I35" s="17" t="s">
        <v>617</v>
      </c>
      <c r="J35" s="12"/>
      <c r="K35" s="12"/>
      <c r="L35" s="12"/>
      <c r="M35" s="12"/>
      <c r="N35" s="12"/>
      <c r="O35" s="12"/>
      <c r="P35" s="12"/>
      <c r="Q35" s="12"/>
      <c r="R35" s="12"/>
      <c r="S35" s="12"/>
      <c r="T35" s="12"/>
      <c r="U35" s="12"/>
      <c r="V35" s="12"/>
      <c r="W35" s="12"/>
      <c r="X35" s="12"/>
      <c r="Y35" s="12"/>
      <c r="Z35" s="12"/>
    </row>
    <row r="36" ht="12.75" customHeight="1">
      <c r="A36" s="13" t="s">
        <v>20</v>
      </c>
      <c r="B36" s="17" t="s">
        <v>21</v>
      </c>
      <c r="C36" s="17" t="s">
        <v>313</v>
      </c>
      <c r="D36" s="17">
        <v>2.0</v>
      </c>
      <c r="E36" s="17" t="s">
        <v>618</v>
      </c>
      <c r="F36" s="17" t="s">
        <v>521</v>
      </c>
      <c r="G36" s="17" t="s">
        <v>619</v>
      </c>
      <c r="H36" s="17" t="s">
        <v>620</v>
      </c>
      <c r="I36" s="17" t="s">
        <v>621</v>
      </c>
      <c r="J36" s="12"/>
      <c r="K36" s="12"/>
      <c r="L36" s="12"/>
      <c r="M36" s="12"/>
      <c r="N36" s="12"/>
      <c r="O36" s="12"/>
      <c r="P36" s="12"/>
      <c r="Q36" s="12"/>
      <c r="R36" s="12"/>
      <c r="S36" s="12"/>
      <c r="T36" s="12"/>
      <c r="U36" s="12"/>
      <c r="V36" s="12"/>
      <c r="W36" s="12"/>
      <c r="X36" s="12"/>
      <c r="Y36" s="12"/>
      <c r="Z36" s="12"/>
    </row>
    <row r="37" ht="12.75" customHeight="1">
      <c r="A37" s="13" t="s">
        <v>20</v>
      </c>
      <c r="B37" s="17" t="s">
        <v>21</v>
      </c>
      <c r="C37" s="17" t="s">
        <v>313</v>
      </c>
      <c r="D37" s="17">
        <v>3.0</v>
      </c>
      <c r="E37" s="17" t="s">
        <v>622</v>
      </c>
      <c r="F37" s="17" t="s">
        <v>521</v>
      </c>
      <c r="G37" s="17" t="s">
        <v>623</v>
      </c>
      <c r="H37" s="17" t="s">
        <v>624</v>
      </c>
      <c r="I37" s="17" t="s">
        <v>625</v>
      </c>
      <c r="J37" s="12"/>
      <c r="K37" s="12"/>
      <c r="L37" s="12"/>
      <c r="M37" s="12"/>
      <c r="N37" s="12"/>
      <c r="O37" s="12"/>
      <c r="P37" s="12"/>
      <c r="Q37" s="12"/>
      <c r="R37" s="12"/>
      <c r="S37" s="12"/>
      <c r="T37" s="12"/>
      <c r="U37" s="12"/>
      <c r="V37" s="12"/>
      <c r="W37" s="12"/>
      <c r="X37" s="12"/>
      <c r="Y37" s="12"/>
      <c r="Z37" s="12"/>
    </row>
    <row r="38" ht="12.75" customHeight="1">
      <c r="A38" s="13" t="s">
        <v>20</v>
      </c>
      <c r="B38" s="17" t="s">
        <v>82</v>
      </c>
      <c r="C38" s="17" t="s">
        <v>264</v>
      </c>
      <c r="D38" s="17">
        <v>1.0</v>
      </c>
      <c r="E38" s="17" t="s">
        <v>626</v>
      </c>
      <c r="F38" s="17" t="s">
        <v>627</v>
      </c>
      <c r="G38" s="17" t="s">
        <v>628</v>
      </c>
      <c r="H38" s="17" t="s">
        <v>629</v>
      </c>
      <c r="I38" s="17" t="s">
        <v>630</v>
      </c>
      <c r="J38" s="12"/>
      <c r="K38" s="12"/>
      <c r="L38" s="12"/>
      <c r="M38" s="12"/>
      <c r="N38" s="12"/>
      <c r="O38" s="12"/>
      <c r="P38" s="12"/>
      <c r="Q38" s="12"/>
      <c r="R38" s="12"/>
      <c r="S38" s="12"/>
      <c r="T38" s="12"/>
      <c r="U38" s="12"/>
      <c r="V38" s="12"/>
      <c r="W38" s="12"/>
      <c r="X38" s="12"/>
      <c r="Y38" s="12"/>
      <c r="Z38" s="12"/>
    </row>
    <row r="39" ht="12.75" customHeight="1">
      <c r="A39" s="13" t="s">
        <v>20</v>
      </c>
      <c r="B39" s="17" t="s">
        <v>82</v>
      </c>
      <c r="C39" s="17" t="s">
        <v>264</v>
      </c>
      <c r="D39" s="17">
        <v>2.0</v>
      </c>
      <c r="E39" s="17" t="s">
        <v>631</v>
      </c>
      <c r="F39" s="17" t="s">
        <v>627</v>
      </c>
      <c r="G39" s="17" t="s">
        <v>632</v>
      </c>
      <c r="H39" s="17" t="s">
        <v>633</v>
      </c>
      <c r="I39" s="17" t="s">
        <v>634</v>
      </c>
      <c r="J39" s="12"/>
      <c r="K39" s="12"/>
      <c r="L39" s="12"/>
      <c r="M39" s="12"/>
      <c r="N39" s="12"/>
      <c r="O39" s="12"/>
      <c r="P39" s="12"/>
      <c r="Q39" s="12"/>
      <c r="R39" s="12"/>
      <c r="S39" s="12"/>
      <c r="T39" s="12"/>
      <c r="U39" s="12"/>
      <c r="V39" s="12"/>
      <c r="W39" s="12"/>
      <c r="X39" s="12"/>
      <c r="Y39" s="12"/>
      <c r="Z39" s="12"/>
    </row>
    <row r="40" ht="12.75" customHeight="1">
      <c r="A40" s="13" t="s">
        <v>20</v>
      </c>
      <c r="B40" s="17" t="s">
        <v>82</v>
      </c>
      <c r="C40" s="17" t="s">
        <v>264</v>
      </c>
      <c r="D40" s="17">
        <v>3.0</v>
      </c>
      <c r="E40" s="17" t="s">
        <v>631</v>
      </c>
      <c r="F40" s="17" t="s">
        <v>627</v>
      </c>
      <c r="G40" s="17" t="s">
        <v>635</v>
      </c>
      <c r="H40" s="17" t="s">
        <v>636</v>
      </c>
      <c r="I40" s="17" t="s">
        <v>637</v>
      </c>
      <c r="J40" s="12"/>
      <c r="K40" s="12"/>
      <c r="L40" s="12"/>
      <c r="M40" s="12"/>
      <c r="N40" s="12"/>
      <c r="O40" s="12"/>
      <c r="P40" s="12"/>
      <c r="Q40" s="12"/>
      <c r="R40" s="12"/>
      <c r="S40" s="12"/>
      <c r="T40" s="12"/>
      <c r="U40" s="12"/>
      <c r="V40" s="12"/>
      <c r="W40" s="12"/>
      <c r="X40" s="12"/>
      <c r="Y40" s="12"/>
      <c r="Z40" s="12"/>
    </row>
    <row r="41" ht="12.75" customHeight="1">
      <c r="A41" s="13" t="s">
        <v>20</v>
      </c>
      <c r="B41" s="17" t="s">
        <v>82</v>
      </c>
      <c r="C41" s="17" t="s">
        <v>313</v>
      </c>
      <c r="D41" s="17">
        <v>1.0</v>
      </c>
      <c r="E41" s="17" t="s">
        <v>638</v>
      </c>
      <c r="F41" s="17" t="s">
        <v>639</v>
      </c>
      <c r="G41" s="17" t="s">
        <v>640</v>
      </c>
      <c r="H41" s="17" t="s">
        <v>641</v>
      </c>
      <c r="I41" s="17" t="s">
        <v>642</v>
      </c>
      <c r="J41" s="12"/>
      <c r="K41" s="12"/>
      <c r="L41" s="12"/>
      <c r="M41" s="12"/>
      <c r="N41" s="12"/>
      <c r="O41" s="12"/>
      <c r="P41" s="12"/>
      <c r="Q41" s="12"/>
      <c r="R41" s="12"/>
      <c r="S41" s="12"/>
      <c r="T41" s="12"/>
      <c r="U41" s="12"/>
      <c r="V41" s="12"/>
      <c r="W41" s="12"/>
      <c r="X41" s="12"/>
      <c r="Y41" s="12"/>
      <c r="Z41" s="12"/>
    </row>
    <row r="42" ht="12.75" customHeight="1">
      <c r="A42" s="13" t="s">
        <v>20</v>
      </c>
      <c r="B42" s="17" t="s">
        <v>82</v>
      </c>
      <c r="C42" s="17" t="s">
        <v>313</v>
      </c>
      <c r="D42" s="17">
        <v>2.0</v>
      </c>
      <c r="E42" s="17" t="s">
        <v>638</v>
      </c>
      <c r="F42" s="17" t="s">
        <v>639</v>
      </c>
      <c r="G42" s="17" t="s">
        <v>643</v>
      </c>
      <c r="H42" s="17" t="s">
        <v>644</v>
      </c>
      <c r="I42" s="17" t="s">
        <v>645</v>
      </c>
      <c r="J42" s="12"/>
      <c r="K42" s="12"/>
      <c r="L42" s="12"/>
      <c r="M42" s="12"/>
      <c r="N42" s="12"/>
      <c r="O42" s="12"/>
      <c r="P42" s="12"/>
      <c r="Q42" s="12"/>
      <c r="R42" s="12"/>
      <c r="S42" s="12"/>
      <c r="T42" s="12"/>
      <c r="U42" s="12"/>
      <c r="V42" s="12"/>
      <c r="W42" s="12"/>
      <c r="X42" s="12"/>
      <c r="Y42" s="12"/>
      <c r="Z42" s="12"/>
    </row>
    <row r="43" ht="12.75" customHeight="1">
      <c r="A43" s="13" t="s">
        <v>20</v>
      </c>
      <c r="B43" s="17" t="s">
        <v>82</v>
      </c>
      <c r="C43" s="17" t="s">
        <v>313</v>
      </c>
      <c r="D43" s="17">
        <v>3.0</v>
      </c>
      <c r="E43" s="17" t="s">
        <v>638</v>
      </c>
      <c r="F43" s="17" t="s">
        <v>646</v>
      </c>
      <c r="G43" s="17" t="s">
        <v>647</v>
      </c>
      <c r="H43" s="17" t="s">
        <v>648</v>
      </c>
      <c r="I43" s="17" t="s">
        <v>649</v>
      </c>
      <c r="J43" s="12"/>
      <c r="K43" s="12"/>
      <c r="L43" s="12"/>
      <c r="M43" s="12"/>
      <c r="N43" s="12"/>
      <c r="O43" s="12"/>
      <c r="P43" s="12"/>
      <c r="Q43" s="12"/>
      <c r="R43" s="12"/>
      <c r="S43" s="12"/>
      <c r="T43" s="12"/>
      <c r="U43" s="12"/>
      <c r="V43" s="12"/>
      <c r="W43" s="12"/>
      <c r="X43" s="12"/>
      <c r="Y43" s="12"/>
      <c r="Z43" s="12"/>
    </row>
    <row r="44" ht="12.75" customHeight="1">
      <c r="A44" s="13" t="s">
        <v>20</v>
      </c>
      <c r="B44" s="17" t="s">
        <v>549</v>
      </c>
      <c r="C44" s="17" t="s">
        <v>264</v>
      </c>
      <c r="D44" s="17">
        <v>1.0</v>
      </c>
      <c r="E44" s="17" t="s">
        <v>575</v>
      </c>
      <c r="F44" s="17" t="s">
        <v>650</v>
      </c>
      <c r="G44" s="17" t="s">
        <v>651</v>
      </c>
      <c r="H44" s="17" t="s">
        <v>652</v>
      </c>
      <c r="I44" s="17" t="s">
        <v>653</v>
      </c>
      <c r="J44" s="12"/>
      <c r="K44" s="12"/>
      <c r="L44" s="12"/>
      <c r="M44" s="12"/>
      <c r="N44" s="12"/>
      <c r="O44" s="12"/>
      <c r="P44" s="12"/>
      <c r="Q44" s="12"/>
      <c r="R44" s="12"/>
      <c r="S44" s="12"/>
      <c r="T44" s="12"/>
      <c r="U44" s="12"/>
      <c r="V44" s="12"/>
      <c r="W44" s="12"/>
      <c r="X44" s="12"/>
      <c r="Y44" s="12"/>
      <c r="Z44" s="12"/>
    </row>
    <row r="45" ht="12.75" customHeight="1">
      <c r="A45" s="13" t="s">
        <v>20</v>
      </c>
      <c r="B45" s="17" t="s">
        <v>549</v>
      </c>
      <c r="C45" s="17" t="s">
        <v>264</v>
      </c>
      <c r="D45" s="17">
        <v>2.0</v>
      </c>
      <c r="E45" s="17" t="s">
        <v>654</v>
      </c>
      <c r="F45" s="17" t="s">
        <v>650</v>
      </c>
      <c r="G45" s="17" t="s">
        <v>655</v>
      </c>
      <c r="H45" s="17" t="s">
        <v>656</v>
      </c>
      <c r="I45" s="17" t="s">
        <v>657</v>
      </c>
      <c r="J45" s="12"/>
      <c r="K45" s="12"/>
      <c r="L45" s="12"/>
      <c r="M45" s="12"/>
      <c r="N45" s="12"/>
      <c r="O45" s="12"/>
      <c r="P45" s="12"/>
      <c r="Q45" s="12"/>
      <c r="R45" s="12"/>
      <c r="S45" s="12"/>
      <c r="T45" s="12"/>
      <c r="U45" s="12"/>
      <c r="V45" s="12"/>
      <c r="W45" s="12"/>
      <c r="X45" s="12"/>
      <c r="Y45" s="12"/>
      <c r="Z45" s="12"/>
    </row>
    <row r="46" ht="12.75" customHeight="1">
      <c r="A46" s="13" t="s">
        <v>20</v>
      </c>
      <c r="B46" s="17" t="s">
        <v>549</v>
      </c>
      <c r="C46" s="17" t="s">
        <v>264</v>
      </c>
      <c r="D46" s="17">
        <v>3.0</v>
      </c>
      <c r="E46" s="17" t="s">
        <v>654</v>
      </c>
      <c r="F46" s="17" t="s">
        <v>650</v>
      </c>
      <c r="G46" s="17" t="s">
        <v>658</v>
      </c>
      <c r="H46" s="17" t="s">
        <v>659</v>
      </c>
      <c r="I46" s="17" t="s">
        <v>660</v>
      </c>
      <c r="J46" s="12"/>
      <c r="K46" s="12"/>
      <c r="L46" s="12"/>
      <c r="M46" s="12"/>
      <c r="N46" s="12"/>
      <c r="O46" s="12"/>
      <c r="P46" s="12"/>
      <c r="Q46" s="12"/>
      <c r="R46" s="12"/>
      <c r="S46" s="12"/>
      <c r="T46" s="12"/>
      <c r="U46" s="12"/>
      <c r="V46" s="12"/>
      <c r="W46" s="12"/>
      <c r="X46" s="12"/>
      <c r="Y46" s="12"/>
      <c r="Z46" s="12"/>
    </row>
    <row r="47" ht="12.75" customHeight="1">
      <c r="A47" s="13" t="s">
        <v>20</v>
      </c>
      <c r="B47" s="17" t="s">
        <v>549</v>
      </c>
      <c r="C47" s="17" t="s">
        <v>313</v>
      </c>
      <c r="D47" s="17">
        <v>1.0</v>
      </c>
      <c r="E47" s="17" t="s">
        <v>661</v>
      </c>
      <c r="F47" s="17" t="s">
        <v>662</v>
      </c>
      <c r="G47" s="17" t="s">
        <v>663</v>
      </c>
      <c r="H47" s="17" t="s">
        <v>664</v>
      </c>
      <c r="I47" s="17" t="s">
        <v>665</v>
      </c>
      <c r="J47" s="12"/>
      <c r="K47" s="12"/>
      <c r="L47" s="12"/>
      <c r="M47" s="12"/>
      <c r="N47" s="12"/>
      <c r="O47" s="12"/>
      <c r="P47" s="12"/>
      <c r="Q47" s="12"/>
      <c r="R47" s="12"/>
      <c r="S47" s="12"/>
      <c r="T47" s="12"/>
      <c r="U47" s="12"/>
      <c r="V47" s="12"/>
      <c r="W47" s="12"/>
      <c r="X47" s="12"/>
      <c r="Y47" s="12"/>
      <c r="Z47" s="12"/>
    </row>
    <row r="48" ht="12.75" customHeight="1">
      <c r="A48" s="13" t="s">
        <v>20</v>
      </c>
      <c r="B48" s="17" t="s">
        <v>549</v>
      </c>
      <c r="C48" s="17" t="s">
        <v>313</v>
      </c>
      <c r="D48" s="17">
        <v>2.0</v>
      </c>
      <c r="E48" s="17" t="s">
        <v>661</v>
      </c>
      <c r="F48" s="17" t="s">
        <v>662</v>
      </c>
      <c r="G48" s="17" t="s">
        <v>666</v>
      </c>
      <c r="H48" s="17" t="s">
        <v>667</v>
      </c>
      <c r="I48" s="17" t="s">
        <v>668</v>
      </c>
      <c r="J48" s="12"/>
      <c r="K48" s="12"/>
      <c r="L48" s="12"/>
      <c r="M48" s="12"/>
      <c r="N48" s="12"/>
      <c r="O48" s="12"/>
      <c r="P48" s="12"/>
      <c r="Q48" s="12"/>
      <c r="R48" s="12"/>
      <c r="S48" s="12"/>
      <c r="T48" s="12"/>
      <c r="U48" s="12"/>
      <c r="V48" s="12"/>
      <c r="W48" s="12"/>
      <c r="X48" s="12"/>
      <c r="Y48" s="12"/>
      <c r="Z48" s="12"/>
    </row>
    <row r="49" ht="12.75" customHeight="1">
      <c r="A49" s="13" t="s">
        <v>20</v>
      </c>
      <c r="B49" s="17" t="s">
        <v>549</v>
      </c>
      <c r="C49" s="17" t="s">
        <v>313</v>
      </c>
      <c r="D49" s="17">
        <v>3.0</v>
      </c>
      <c r="E49" s="17" t="s">
        <v>661</v>
      </c>
      <c r="F49" s="17" t="s">
        <v>662</v>
      </c>
      <c r="G49" s="17" t="s">
        <v>669</v>
      </c>
      <c r="H49" s="17" t="s">
        <v>670</v>
      </c>
      <c r="I49" s="17" t="s">
        <v>671</v>
      </c>
      <c r="J49" s="12"/>
      <c r="K49" s="12"/>
      <c r="L49" s="12"/>
      <c r="M49" s="12"/>
      <c r="N49" s="12"/>
      <c r="O49" s="12"/>
      <c r="P49" s="12"/>
      <c r="Q49" s="12"/>
      <c r="R49" s="12"/>
      <c r="S49" s="12"/>
      <c r="T49" s="12"/>
      <c r="U49" s="12"/>
      <c r="V49" s="12"/>
      <c r="W49" s="12"/>
      <c r="X49" s="12"/>
      <c r="Y49" s="12"/>
      <c r="Z49" s="12"/>
    </row>
  </sheetData>
  <autoFilter ref="$A$1:$Z$49"/>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38"/>
    <col customWidth="1" min="2" max="2" width="9.75"/>
    <col customWidth="1" min="3" max="3" width="7.25"/>
    <col customWidth="1" min="4" max="4" width="12.5"/>
    <col customWidth="1" min="5" max="5" width="16.25"/>
    <col customWidth="1" min="6" max="6" width="13.5"/>
    <col customWidth="1" min="7" max="7" width="23.0"/>
    <col customWidth="1" min="8" max="8" width="18.38"/>
    <col customWidth="1" min="9" max="9" width="54.5"/>
    <col customWidth="1" min="10" max="10" width="27.0"/>
    <col customWidth="1" min="11" max="11" width="16.0"/>
    <col customWidth="1" min="12" max="12" width="15.75"/>
    <col customWidth="1" min="13" max="13" width="24.75"/>
    <col customWidth="1" hidden="1" min="14" max="25" width="11.38"/>
  </cols>
  <sheetData>
    <row r="1" ht="27.0" customHeight="1">
      <c r="A1" s="15" t="s">
        <v>8</v>
      </c>
      <c r="B1" s="15" t="s">
        <v>9</v>
      </c>
      <c r="C1" s="15" t="s">
        <v>10</v>
      </c>
      <c r="D1" s="15" t="s">
        <v>11</v>
      </c>
      <c r="E1" s="15" t="s">
        <v>672</v>
      </c>
      <c r="F1" s="15" t="s">
        <v>12</v>
      </c>
      <c r="G1" s="15" t="s">
        <v>673</v>
      </c>
      <c r="H1" s="15" t="s">
        <v>674</v>
      </c>
      <c r="I1" s="15" t="s">
        <v>675</v>
      </c>
      <c r="J1" s="15" t="s">
        <v>676</v>
      </c>
      <c r="K1" s="15" t="s">
        <v>677</v>
      </c>
      <c r="L1" s="15" t="s">
        <v>678</v>
      </c>
      <c r="M1" s="15" t="s">
        <v>468</v>
      </c>
      <c r="N1" s="16"/>
      <c r="O1" s="16"/>
      <c r="P1" s="16"/>
      <c r="Q1" s="16"/>
      <c r="R1" s="16"/>
      <c r="S1" s="16"/>
      <c r="T1" s="16"/>
      <c r="U1" s="16"/>
      <c r="V1" s="16"/>
      <c r="W1" s="16"/>
      <c r="X1" s="16"/>
      <c r="Y1" s="16"/>
    </row>
    <row r="2">
      <c r="A2" s="12"/>
      <c r="B2" s="10" t="s">
        <v>20</v>
      </c>
      <c r="C2" s="10" t="s">
        <v>469</v>
      </c>
      <c r="D2" s="10" t="s">
        <v>22</v>
      </c>
      <c r="E2" s="18" t="s">
        <v>679</v>
      </c>
      <c r="F2" s="10">
        <v>1.0</v>
      </c>
      <c r="G2" s="10" t="s">
        <v>680</v>
      </c>
      <c r="H2" s="10" t="s">
        <v>681</v>
      </c>
      <c r="I2" s="10" t="s">
        <v>682</v>
      </c>
      <c r="J2" s="11" t="s">
        <v>683</v>
      </c>
      <c r="K2" s="10" t="s">
        <v>684</v>
      </c>
      <c r="L2" s="10" t="s">
        <v>685</v>
      </c>
      <c r="M2" s="10" t="s">
        <v>686</v>
      </c>
      <c r="N2" s="12"/>
      <c r="O2" s="12"/>
      <c r="P2" s="12"/>
      <c r="Q2" s="12"/>
      <c r="R2" s="12"/>
      <c r="S2" s="12"/>
      <c r="T2" s="12"/>
      <c r="U2" s="12"/>
      <c r="V2" s="12"/>
      <c r="W2" s="12"/>
      <c r="X2" s="12"/>
      <c r="Y2" s="12"/>
    </row>
    <row r="3">
      <c r="A3" s="12"/>
      <c r="B3" s="10" t="s">
        <v>20</v>
      </c>
      <c r="C3" s="10" t="s">
        <v>469</v>
      </c>
      <c r="D3" s="10" t="s">
        <v>22</v>
      </c>
      <c r="E3" s="19"/>
      <c r="F3" s="10">
        <v>2.0</v>
      </c>
      <c r="G3" s="10" t="s">
        <v>680</v>
      </c>
      <c r="H3" s="10" t="s">
        <v>681</v>
      </c>
      <c r="I3" s="10" t="s">
        <v>687</v>
      </c>
      <c r="J3" s="11" t="s">
        <v>688</v>
      </c>
      <c r="K3" s="11" t="s">
        <v>689</v>
      </c>
      <c r="L3" s="11" t="s">
        <v>690</v>
      </c>
      <c r="M3" s="10" t="s">
        <v>691</v>
      </c>
      <c r="N3" s="12"/>
      <c r="O3" s="12"/>
      <c r="P3" s="12"/>
      <c r="Q3" s="12"/>
      <c r="R3" s="12"/>
      <c r="S3" s="12"/>
      <c r="T3" s="12"/>
      <c r="U3" s="12"/>
      <c r="V3" s="12"/>
      <c r="W3" s="12"/>
      <c r="X3" s="12"/>
      <c r="Y3" s="12"/>
    </row>
    <row r="4">
      <c r="A4" s="12"/>
      <c r="B4" s="10" t="s">
        <v>20</v>
      </c>
      <c r="C4" s="10" t="s">
        <v>469</v>
      </c>
      <c r="D4" s="10" t="s">
        <v>22</v>
      </c>
      <c r="E4" s="19"/>
      <c r="F4" s="10">
        <v>3.0</v>
      </c>
      <c r="G4" s="10" t="s">
        <v>692</v>
      </c>
      <c r="H4" s="10" t="s">
        <v>693</v>
      </c>
      <c r="I4" s="10" t="s">
        <v>694</v>
      </c>
      <c r="J4" s="11" t="s">
        <v>695</v>
      </c>
      <c r="K4" s="10" t="s">
        <v>696</v>
      </c>
      <c r="L4" s="10" t="s">
        <v>697</v>
      </c>
      <c r="M4" s="10" t="s">
        <v>698</v>
      </c>
      <c r="N4" s="12"/>
      <c r="O4" s="12"/>
      <c r="P4" s="12"/>
      <c r="Q4" s="12"/>
      <c r="R4" s="12"/>
      <c r="S4" s="12"/>
      <c r="T4" s="12"/>
      <c r="U4" s="12"/>
      <c r="V4" s="12"/>
      <c r="W4" s="12"/>
      <c r="X4" s="12"/>
      <c r="Y4" s="12"/>
    </row>
    <row r="5">
      <c r="A5" s="12"/>
      <c r="B5" s="10" t="s">
        <v>20</v>
      </c>
      <c r="C5" s="10" t="s">
        <v>469</v>
      </c>
      <c r="D5" s="10" t="s">
        <v>22</v>
      </c>
      <c r="E5" s="19"/>
      <c r="F5" s="10">
        <v>4.0</v>
      </c>
      <c r="G5" s="10" t="s">
        <v>699</v>
      </c>
      <c r="H5" s="10" t="s">
        <v>700</v>
      </c>
      <c r="I5" s="10" t="s">
        <v>701</v>
      </c>
      <c r="J5" s="10" t="s">
        <v>702</v>
      </c>
      <c r="K5" s="10" t="s">
        <v>703</v>
      </c>
      <c r="L5" s="10" t="s">
        <v>704</v>
      </c>
      <c r="M5" s="10" t="s">
        <v>705</v>
      </c>
      <c r="N5" s="12"/>
      <c r="O5" s="12"/>
      <c r="P5" s="12"/>
      <c r="Q5" s="12"/>
      <c r="R5" s="12"/>
      <c r="S5" s="12"/>
      <c r="T5" s="12"/>
      <c r="U5" s="12"/>
      <c r="V5" s="12"/>
      <c r="W5" s="12"/>
      <c r="X5" s="12"/>
      <c r="Y5" s="12"/>
    </row>
    <row r="6">
      <c r="A6" s="12"/>
      <c r="B6" s="10" t="s">
        <v>20</v>
      </c>
      <c r="C6" s="10" t="s">
        <v>469</v>
      </c>
      <c r="D6" s="10" t="s">
        <v>22</v>
      </c>
      <c r="E6" s="19"/>
      <c r="F6" s="10">
        <v>5.0</v>
      </c>
      <c r="G6" s="10" t="s">
        <v>706</v>
      </c>
      <c r="H6" s="10" t="s">
        <v>707</v>
      </c>
      <c r="I6" s="10" t="s">
        <v>708</v>
      </c>
      <c r="J6" s="11" t="s">
        <v>709</v>
      </c>
      <c r="K6" s="10" t="s">
        <v>710</v>
      </c>
      <c r="L6" s="10" t="s">
        <v>711</v>
      </c>
      <c r="M6" s="10" t="s">
        <v>712</v>
      </c>
      <c r="N6" s="12"/>
      <c r="O6" s="12"/>
      <c r="P6" s="12"/>
      <c r="Q6" s="12"/>
      <c r="R6" s="12"/>
      <c r="S6" s="12"/>
      <c r="T6" s="12"/>
      <c r="U6" s="12"/>
      <c r="V6" s="12"/>
      <c r="W6" s="12"/>
      <c r="X6" s="12"/>
      <c r="Y6" s="12"/>
    </row>
    <row r="7">
      <c r="A7" s="12"/>
      <c r="B7" s="10" t="s">
        <v>20</v>
      </c>
      <c r="C7" s="10" t="s">
        <v>469</v>
      </c>
      <c r="D7" s="10" t="s">
        <v>22</v>
      </c>
      <c r="E7" s="19"/>
      <c r="F7" s="10">
        <v>6.0</v>
      </c>
      <c r="G7" s="10" t="s">
        <v>713</v>
      </c>
      <c r="H7" s="10" t="s">
        <v>714</v>
      </c>
      <c r="I7" s="10" t="s">
        <v>715</v>
      </c>
      <c r="J7" s="11" t="s">
        <v>716</v>
      </c>
      <c r="K7" s="10" t="s">
        <v>717</v>
      </c>
      <c r="L7" s="10" t="s">
        <v>711</v>
      </c>
      <c r="M7" s="10" t="s">
        <v>718</v>
      </c>
      <c r="N7" s="12"/>
      <c r="O7" s="12"/>
      <c r="P7" s="12"/>
      <c r="Q7" s="12"/>
      <c r="R7" s="12"/>
      <c r="S7" s="12"/>
      <c r="T7" s="12"/>
      <c r="U7" s="12"/>
      <c r="V7" s="12"/>
      <c r="W7" s="12"/>
      <c r="X7" s="12"/>
      <c r="Y7" s="12"/>
    </row>
    <row r="8">
      <c r="A8" s="12"/>
      <c r="B8" s="10" t="s">
        <v>20</v>
      </c>
      <c r="C8" s="10" t="s">
        <v>469</v>
      </c>
      <c r="D8" s="10" t="s">
        <v>22</v>
      </c>
      <c r="E8" s="20"/>
      <c r="F8" s="10">
        <v>7.0</v>
      </c>
      <c r="G8" s="10" t="s">
        <v>713</v>
      </c>
      <c r="H8" s="10" t="s">
        <v>714</v>
      </c>
      <c r="I8" s="10" t="s">
        <v>719</v>
      </c>
      <c r="J8" s="11" t="s">
        <v>720</v>
      </c>
      <c r="K8" s="11" t="s">
        <v>721</v>
      </c>
      <c r="L8" s="11" t="s">
        <v>722</v>
      </c>
      <c r="M8" s="10" t="s">
        <v>723</v>
      </c>
      <c r="N8" s="12"/>
      <c r="O8" s="12"/>
      <c r="P8" s="12"/>
      <c r="Q8" s="12"/>
      <c r="R8" s="12"/>
      <c r="S8" s="12"/>
      <c r="T8" s="12"/>
      <c r="U8" s="12"/>
      <c r="V8" s="12"/>
      <c r="W8" s="12"/>
      <c r="X8" s="12"/>
      <c r="Y8" s="12"/>
    </row>
    <row r="9">
      <c r="A9" s="12"/>
      <c r="B9" s="10" t="s">
        <v>20</v>
      </c>
      <c r="C9" s="10" t="s">
        <v>21</v>
      </c>
      <c r="D9" s="10" t="s">
        <v>22</v>
      </c>
      <c r="E9" s="18" t="s">
        <v>724</v>
      </c>
      <c r="F9" s="10">
        <v>1.0</v>
      </c>
      <c r="G9" s="10" t="s">
        <v>680</v>
      </c>
      <c r="H9" s="10" t="s">
        <v>725</v>
      </c>
      <c r="I9" s="10" t="s">
        <v>726</v>
      </c>
      <c r="J9" s="10" t="s">
        <v>727</v>
      </c>
      <c r="K9" s="10" t="s">
        <v>728</v>
      </c>
      <c r="L9" s="10" t="s">
        <v>704</v>
      </c>
      <c r="M9" s="10" t="s">
        <v>729</v>
      </c>
      <c r="N9" s="12"/>
      <c r="O9" s="12"/>
      <c r="P9" s="12"/>
      <c r="Q9" s="12"/>
      <c r="R9" s="12"/>
      <c r="S9" s="12"/>
      <c r="T9" s="12"/>
      <c r="U9" s="12"/>
      <c r="V9" s="12"/>
      <c r="W9" s="12"/>
      <c r="X9" s="12"/>
      <c r="Y9" s="12"/>
    </row>
    <row r="10">
      <c r="A10" s="12"/>
      <c r="B10" s="10" t="s">
        <v>20</v>
      </c>
      <c r="C10" s="10" t="s">
        <v>21</v>
      </c>
      <c r="D10" s="10" t="s">
        <v>22</v>
      </c>
      <c r="E10" s="19"/>
      <c r="F10" s="10">
        <v>2.0</v>
      </c>
      <c r="G10" s="10" t="s">
        <v>680</v>
      </c>
      <c r="H10" s="10" t="s">
        <v>725</v>
      </c>
      <c r="I10" s="10" t="s">
        <v>730</v>
      </c>
      <c r="J10" s="10" t="s">
        <v>727</v>
      </c>
      <c r="K10" s="10" t="s">
        <v>728</v>
      </c>
      <c r="L10" s="10" t="s">
        <v>704</v>
      </c>
      <c r="M10" s="10" t="s">
        <v>729</v>
      </c>
      <c r="N10" s="12"/>
      <c r="O10" s="12"/>
      <c r="P10" s="12"/>
      <c r="Q10" s="12"/>
      <c r="R10" s="12"/>
      <c r="S10" s="12"/>
      <c r="T10" s="12"/>
      <c r="U10" s="12"/>
      <c r="V10" s="12"/>
      <c r="W10" s="12"/>
      <c r="X10" s="12"/>
      <c r="Y10" s="12"/>
    </row>
    <row r="11">
      <c r="A11" s="12"/>
      <c r="B11" s="10" t="s">
        <v>20</v>
      </c>
      <c r="C11" s="10" t="s">
        <v>21</v>
      </c>
      <c r="D11" s="10" t="s">
        <v>22</v>
      </c>
      <c r="E11" s="19"/>
      <c r="F11" s="10">
        <v>3.0</v>
      </c>
      <c r="G11" s="10" t="s">
        <v>692</v>
      </c>
      <c r="H11" s="10" t="s">
        <v>731</v>
      </c>
      <c r="I11" s="10" t="s">
        <v>732</v>
      </c>
      <c r="J11" s="10" t="s">
        <v>733</v>
      </c>
      <c r="K11" s="10" t="s">
        <v>734</v>
      </c>
      <c r="L11" s="10" t="s">
        <v>735</v>
      </c>
      <c r="M11" s="10" t="s">
        <v>736</v>
      </c>
      <c r="N11" s="12"/>
      <c r="O11" s="12"/>
      <c r="P11" s="12"/>
      <c r="Q11" s="12"/>
      <c r="R11" s="12"/>
      <c r="S11" s="12"/>
      <c r="T11" s="12"/>
      <c r="U11" s="12"/>
      <c r="V11" s="12"/>
      <c r="W11" s="12"/>
      <c r="X11" s="12"/>
      <c r="Y11" s="12"/>
    </row>
    <row r="12">
      <c r="A12" s="12"/>
      <c r="B12" s="10" t="s">
        <v>20</v>
      </c>
      <c r="C12" s="10" t="s">
        <v>21</v>
      </c>
      <c r="D12" s="10" t="s">
        <v>22</v>
      </c>
      <c r="E12" s="19"/>
      <c r="F12" s="10">
        <v>4.0</v>
      </c>
      <c r="G12" s="10" t="s">
        <v>737</v>
      </c>
      <c r="H12" s="10" t="s">
        <v>738</v>
      </c>
      <c r="I12" s="10" t="s">
        <v>739</v>
      </c>
      <c r="J12" s="10" t="s">
        <v>740</v>
      </c>
      <c r="K12" s="10" t="s">
        <v>741</v>
      </c>
      <c r="L12" s="10" t="s">
        <v>711</v>
      </c>
      <c r="M12" s="10" t="s">
        <v>742</v>
      </c>
      <c r="N12" s="12"/>
      <c r="O12" s="12"/>
      <c r="P12" s="12"/>
      <c r="Q12" s="12"/>
      <c r="R12" s="12"/>
      <c r="S12" s="12"/>
      <c r="T12" s="12"/>
      <c r="U12" s="12"/>
      <c r="V12" s="12"/>
      <c r="W12" s="12"/>
      <c r="X12" s="12"/>
      <c r="Y12" s="12"/>
    </row>
    <row r="13">
      <c r="A13" s="12"/>
      <c r="B13" s="10" t="s">
        <v>20</v>
      </c>
      <c r="C13" s="10" t="s">
        <v>21</v>
      </c>
      <c r="D13" s="10" t="s">
        <v>22</v>
      </c>
      <c r="E13" s="19"/>
      <c r="F13" s="10">
        <v>5.0</v>
      </c>
      <c r="G13" s="10" t="s">
        <v>706</v>
      </c>
      <c r="H13" s="10" t="s">
        <v>743</v>
      </c>
      <c r="I13" s="10" t="s">
        <v>744</v>
      </c>
      <c r="J13" s="10" t="s">
        <v>745</v>
      </c>
      <c r="K13" s="10" t="s">
        <v>746</v>
      </c>
      <c r="L13" s="10" t="s">
        <v>747</v>
      </c>
      <c r="M13" s="10" t="s">
        <v>748</v>
      </c>
      <c r="N13" s="12"/>
      <c r="O13" s="12"/>
      <c r="P13" s="12"/>
      <c r="Q13" s="12"/>
      <c r="R13" s="12"/>
      <c r="S13" s="12"/>
      <c r="T13" s="12"/>
      <c r="U13" s="12"/>
      <c r="V13" s="12"/>
      <c r="W13" s="12"/>
      <c r="X13" s="12"/>
      <c r="Y13" s="12"/>
    </row>
    <row r="14">
      <c r="A14" s="12"/>
      <c r="B14" s="10" t="s">
        <v>20</v>
      </c>
      <c r="C14" s="10" t="s">
        <v>21</v>
      </c>
      <c r="D14" s="10" t="s">
        <v>22</v>
      </c>
      <c r="E14" s="19"/>
      <c r="F14" s="10">
        <v>6.0</v>
      </c>
      <c r="G14" s="10" t="s">
        <v>713</v>
      </c>
      <c r="H14" s="10" t="s">
        <v>749</v>
      </c>
      <c r="I14" s="10" t="s">
        <v>750</v>
      </c>
      <c r="J14" s="10" t="s">
        <v>751</v>
      </c>
      <c r="K14" s="10" t="s">
        <v>752</v>
      </c>
      <c r="L14" s="10" t="s">
        <v>735</v>
      </c>
      <c r="M14" s="10" t="s">
        <v>753</v>
      </c>
      <c r="N14" s="12"/>
      <c r="O14" s="12"/>
      <c r="P14" s="12"/>
      <c r="Q14" s="12"/>
      <c r="R14" s="12"/>
      <c r="S14" s="12"/>
      <c r="T14" s="12"/>
      <c r="U14" s="12"/>
      <c r="V14" s="12"/>
      <c r="W14" s="12"/>
      <c r="X14" s="12"/>
      <c r="Y14" s="12"/>
    </row>
    <row r="15">
      <c r="A15" s="12"/>
      <c r="B15" s="10" t="s">
        <v>20</v>
      </c>
      <c r="C15" s="10" t="s">
        <v>21</v>
      </c>
      <c r="D15" s="10" t="s">
        <v>22</v>
      </c>
      <c r="E15" s="20"/>
      <c r="F15" s="10">
        <v>7.0</v>
      </c>
      <c r="G15" s="10" t="s">
        <v>680</v>
      </c>
      <c r="H15" s="10" t="s">
        <v>754</v>
      </c>
      <c r="I15" s="10" t="s">
        <v>755</v>
      </c>
      <c r="J15" s="10" t="s">
        <v>727</v>
      </c>
      <c r="K15" s="11" t="s">
        <v>756</v>
      </c>
      <c r="L15" s="11" t="s">
        <v>757</v>
      </c>
      <c r="M15" s="10" t="s">
        <v>758</v>
      </c>
      <c r="N15" s="12"/>
      <c r="O15" s="12"/>
      <c r="P15" s="12"/>
      <c r="Q15" s="12"/>
      <c r="R15" s="12"/>
      <c r="S15" s="12"/>
      <c r="T15" s="12"/>
      <c r="U15" s="12"/>
      <c r="V15" s="12"/>
      <c r="W15" s="12"/>
      <c r="X15" s="12"/>
      <c r="Y15" s="12"/>
    </row>
    <row r="16">
      <c r="A16" s="12"/>
      <c r="B16" s="10" t="s">
        <v>20</v>
      </c>
      <c r="C16" s="10" t="s">
        <v>82</v>
      </c>
      <c r="D16" s="10" t="s">
        <v>22</v>
      </c>
      <c r="E16" s="18" t="s">
        <v>759</v>
      </c>
      <c r="F16" s="10">
        <v>1.0</v>
      </c>
      <c r="G16" s="10" t="s">
        <v>680</v>
      </c>
      <c r="H16" s="10" t="s">
        <v>760</v>
      </c>
      <c r="I16" s="10" t="s">
        <v>761</v>
      </c>
      <c r="J16" s="10" t="s">
        <v>762</v>
      </c>
      <c r="K16" s="10" t="s">
        <v>763</v>
      </c>
      <c r="L16" s="10" t="s">
        <v>747</v>
      </c>
      <c r="M16" s="10" t="s">
        <v>764</v>
      </c>
      <c r="N16" s="12"/>
      <c r="O16" s="12"/>
      <c r="P16" s="12"/>
      <c r="Q16" s="12"/>
      <c r="R16" s="12"/>
      <c r="S16" s="12"/>
      <c r="T16" s="12"/>
      <c r="U16" s="12"/>
      <c r="V16" s="12"/>
      <c r="W16" s="12"/>
      <c r="X16" s="12"/>
      <c r="Y16" s="12"/>
    </row>
    <row r="17">
      <c r="A17" s="12"/>
      <c r="B17" s="10" t="s">
        <v>20</v>
      </c>
      <c r="C17" s="10" t="s">
        <v>82</v>
      </c>
      <c r="D17" s="10" t="s">
        <v>22</v>
      </c>
      <c r="E17" s="19"/>
      <c r="F17" s="10">
        <v>2.0</v>
      </c>
      <c r="G17" s="10" t="s">
        <v>692</v>
      </c>
      <c r="H17" s="10" t="s">
        <v>765</v>
      </c>
      <c r="I17" s="10" t="s">
        <v>766</v>
      </c>
      <c r="J17" s="10" t="s">
        <v>767</v>
      </c>
      <c r="K17" s="10" t="s">
        <v>768</v>
      </c>
      <c r="L17" s="10" t="s">
        <v>735</v>
      </c>
      <c r="M17" s="10" t="s">
        <v>769</v>
      </c>
      <c r="N17" s="12"/>
      <c r="O17" s="12"/>
      <c r="P17" s="12"/>
      <c r="Q17" s="12"/>
      <c r="R17" s="12"/>
      <c r="S17" s="12"/>
      <c r="T17" s="12"/>
      <c r="U17" s="12"/>
      <c r="V17" s="12"/>
      <c r="W17" s="12"/>
      <c r="X17" s="12"/>
      <c r="Y17" s="12"/>
    </row>
    <row r="18">
      <c r="A18" s="12"/>
      <c r="B18" s="10" t="s">
        <v>20</v>
      </c>
      <c r="C18" s="10" t="s">
        <v>82</v>
      </c>
      <c r="D18" s="10" t="s">
        <v>22</v>
      </c>
      <c r="E18" s="19"/>
      <c r="F18" s="10">
        <v>3.0</v>
      </c>
      <c r="G18" s="10" t="s">
        <v>699</v>
      </c>
      <c r="H18" s="10" t="s">
        <v>770</v>
      </c>
      <c r="I18" s="10" t="s">
        <v>771</v>
      </c>
      <c r="J18" s="10" t="s">
        <v>772</v>
      </c>
      <c r="K18" s="10" t="s">
        <v>773</v>
      </c>
      <c r="L18" s="10" t="s">
        <v>704</v>
      </c>
      <c r="M18" s="10" t="s">
        <v>774</v>
      </c>
      <c r="N18" s="12"/>
      <c r="O18" s="12"/>
      <c r="P18" s="12"/>
      <c r="Q18" s="12"/>
      <c r="R18" s="12"/>
      <c r="S18" s="12"/>
      <c r="T18" s="12"/>
      <c r="U18" s="12"/>
      <c r="V18" s="12"/>
      <c r="W18" s="12"/>
      <c r="X18" s="12"/>
      <c r="Y18" s="12"/>
    </row>
    <row r="19">
      <c r="A19" s="12"/>
      <c r="B19" s="10" t="s">
        <v>20</v>
      </c>
      <c r="C19" s="10" t="s">
        <v>82</v>
      </c>
      <c r="D19" s="10" t="s">
        <v>22</v>
      </c>
      <c r="E19" s="19"/>
      <c r="F19" s="10">
        <v>4.0</v>
      </c>
      <c r="G19" s="10" t="s">
        <v>706</v>
      </c>
      <c r="H19" s="10" t="s">
        <v>775</v>
      </c>
      <c r="I19" s="10" t="s">
        <v>776</v>
      </c>
      <c r="J19" s="10" t="s">
        <v>777</v>
      </c>
      <c r="K19" s="10" t="s">
        <v>778</v>
      </c>
      <c r="L19" s="10" t="s">
        <v>685</v>
      </c>
      <c r="M19" s="10" t="s">
        <v>779</v>
      </c>
      <c r="N19" s="12"/>
      <c r="O19" s="12"/>
      <c r="P19" s="12"/>
      <c r="Q19" s="12"/>
      <c r="R19" s="12"/>
      <c r="S19" s="12"/>
      <c r="T19" s="12"/>
      <c r="U19" s="12"/>
      <c r="V19" s="12"/>
      <c r="W19" s="12"/>
      <c r="X19" s="12"/>
      <c r="Y19" s="12"/>
    </row>
    <row r="20">
      <c r="A20" s="12"/>
      <c r="B20" s="10" t="s">
        <v>20</v>
      </c>
      <c r="C20" s="10" t="s">
        <v>82</v>
      </c>
      <c r="D20" s="10" t="s">
        <v>22</v>
      </c>
      <c r="E20" s="19"/>
      <c r="F20" s="10">
        <v>5.0</v>
      </c>
      <c r="G20" s="10" t="s">
        <v>713</v>
      </c>
      <c r="H20" s="10" t="s">
        <v>780</v>
      </c>
      <c r="I20" s="10" t="s">
        <v>781</v>
      </c>
      <c r="J20" s="10" t="s">
        <v>782</v>
      </c>
      <c r="K20" s="10" t="s">
        <v>783</v>
      </c>
      <c r="L20" s="10" t="s">
        <v>784</v>
      </c>
      <c r="M20" s="10" t="s">
        <v>785</v>
      </c>
      <c r="N20" s="12"/>
      <c r="O20" s="12"/>
      <c r="P20" s="12"/>
      <c r="Q20" s="12"/>
      <c r="R20" s="12"/>
      <c r="S20" s="12"/>
      <c r="T20" s="12"/>
      <c r="U20" s="12"/>
      <c r="V20" s="12"/>
      <c r="W20" s="12"/>
      <c r="X20" s="12"/>
      <c r="Y20" s="12"/>
    </row>
    <row r="21">
      <c r="A21" s="12"/>
      <c r="B21" s="10" t="s">
        <v>20</v>
      </c>
      <c r="C21" s="10" t="s">
        <v>82</v>
      </c>
      <c r="D21" s="10" t="s">
        <v>22</v>
      </c>
      <c r="E21" s="19"/>
      <c r="F21" s="10">
        <v>6.0</v>
      </c>
      <c r="G21" s="10" t="s">
        <v>680</v>
      </c>
      <c r="H21" s="10" t="s">
        <v>760</v>
      </c>
      <c r="I21" s="10" t="s">
        <v>786</v>
      </c>
      <c r="J21" s="11" t="s">
        <v>787</v>
      </c>
      <c r="K21" s="11" t="s">
        <v>788</v>
      </c>
      <c r="L21" s="11" t="s">
        <v>789</v>
      </c>
      <c r="M21" s="10" t="s">
        <v>790</v>
      </c>
      <c r="N21" s="12"/>
      <c r="O21" s="12"/>
      <c r="P21" s="12"/>
      <c r="Q21" s="12"/>
      <c r="R21" s="12"/>
      <c r="S21" s="12"/>
      <c r="T21" s="12"/>
      <c r="U21" s="12"/>
      <c r="V21" s="12"/>
      <c r="W21" s="12"/>
      <c r="X21" s="12"/>
      <c r="Y21" s="12"/>
    </row>
    <row r="22">
      <c r="A22" s="12"/>
      <c r="B22" s="10" t="s">
        <v>20</v>
      </c>
      <c r="C22" s="10" t="s">
        <v>82</v>
      </c>
      <c r="D22" s="10" t="s">
        <v>22</v>
      </c>
      <c r="E22" s="20"/>
      <c r="F22" s="10">
        <v>7.0</v>
      </c>
      <c r="G22" s="10" t="s">
        <v>713</v>
      </c>
      <c r="H22" s="10" t="s">
        <v>780</v>
      </c>
      <c r="I22" s="10" t="s">
        <v>791</v>
      </c>
      <c r="J22" s="11" t="s">
        <v>792</v>
      </c>
      <c r="K22" s="11" t="s">
        <v>793</v>
      </c>
      <c r="L22" s="11" t="s">
        <v>794</v>
      </c>
      <c r="M22" s="10" t="s">
        <v>795</v>
      </c>
      <c r="N22" s="12"/>
      <c r="O22" s="12"/>
      <c r="P22" s="12"/>
      <c r="Q22" s="12"/>
      <c r="R22" s="12"/>
      <c r="S22" s="12"/>
      <c r="T22" s="12"/>
      <c r="U22" s="12"/>
      <c r="V22" s="12"/>
      <c r="W22" s="12"/>
      <c r="X22" s="12"/>
      <c r="Y22" s="12"/>
    </row>
    <row r="23">
      <c r="A23" s="12"/>
      <c r="B23" s="10" t="s">
        <v>20</v>
      </c>
      <c r="C23" s="10" t="s">
        <v>549</v>
      </c>
      <c r="D23" s="10" t="s">
        <v>22</v>
      </c>
      <c r="E23" s="18" t="s">
        <v>796</v>
      </c>
      <c r="F23" s="10">
        <v>1.0</v>
      </c>
      <c r="G23" s="10" t="s">
        <v>680</v>
      </c>
      <c r="H23" s="10" t="s">
        <v>797</v>
      </c>
      <c r="I23" s="10" t="s">
        <v>798</v>
      </c>
      <c r="J23" s="10" t="s">
        <v>799</v>
      </c>
      <c r="K23" s="10" t="s">
        <v>800</v>
      </c>
      <c r="L23" s="10" t="s">
        <v>801</v>
      </c>
      <c r="M23" s="10" t="s">
        <v>802</v>
      </c>
      <c r="N23" s="12"/>
      <c r="O23" s="12"/>
      <c r="P23" s="12"/>
      <c r="Q23" s="12"/>
      <c r="R23" s="12"/>
      <c r="S23" s="12"/>
      <c r="T23" s="12"/>
      <c r="U23" s="12"/>
      <c r="V23" s="12"/>
      <c r="W23" s="12"/>
      <c r="X23" s="12"/>
      <c r="Y23" s="12"/>
    </row>
    <row r="24">
      <c r="A24" s="12"/>
      <c r="B24" s="10" t="s">
        <v>20</v>
      </c>
      <c r="C24" s="10" t="s">
        <v>549</v>
      </c>
      <c r="D24" s="10" t="s">
        <v>22</v>
      </c>
      <c r="E24" s="19"/>
      <c r="F24" s="10">
        <v>2.0</v>
      </c>
      <c r="G24" s="10" t="s">
        <v>680</v>
      </c>
      <c r="H24" s="10" t="s">
        <v>797</v>
      </c>
      <c r="I24" s="10" t="s">
        <v>803</v>
      </c>
      <c r="J24" s="10" t="s">
        <v>799</v>
      </c>
      <c r="K24" s="10" t="s">
        <v>800</v>
      </c>
      <c r="L24" s="10" t="s">
        <v>801</v>
      </c>
      <c r="M24" s="10" t="s">
        <v>802</v>
      </c>
      <c r="N24" s="12"/>
      <c r="O24" s="12"/>
      <c r="P24" s="12"/>
      <c r="Q24" s="12"/>
      <c r="R24" s="12"/>
      <c r="S24" s="12"/>
      <c r="T24" s="12"/>
      <c r="U24" s="12"/>
      <c r="V24" s="12"/>
      <c r="W24" s="12"/>
      <c r="X24" s="12"/>
      <c r="Y24" s="12"/>
    </row>
    <row r="25">
      <c r="A25" s="12"/>
      <c r="B25" s="10" t="s">
        <v>20</v>
      </c>
      <c r="C25" s="10" t="s">
        <v>549</v>
      </c>
      <c r="D25" s="10" t="s">
        <v>22</v>
      </c>
      <c r="E25" s="19"/>
      <c r="F25" s="10">
        <v>3.0</v>
      </c>
      <c r="G25" s="10" t="s">
        <v>692</v>
      </c>
      <c r="H25" s="10" t="s">
        <v>804</v>
      </c>
      <c r="I25" s="10" t="s">
        <v>805</v>
      </c>
      <c r="J25" s="10" t="s">
        <v>806</v>
      </c>
      <c r="K25" s="10" t="s">
        <v>807</v>
      </c>
      <c r="L25" s="10" t="s">
        <v>697</v>
      </c>
      <c r="M25" s="10" t="s">
        <v>808</v>
      </c>
      <c r="N25" s="12"/>
      <c r="O25" s="12"/>
      <c r="P25" s="12"/>
      <c r="Q25" s="12"/>
      <c r="R25" s="12"/>
      <c r="S25" s="12"/>
      <c r="T25" s="12"/>
      <c r="U25" s="12"/>
      <c r="V25" s="12"/>
      <c r="W25" s="12"/>
      <c r="X25" s="12"/>
      <c r="Y25" s="12"/>
    </row>
    <row r="26">
      <c r="A26" s="12"/>
      <c r="B26" s="10" t="s">
        <v>20</v>
      </c>
      <c r="C26" s="10" t="s">
        <v>549</v>
      </c>
      <c r="D26" s="10" t="s">
        <v>22</v>
      </c>
      <c r="E26" s="19"/>
      <c r="F26" s="10">
        <v>4.0</v>
      </c>
      <c r="G26" s="10" t="s">
        <v>699</v>
      </c>
      <c r="H26" s="10" t="s">
        <v>809</v>
      </c>
      <c r="I26" s="10" t="s">
        <v>810</v>
      </c>
      <c r="J26" s="10" t="s">
        <v>811</v>
      </c>
      <c r="K26" s="10" t="s">
        <v>812</v>
      </c>
      <c r="L26" s="10" t="s">
        <v>735</v>
      </c>
      <c r="M26" s="10" t="s">
        <v>813</v>
      </c>
      <c r="N26" s="12"/>
      <c r="O26" s="12"/>
      <c r="P26" s="12"/>
      <c r="Q26" s="12"/>
      <c r="R26" s="12"/>
      <c r="S26" s="12"/>
      <c r="T26" s="12"/>
      <c r="U26" s="12"/>
      <c r="V26" s="12"/>
      <c r="W26" s="12"/>
      <c r="X26" s="12"/>
      <c r="Y26" s="12"/>
    </row>
    <row r="27">
      <c r="A27" s="12"/>
      <c r="B27" s="10" t="s">
        <v>20</v>
      </c>
      <c r="C27" s="10" t="s">
        <v>549</v>
      </c>
      <c r="D27" s="10" t="s">
        <v>22</v>
      </c>
      <c r="E27" s="19"/>
      <c r="F27" s="10">
        <v>5.0</v>
      </c>
      <c r="G27" s="10" t="s">
        <v>706</v>
      </c>
      <c r="H27" s="10" t="s">
        <v>814</v>
      </c>
      <c r="I27" s="10" t="s">
        <v>815</v>
      </c>
      <c r="J27" s="10" t="s">
        <v>816</v>
      </c>
      <c r="K27" s="10" t="s">
        <v>817</v>
      </c>
      <c r="L27" s="10" t="s">
        <v>801</v>
      </c>
      <c r="M27" s="10" t="s">
        <v>818</v>
      </c>
      <c r="N27" s="12"/>
      <c r="O27" s="12"/>
      <c r="P27" s="12"/>
      <c r="Q27" s="12"/>
      <c r="R27" s="12"/>
      <c r="S27" s="12"/>
      <c r="T27" s="12"/>
      <c r="U27" s="12"/>
      <c r="V27" s="12"/>
      <c r="W27" s="12"/>
      <c r="X27" s="12"/>
      <c r="Y27" s="12"/>
    </row>
    <row r="28">
      <c r="A28" s="12"/>
      <c r="B28" s="10" t="s">
        <v>20</v>
      </c>
      <c r="C28" s="10" t="s">
        <v>549</v>
      </c>
      <c r="D28" s="10" t="s">
        <v>22</v>
      </c>
      <c r="E28" s="19"/>
      <c r="F28" s="10">
        <v>6.0</v>
      </c>
      <c r="G28" s="10" t="s">
        <v>706</v>
      </c>
      <c r="H28" s="10" t="s">
        <v>814</v>
      </c>
      <c r="I28" s="10" t="s">
        <v>819</v>
      </c>
      <c r="J28" s="10" t="s">
        <v>816</v>
      </c>
      <c r="K28" s="10" t="s">
        <v>817</v>
      </c>
      <c r="L28" s="10" t="s">
        <v>801</v>
      </c>
      <c r="M28" s="10" t="s">
        <v>818</v>
      </c>
      <c r="N28" s="12"/>
      <c r="O28" s="12"/>
      <c r="P28" s="12"/>
      <c r="Q28" s="12"/>
      <c r="R28" s="12"/>
      <c r="S28" s="12"/>
      <c r="T28" s="12"/>
      <c r="U28" s="12"/>
      <c r="V28" s="12"/>
      <c r="W28" s="12"/>
      <c r="X28" s="12"/>
      <c r="Y28" s="12"/>
    </row>
    <row r="29">
      <c r="A29" s="12"/>
      <c r="B29" s="10" t="s">
        <v>20</v>
      </c>
      <c r="C29" s="10" t="s">
        <v>549</v>
      </c>
      <c r="D29" s="10" t="s">
        <v>22</v>
      </c>
      <c r="E29" s="20"/>
      <c r="F29" s="10">
        <v>7.0</v>
      </c>
      <c r="G29" s="10" t="s">
        <v>713</v>
      </c>
      <c r="H29" s="10" t="s">
        <v>820</v>
      </c>
      <c r="I29" s="10" t="s">
        <v>821</v>
      </c>
      <c r="J29" s="10" t="s">
        <v>822</v>
      </c>
      <c r="K29" s="10" t="s">
        <v>823</v>
      </c>
      <c r="L29" s="10" t="s">
        <v>824</v>
      </c>
      <c r="M29" s="10" t="s">
        <v>825</v>
      </c>
      <c r="N29" s="12"/>
      <c r="O29" s="12"/>
      <c r="P29" s="12"/>
      <c r="Q29" s="12"/>
      <c r="R29" s="12"/>
      <c r="S29" s="12"/>
      <c r="T29" s="12"/>
      <c r="U29" s="12"/>
      <c r="V29" s="12"/>
      <c r="W29" s="12"/>
      <c r="X29" s="12"/>
      <c r="Y29" s="12"/>
    </row>
    <row r="30">
      <c r="A30" s="12"/>
      <c r="B30" s="10" t="s">
        <v>20</v>
      </c>
      <c r="C30" s="10" t="s">
        <v>469</v>
      </c>
      <c r="D30" s="10" t="s">
        <v>153</v>
      </c>
      <c r="E30" s="18" t="s">
        <v>826</v>
      </c>
      <c r="F30" s="10">
        <v>1.0</v>
      </c>
      <c r="G30" s="10" t="s">
        <v>680</v>
      </c>
      <c r="H30" s="10" t="s">
        <v>681</v>
      </c>
      <c r="I30" s="10" t="s">
        <v>827</v>
      </c>
      <c r="J30" s="10" t="s">
        <v>828</v>
      </c>
      <c r="K30" s="10" t="s">
        <v>728</v>
      </c>
      <c r="L30" s="10" t="s">
        <v>711</v>
      </c>
      <c r="M30" s="10" t="s">
        <v>829</v>
      </c>
      <c r="N30" s="12"/>
      <c r="O30" s="12"/>
      <c r="P30" s="12"/>
      <c r="Q30" s="12"/>
      <c r="R30" s="12"/>
      <c r="S30" s="12"/>
      <c r="T30" s="12"/>
      <c r="U30" s="12"/>
      <c r="V30" s="12"/>
      <c r="W30" s="12"/>
      <c r="X30" s="12"/>
      <c r="Y30" s="12"/>
    </row>
    <row r="31">
      <c r="A31" s="12"/>
      <c r="B31" s="10" t="s">
        <v>20</v>
      </c>
      <c r="C31" s="10" t="s">
        <v>469</v>
      </c>
      <c r="D31" s="10" t="s">
        <v>153</v>
      </c>
      <c r="E31" s="19"/>
      <c r="F31" s="10">
        <v>2.0</v>
      </c>
      <c r="G31" s="10" t="s">
        <v>692</v>
      </c>
      <c r="H31" s="10" t="s">
        <v>693</v>
      </c>
      <c r="I31" s="10" t="s">
        <v>830</v>
      </c>
      <c r="J31" s="10" t="s">
        <v>831</v>
      </c>
      <c r="K31" s="10" t="s">
        <v>832</v>
      </c>
      <c r="L31" s="10" t="s">
        <v>784</v>
      </c>
      <c r="M31" s="10" t="s">
        <v>833</v>
      </c>
      <c r="N31" s="12"/>
      <c r="O31" s="12"/>
      <c r="P31" s="12"/>
      <c r="Q31" s="12"/>
      <c r="R31" s="12"/>
      <c r="S31" s="12"/>
      <c r="T31" s="12"/>
      <c r="U31" s="12"/>
      <c r="V31" s="12"/>
      <c r="W31" s="12"/>
      <c r="X31" s="12"/>
      <c r="Y31" s="12"/>
    </row>
    <row r="32">
      <c r="A32" s="12"/>
      <c r="B32" s="10" t="s">
        <v>20</v>
      </c>
      <c r="C32" s="10" t="s">
        <v>469</v>
      </c>
      <c r="D32" s="10" t="s">
        <v>153</v>
      </c>
      <c r="E32" s="19"/>
      <c r="F32" s="10">
        <v>3.0</v>
      </c>
      <c r="G32" s="10" t="s">
        <v>692</v>
      </c>
      <c r="H32" s="10" t="s">
        <v>693</v>
      </c>
      <c r="I32" s="10" t="s">
        <v>834</v>
      </c>
      <c r="J32" s="10" t="s">
        <v>831</v>
      </c>
      <c r="K32" s="10" t="s">
        <v>832</v>
      </c>
      <c r="L32" s="10" t="s">
        <v>784</v>
      </c>
      <c r="M32" s="10" t="s">
        <v>833</v>
      </c>
      <c r="N32" s="12"/>
      <c r="O32" s="12"/>
      <c r="P32" s="12"/>
      <c r="Q32" s="12"/>
      <c r="R32" s="12"/>
      <c r="S32" s="12"/>
      <c r="T32" s="12"/>
      <c r="U32" s="12"/>
      <c r="V32" s="12"/>
      <c r="W32" s="12"/>
      <c r="X32" s="12"/>
      <c r="Y32" s="12"/>
    </row>
    <row r="33">
      <c r="A33" s="12" t="s">
        <v>835</v>
      </c>
      <c r="B33" s="10" t="s">
        <v>20</v>
      </c>
      <c r="C33" s="10" t="s">
        <v>469</v>
      </c>
      <c r="D33" s="10" t="s">
        <v>153</v>
      </c>
      <c r="E33" s="19"/>
      <c r="F33" s="10" t="s">
        <v>836</v>
      </c>
      <c r="G33" s="10" t="s">
        <v>837</v>
      </c>
      <c r="H33" s="10" t="s">
        <v>700</v>
      </c>
      <c r="I33" s="10" t="s">
        <v>838</v>
      </c>
      <c r="J33" s="10" t="s">
        <v>839</v>
      </c>
      <c r="K33" s="10" t="s">
        <v>840</v>
      </c>
      <c r="L33" s="10" t="s">
        <v>711</v>
      </c>
      <c r="M33" s="10" t="s">
        <v>841</v>
      </c>
      <c r="N33" s="12"/>
      <c r="O33" s="12"/>
      <c r="P33" s="12"/>
      <c r="Q33" s="12"/>
      <c r="R33" s="12"/>
      <c r="S33" s="12"/>
      <c r="T33" s="12"/>
      <c r="U33" s="12"/>
      <c r="V33" s="12"/>
      <c r="W33" s="12"/>
      <c r="X33" s="12"/>
      <c r="Y33" s="12"/>
    </row>
    <row r="34">
      <c r="A34" s="12"/>
      <c r="B34" s="10" t="s">
        <v>20</v>
      </c>
      <c r="C34" s="10" t="s">
        <v>469</v>
      </c>
      <c r="D34" s="10" t="s">
        <v>153</v>
      </c>
      <c r="E34" s="19"/>
      <c r="F34" s="10">
        <v>5.0</v>
      </c>
      <c r="G34" s="10" t="s">
        <v>699</v>
      </c>
      <c r="H34" s="10" t="s">
        <v>700</v>
      </c>
      <c r="I34" s="10" t="s">
        <v>842</v>
      </c>
      <c r="J34" s="10" t="s">
        <v>839</v>
      </c>
      <c r="K34" s="10" t="s">
        <v>840</v>
      </c>
      <c r="L34" s="10" t="s">
        <v>711</v>
      </c>
      <c r="M34" s="10" t="s">
        <v>841</v>
      </c>
      <c r="N34" s="12"/>
      <c r="O34" s="12"/>
      <c r="P34" s="12"/>
      <c r="Q34" s="12"/>
      <c r="R34" s="12"/>
      <c r="S34" s="12"/>
      <c r="T34" s="12"/>
      <c r="U34" s="12"/>
      <c r="V34" s="12"/>
      <c r="W34" s="12"/>
      <c r="X34" s="12"/>
      <c r="Y34" s="12"/>
    </row>
    <row r="35">
      <c r="A35" s="12"/>
      <c r="B35" s="10" t="s">
        <v>20</v>
      </c>
      <c r="C35" s="10" t="s">
        <v>469</v>
      </c>
      <c r="D35" s="10" t="s">
        <v>153</v>
      </c>
      <c r="E35" s="19"/>
      <c r="F35" s="10">
        <v>6.0</v>
      </c>
      <c r="G35" s="10" t="s">
        <v>706</v>
      </c>
      <c r="H35" s="10" t="s">
        <v>707</v>
      </c>
      <c r="I35" s="10" t="s">
        <v>843</v>
      </c>
      <c r="J35" s="10" t="s">
        <v>844</v>
      </c>
      <c r="K35" s="10" t="s">
        <v>845</v>
      </c>
      <c r="L35" s="10" t="s">
        <v>846</v>
      </c>
      <c r="M35" s="10" t="s">
        <v>847</v>
      </c>
      <c r="N35" s="12"/>
      <c r="O35" s="12"/>
      <c r="P35" s="12"/>
      <c r="Q35" s="12"/>
      <c r="R35" s="12"/>
      <c r="S35" s="12"/>
      <c r="T35" s="12"/>
      <c r="U35" s="12"/>
      <c r="V35" s="12"/>
      <c r="W35" s="12"/>
      <c r="X35" s="12"/>
      <c r="Y35" s="12"/>
    </row>
    <row r="36">
      <c r="A36" s="12"/>
      <c r="B36" s="10" t="s">
        <v>20</v>
      </c>
      <c r="C36" s="10" t="s">
        <v>469</v>
      </c>
      <c r="D36" s="10" t="s">
        <v>153</v>
      </c>
      <c r="E36" s="20"/>
      <c r="F36" s="10">
        <v>7.0</v>
      </c>
      <c r="G36" s="10" t="s">
        <v>713</v>
      </c>
      <c r="H36" s="10" t="s">
        <v>714</v>
      </c>
      <c r="I36" s="10" t="s">
        <v>848</v>
      </c>
      <c r="J36" s="10" t="s">
        <v>849</v>
      </c>
      <c r="K36" s="10" t="s">
        <v>850</v>
      </c>
      <c r="L36" s="10" t="s">
        <v>704</v>
      </c>
      <c r="M36" s="10" t="s">
        <v>851</v>
      </c>
      <c r="N36" s="12"/>
      <c r="O36" s="12"/>
      <c r="P36" s="12"/>
      <c r="Q36" s="12"/>
      <c r="R36" s="12"/>
      <c r="S36" s="12"/>
      <c r="T36" s="12"/>
      <c r="U36" s="12"/>
      <c r="V36" s="12"/>
      <c r="W36" s="12"/>
      <c r="X36" s="12"/>
      <c r="Y36" s="12"/>
    </row>
    <row r="37">
      <c r="A37" s="12"/>
      <c r="B37" s="10" t="s">
        <v>20</v>
      </c>
      <c r="C37" s="10" t="s">
        <v>21</v>
      </c>
      <c r="D37" s="10" t="s">
        <v>153</v>
      </c>
      <c r="E37" s="18" t="s">
        <v>852</v>
      </c>
      <c r="F37" s="10">
        <v>1.0</v>
      </c>
      <c r="G37" s="10" t="s">
        <v>680</v>
      </c>
      <c r="H37" s="10" t="s">
        <v>725</v>
      </c>
      <c r="I37" s="10" t="s">
        <v>853</v>
      </c>
      <c r="J37" s="10" t="s">
        <v>854</v>
      </c>
      <c r="K37" s="10" t="s">
        <v>855</v>
      </c>
      <c r="L37" s="10" t="s">
        <v>824</v>
      </c>
      <c r="M37" s="10" t="s">
        <v>856</v>
      </c>
      <c r="N37" s="12"/>
      <c r="O37" s="12"/>
      <c r="P37" s="12"/>
      <c r="Q37" s="12"/>
      <c r="R37" s="12"/>
      <c r="S37" s="12"/>
      <c r="T37" s="12"/>
      <c r="U37" s="12"/>
      <c r="V37" s="12"/>
      <c r="W37" s="12"/>
      <c r="X37" s="12"/>
      <c r="Y37" s="12"/>
    </row>
    <row r="38">
      <c r="A38" s="12" t="s">
        <v>835</v>
      </c>
      <c r="B38" s="10" t="s">
        <v>20</v>
      </c>
      <c r="C38" s="10" t="s">
        <v>21</v>
      </c>
      <c r="D38" s="10" t="s">
        <v>153</v>
      </c>
      <c r="E38" s="19"/>
      <c r="F38" s="10" t="s">
        <v>857</v>
      </c>
      <c r="G38" s="10" t="s">
        <v>858</v>
      </c>
      <c r="H38" s="10" t="s">
        <v>731</v>
      </c>
      <c r="I38" s="10" t="s">
        <v>859</v>
      </c>
      <c r="J38" s="10" t="s">
        <v>860</v>
      </c>
      <c r="K38" s="10" t="s">
        <v>861</v>
      </c>
      <c r="L38" s="10" t="s">
        <v>704</v>
      </c>
      <c r="M38" s="10" t="s">
        <v>862</v>
      </c>
      <c r="N38" s="12"/>
      <c r="O38" s="12"/>
      <c r="P38" s="12"/>
      <c r="Q38" s="12"/>
      <c r="R38" s="12"/>
      <c r="S38" s="12"/>
      <c r="T38" s="12"/>
      <c r="U38" s="12"/>
      <c r="V38" s="12"/>
      <c r="W38" s="12"/>
      <c r="X38" s="12"/>
      <c r="Y38" s="12"/>
    </row>
    <row r="39">
      <c r="A39" s="12"/>
      <c r="B39" s="10" t="s">
        <v>20</v>
      </c>
      <c r="C39" s="10" t="s">
        <v>21</v>
      </c>
      <c r="D39" s="10" t="s">
        <v>153</v>
      </c>
      <c r="E39" s="19"/>
      <c r="F39" s="10">
        <v>3.0</v>
      </c>
      <c r="G39" s="10" t="s">
        <v>699</v>
      </c>
      <c r="H39" s="10" t="s">
        <v>738</v>
      </c>
      <c r="I39" s="10" t="s">
        <v>863</v>
      </c>
      <c r="J39" s="10" t="s">
        <v>864</v>
      </c>
      <c r="K39" s="10" t="s">
        <v>865</v>
      </c>
      <c r="L39" s="10" t="s">
        <v>704</v>
      </c>
      <c r="M39" s="10" t="s">
        <v>866</v>
      </c>
      <c r="N39" s="12"/>
      <c r="O39" s="12"/>
      <c r="P39" s="12"/>
      <c r="Q39" s="12"/>
      <c r="R39" s="12"/>
      <c r="S39" s="12"/>
      <c r="T39" s="12"/>
      <c r="U39" s="12"/>
      <c r="V39" s="12"/>
      <c r="W39" s="12"/>
      <c r="X39" s="12"/>
      <c r="Y39" s="12"/>
    </row>
    <row r="40">
      <c r="A40" s="12"/>
      <c r="B40" s="10" t="s">
        <v>20</v>
      </c>
      <c r="C40" s="10" t="s">
        <v>21</v>
      </c>
      <c r="D40" s="10" t="s">
        <v>153</v>
      </c>
      <c r="E40" s="19"/>
      <c r="F40" s="10">
        <v>4.0</v>
      </c>
      <c r="G40" s="10" t="s">
        <v>706</v>
      </c>
      <c r="H40" s="10" t="s">
        <v>867</v>
      </c>
      <c r="I40" s="10" t="s">
        <v>868</v>
      </c>
      <c r="J40" s="10" t="s">
        <v>869</v>
      </c>
      <c r="K40" s="10" t="s">
        <v>870</v>
      </c>
      <c r="L40" s="10" t="s">
        <v>824</v>
      </c>
      <c r="M40" s="10" t="s">
        <v>871</v>
      </c>
      <c r="N40" s="12"/>
      <c r="O40" s="12"/>
      <c r="P40" s="12"/>
      <c r="Q40" s="12"/>
      <c r="R40" s="12"/>
      <c r="S40" s="12"/>
      <c r="T40" s="12"/>
      <c r="U40" s="12"/>
      <c r="V40" s="12"/>
      <c r="W40" s="12"/>
      <c r="X40" s="12"/>
      <c r="Y40" s="12"/>
    </row>
    <row r="41">
      <c r="A41" s="12"/>
      <c r="B41" s="10" t="s">
        <v>20</v>
      </c>
      <c r="C41" s="10" t="s">
        <v>21</v>
      </c>
      <c r="D41" s="10" t="s">
        <v>153</v>
      </c>
      <c r="E41" s="19"/>
      <c r="F41" s="10">
        <v>5.0</v>
      </c>
      <c r="G41" s="10" t="s">
        <v>872</v>
      </c>
      <c r="H41" s="10" t="s">
        <v>873</v>
      </c>
      <c r="I41" s="10" t="s">
        <v>874</v>
      </c>
      <c r="J41" s="10" t="s">
        <v>875</v>
      </c>
      <c r="K41" s="10" t="s">
        <v>876</v>
      </c>
      <c r="L41" s="10" t="s">
        <v>877</v>
      </c>
      <c r="M41" s="10" t="s">
        <v>878</v>
      </c>
      <c r="N41" s="12"/>
      <c r="O41" s="12"/>
      <c r="P41" s="12"/>
      <c r="Q41" s="12"/>
      <c r="R41" s="12"/>
      <c r="S41" s="12"/>
      <c r="T41" s="12"/>
      <c r="U41" s="12"/>
      <c r="V41" s="12"/>
      <c r="W41" s="12"/>
      <c r="X41" s="12"/>
      <c r="Y41" s="12"/>
    </row>
    <row r="42">
      <c r="A42" s="12"/>
      <c r="B42" s="10" t="s">
        <v>20</v>
      </c>
      <c r="C42" s="10" t="s">
        <v>21</v>
      </c>
      <c r="D42" s="10" t="s">
        <v>153</v>
      </c>
      <c r="E42" s="19"/>
      <c r="F42" s="10">
        <v>6.0</v>
      </c>
      <c r="G42" s="10" t="s">
        <v>879</v>
      </c>
      <c r="H42" s="11" t="s">
        <v>880</v>
      </c>
      <c r="I42" s="10" t="s">
        <v>881</v>
      </c>
      <c r="J42" s="11" t="s">
        <v>882</v>
      </c>
      <c r="K42" s="11" t="s">
        <v>883</v>
      </c>
      <c r="L42" s="11" t="s">
        <v>884</v>
      </c>
      <c r="M42" s="10" t="s">
        <v>885</v>
      </c>
      <c r="N42" s="12"/>
      <c r="O42" s="12"/>
      <c r="P42" s="12"/>
      <c r="Q42" s="12"/>
      <c r="R42" s="12"/>
      <c r="S42" s="12"/>
      <c r="T42" s="12"/>
      <c r="U42" s="12"/>
      <c r="V42" s="12"/>
      <c r="W42" s="12"/>
      <c r="X42" s="12"/>
      <c r="Y42" s="12"/>
    </row>
    <row r="43">
      <c r="A43" s="12"/>
      <c r="B43" s="10" t="s">
        <v>20</v>
      </c>
      <c r="C43" s="10" t="s">
        <v>21</v>
      </c>
      <c r="D43" s="10" t="s">
        <v>153</v>
      </c>
      <c r="E43" s="20"/>
      <c r="F43" s="10">
        <v>7.0</v>
      </c>
      <c r="G43" s="10" t="s">
        <v>886</v>
      </c>
      <c r="H43" s="11" t="s">
        <v>887</v>
      </c>
      <c r="I43" s="10" t="s">
        <v>888</v>
      </c>
      <c r="J43" s="11" t="s">
        <v>889</v>
      </c>
      <c r="K43" s="11" t="s">
        <v>890</v>
      </c>
      <c r="L43" s="11" t="s">
        <v>891</v>
      </c>
      <c r="M43" s="10" t="s">
        <v>892</v>
      </c>
      <c r="N43" s="12"/>
      <c r="O43" s="12"/>
      <c r="P43" s="12"/>
      <c r="Q43" s="12"/>
      <c r="R43" s="12"/>
      <c r="S43" s="12"/>
      <c r="T43" s="12"/>
      <c r="U43" s="12"/>
      <c r="V43" s="12"/>
      <c r="W43" s="12"/>
      <c r="X43" s="12"/>
      <c r="Y43" s="12"/>
    </row>
    <row r="44">
      <c r="A44" s="12"/>
      <c r="B44" s="10" t="s">
        <v>20</v>
      </c>
      <c r="C44" s="10" t="s">
        <v>82</v>
      </c>
      <c r="D44" s="10" t="s">
        <v>153</v>
      </c>
      <c r="E44" s="18" t="s">
        <v>893</v>
      </c>
      <c r="F44" s="10">
        <v>1.0</v>
      </c>
      <c r="G44" s="10" t="s">
        <v>680</v>
      </c>
      <c r="H44" s="10" t="s">
        <v>760</v>
      </c>
      <c r="I44" s="10" t="s">
        <v>894</v>
      </c>
      <c r="J44" s="10" t="s">
        <v>895</v>
      </c>
      <c r="K44" s="10" t="s">
        <v>896</v>
      </c>
      <c r="L44" s="10" t="s">
        <v>685</v>
      </c>
      <c r="M44" s="10" t="s">
        <v>897</v>
      </c>
      <c r="N44" s="12"/>
      <c r="O44" s="12"/>
      <c r="P44" s="12"/>
      <c r="Q44" s="12"/>
      <c r="R44" s="12"/>
      <c r="S44" s="12"/>
      <c r="T44" s="12"/>
      <c r="U44" s="12"/>
      <c r="V44" s="12"/>
      <c r="W44" s="12"/>
      <c r="X44" s="12"/>
      <c r="Y44" s="12"/>
    </row>
    <row r="45">
      <c r="A45" s="12"/>
      <c r="B45" s="10" t="s">
        <v>20</v>
      </c>
      <c r="C45" s="10" t="s">
        <v>82</v>
      </c>
      <c r="D45" s="10" t="s">
        <v>153</v>
      </c>
      <c r="E45" s="19"/>
      <c r="F45" s="10">
        <v>2.0</v>
      </c>
      <c r="G45" s="10" t="s">
        <v>692</v>
      </c>
      <c r="H45" s="10" t="s">
        <v>765</v>
      </c>
      <c r="I45" s="10" t="s">
        <v>898</v>
      </c>
      <c r="J45" s="10" t="s">
        <v>899</v>
      </c>
      <c r="K45" s="10" t="s">
        <v>900</v>
      </c>
      <c r="L45" s="10" t="s">
        <v>711</v>
      </c>
      <c r="M45" s="10" t="s">
        <v>901</v>
      </c>
      <c r="N45" s="12"/>
      <c r="O45" s="12"/>
      <c r="P45" s="12"/>
      <c r="Q45" s="12"/>
      <c r="R45" s="12"/>
      <c r="S45" s="12"/>
      <c r="T45" s="12"/>
      <c r="U45" s="12"/>
      <c r="V45" s="12"/>
      <c r="W45" s="12"/>
      <c r="X45" s="12"/>
      <c r="Y45" s="12"/>
    </row>
    <row r="46">
      <c r="A46" s="12"/>
      <c r="B46" s="10" t="s">
        <v>20</v>
      </c>
      <c r="C46" s="10" t="s">
        <v>82</v>
      </c>
      <c r="D46" s="10" t="s">
        <v>153</v>
      </c>
      <c r="E46" s="19"/>
      <c r="F46" s="10">
        <v>3.0</v>
      </c>
      <c r="G46" s="10" t="s">
        <v>699</v>
      </c>
      <c r="H46" s="10" t="s">
        <v>770</v>
      </c>
      <c r="I46" s="10" t="s">
        <v>902</v>
      </c>
      <c r="J46" s="10" t="s">
        <v>772</v>
      </c>
      <c r="K46" s="10" t="s">
        <v>773</v>
      </c>
      <c r="L46" s="10" t="s">
        <v>704</v>
      </c>
      <c r="M46" s="10" t="s">
        <v>903</v>
      </c>
      <c r="N46" s="12"/>
      <c r="O46" s="12"/>
      <c r="P46" s="12"/>
      <c r="Q46" s="12"/>
      <c r="R46" s="12"/>
      <c r="S46" s="12"/>
      <c r="T46" s="12"/>
      <c r="U46" s="12"/>
      <c r="V46" s="12"/>
      <c r="W46" s="12"/>
      <c r="X46" s="12"/>
      <c r="Y46" s="12"/>
    </row>
    <row r="47">
      <c r="A47" s="12"/>
      <c r="B47" s="10" t="s">
        <v>20</v>
      </c>
      <c r="C47" s="10" t="s">
        <v>82</v>
      </c>
      <c r="D47" s="10" t="s">
        <v>153</v>
      </c>
      <c r="E47" s="19"/>
      <c r="F47" s="10">
        <v>4.0</v>
      </c>
      <c r="G47" s="10" t="s">
        <v>699</v>
      </c>
      <c r="H47" s="10" t="s">
        <v>770</v>
      </c>
      <c r="I47" s="10" t="s">
        <v>904</v>
      </c>
      <c r="J47" s="10" t="s">
        <v>905</v>
      </c>
      <c r="K47" s="10" t="s">
        <v>906</v>
      </c>
      <c r="L47" s="10" t="s">
        <v>685</v>
      </c>
      <c r="M47" s="10" t="s">
        <v>907</v>
      </c>
      <c r="N47" s="12"/>
      <c r="O47" s="12"/>
      <c r="P47" s="12"/>
      <c r="Q47" s="12"/>
      <c r="R47" s="12"/>
      <c r="S47" s="12"/>
      <c r="T47" s="12"/>
      <c r="U47" s="12"/>
      <c r="V47" s="12"/>
      <c r="W47" s="12"/>
      <c r="X47" s="12"/>
      <c r="Y47" s="12"/>
    </row>
    <row r="48">
      <c r="A48" s="12"/>
      <c r="B48" s="10" t="s">
        <v>20</v>
      </c>
      <c r="C48" s="10" t="s">
        <v>82</v>
      </c>
      <c r="D48" s="10" t="s">
        <v>153</v>
      </c>
      <c r="E48" s="19"/>
      <c r="F48" s="10" t="s">
        <v>908</v>
      </c>
      <c r="G48" s="10" t="s">
        <v>909</v>
      </c>
      <c r="H48" s="10" t="s">
        <v>775</v>
      </c>
      <c r="I48" s="10" t="s">
        <v>910</v>
      </c>
      <c r="J48" s="10" t="s">
        <v>911</v>
      </c>
      <c r="K48" s="10" t="s">
        <v>912</v>
      </c>
      <c r="L48" s="10" t="s">
        <v>735</v>
      </c>
      <c r="M48" s="10" t="s">
        <v>913</v>
      </c>
      <c r="N48" s="12"/>
      <c r="O48" s="12"/>
      <c r="P48" s="12"/>
      <c r="Q48" s="12"/>
      <c r="R48" s="12"/>
      <c r="S48" s="12"/>
      <c r="T48" s="12"/>
      <c r="U48" s="12"/>
      <c r="V48" s="12"/>
      <c r="W48" s="12"/>
      <c r="X48" s="12"/>
      <c r="Y48" s="12"/>
    </row>
    <row r="49">
      <c r="A49" s="12"/>
      <c r="B49" s="10" t="s">
        <v>20</v>
      </c>
      <c r="C49" s="10" t="s">
        <v>82</v>
      </c>
      <c r="D49" s="10" t="s">
        <v>153</v>
      </c>
      <c r="E49" s="19"/>
      <c r="F49" s="10">
        <v>6.0</v>
      </c>
      <c r="G49" s="10" t="s">
        <v>713</v>
      </c>
      <c r="H49" s="10" t="s">
        <v>780</v>
      </c>
      <c r="I49" s="10" t="s">
        <v>914</v>
      </c>
      <c r="J49" s="10" t="s">
        <v>915</v>
      </c>
      <c r="K49" s="10" t="s">
        <v>916</v>
      </c>
      <c r="L49" s="10" t="s">
        <v>704</v>
      </c>
      <c r="M49" s="10" t="s">
        <v>917</v>
      </c>
      <c r="N49" s="12"/>
      <c r="O49" s="12"/>
      <c r="P49" s="12"/>
      <c r="Q49" s="12"/>
      <c r="R49" s="12"/>
      <c r="S49" s="12"/>
      <c r="T49" s="12"/>
      <c r="U49" s="12"/>
      <c r="V49" s="12"/>
      <c r="W49" s="12"/>
      <c r="X49" s="12"/>
      <c r="Y49" s="12"/>
    </row>
    <row r="50">
      <c r="A50" s="12"/>
      <c r="B50" s="10" t="s">
        <v>20</v>
      </c>
      <c r="C50" s="10" t="s">
        <v>82</v>
      </c>
      <c r="D50" s="10" t="s">
        <v>153</v>
      </c>
      <c r="E50" s="20"/>
      <c r="F50" s="10">
        <v>7.0</v>
      </c>
      <c r="G50" s="10" t="s">
        <v>918</v>
      </c>
      <c r="H50" s="11" t="s">
        <v>919</v>
      </c>
      <c r="I50" s="10" t="s">
        <v>920</v>
      </c>
      <c r="J50" s="10" t="s">
        <v>921</v>
      </c>
      <c r="K50" s="10" t="s">
        <v>922</v>
      </c>
      <c r="L50" s="10" t="s">
        <v>846</v>
      </c>
      <c r="M50" s="10" t="s">
        <v>923</v>
      </c>
      <c r="N50" s="12"/>
      <c r="O50" s="12"/>
      <c r="P50" s="12"/>
      <c r="Q50" s="12"/>
      <c r="R50" s="12"/>
      <c r="S50" s="12"/>
      <c r="T50" s="12"/>
      <c r="U50" s="12"/>
      <c r="V50" s="12"/>
      <c r="W50" s="12"/>
      <c r="X50" s="12"/>
      <c r="Y50" s="12"/>
    </row>
    <row r="51">
      <c r="A51" s="12"/>
      <c r="B51" s="10" t="s">
        <v>20</v>
      </c>
      <c r="C51" s="10" t="s">
        <v>549</v>
      </c>
      <c r="D51" s="10" t="s">
        <v>153</v>
      </c>
      <c r="E51" s="18" t="s">
        <v>924</v>
      </c>
      <c r="F51" s="10">
        <v>1.0</v>
      </c>
      <c r="G51" s="10" t="s">
        <v>680</v>
      </c>
      <c r="H51" s="10" t="s">
        <v>797</v>
      </c>
      <c r="I51" s="10" t="s">
        <v>925</v>
      </c>
      <c r="J51" s="10" t="s">
        <v>926</v>
      </c>
      <c r="K51" s="10" t="s">
        <v>927</v>
      </c>
      <c r="L51" s="10" t="s">
        <v>877</v>
      </c>
      <c r="M51" s="10" t="s">
        <v>928</v>
      </c>
      <c r="N51" s="12"/>
      <c r="O51" s="12"/>
      <c r="P51" s="12"/>
      <c r="Q51" s="12"/>
      <c r="R51" s="12"/>
      <c r="S51" s="12"/>
      <c r="T51" s="12"/>
      <c r="U51" s="12"/>
      <c r="V51" s="12"/>
      <c r="W51" s="12"/>
      <c r="X51" s="12"/>
      <c r="Y51" s="12"/>
    </row>
    <row r="52">
      <c r="A52" s="12" t="s">
        <v>835</v>
      </c>
      <c r="B52" s="10" t="s">
        <v>20</v>
      </c>
      <c r="C52" s="10" t="s">
        <v>549</v>
      </c>
      <c r="D52" s="10" t="s">
        <v>153</v>
      </c>
      <c r="E52" s="19"/>
      <c r="F52" s="10" t="s">
        <v>929</v>
      </c>
      <c r="G52" s="10" t="s">
        <v>930</v>
      </c>
      <c r="H52" s="10" t="s">
        <v>804</v>
      </c>
      <c r="I52" s="10" t="s">
        <v>931</v>
      </c>
      <c r="J52" s="10" t="s">
        <v>932</v>
      </c>
      <c r="K52" s="10" t="s">
        <v>933</v>
      </c>
      <c r="L52" s="10" t="s">
        <v>824</v>
      </c>
      <c r="M52" s="10" t="s">
        <v>934</v>
      </c>
      <c r="N52" s="12"/>
      <c r="O52" s="12"/>
      <c r="P52" s="12"/>
      <c r="Q52" s="12"/>
      <c r="R52" s="12"/>
      <c r="S52" s="12"/>
      <c r="T52" s="12"/>
      <c r="U52" s="12"/>
      <c r="V52" s="12"/>
      <c r="W52" s="12"/>
      <c r="X52" s="12"/>
      <c r="Y52" s="12"/>
    </row>
    <row r="53">
      <c r="A53" s="12"/>
      <c r="B53" s="10" t="s">
        <v>20</v>
      </c>
      <c r="C53" s="10" t="s">
        <v>549</v>
      </c>
      <c r="D53" s="10" t="s">
        <v>153</v>
      </c>
      <c r="E53" s="19"/>
      <c r="F53" s="10">
        <v>3.0</v>
      </c>
      <c r="G53" s="10" t="s">
        <v>699</v>
      </c>
      <c r="H53" s="10" t="s">
        <v>809</v>
      </c>
      <c r="I53" s="10" t="s">
        <v>935</v>
      </c>
      <c r="J53" s="10" t="s">
        <v>936</v>
      </c>
      <c r="K53" s="10" t="s">
        <v>937</v>
      </c>
      <c r="L53" s="10" t="s">
        <v>735</v>
      </c>
      <c r="M53" s="10" t="s">
        <v>938</v>
      </c>
      <c r="N53" s="12"/>
      <c r="O53" s="12"/>
      <c r="P53" s="12"/>
      <c r="Q53" s="12"/>
      <c r="R53" s="12"/>
      <c r="S53" s="12"/>
      <c r="T53" s="12"/>
      <c r="U53" s="12"/>
      <c r="V53" s="12"/>
      <c r="W53" s="12"/>
      <c r="X53" s="12"/>
      <c r="Y53" s="12"/>
    </row>
    <row r="54">
      <c r="A54" s="12"/>
      <c r="B54" s="10" t="s">
        <v>20</v>
      </c>
      <c r="C54" s="10" t="s">
        <v>549</v>
      </c>
      <c r="D54" s="10" t="s">
        <v>153</v>
      </c>
      <c r="E54" s="19"/>
      <c r="F54" s="10">
        <v>4.0</v>
      </c>
      <c r="G54" s="10" t="s">
        <v>706</v>
      </c>
      <c r="H54" s="10" t="s">
        <v>814</v>
      </c>
      <c r="I54" s="10" t="s">
        <v>939</v>
      </c>
      <c r="J54" s="10" t="s">
        <v>940</v>
      </c>
      <c r="K54" s="10" t="s">
        <v>941</v>
      </c>
      <c r="L54" s="10" t="s">
        <v>697</v>
      </c>
      <c r="M54" s="10" t="s">
        <v>942</v>
      </c>
      <c r="N54" s="12"/>
      <c r="O54" s="12"/>
      <c r="P54" s="12"/>
      <c r="Q54" s="12"/>
      <c r="R54" s="12"/>
      <c r="S54" s="12"/>
      <c r="T54" s="12"/>
      <c r="U54" s="12"/>
      <c r="V54" s="12"/>
      <c r="W54" s="12"/>
      <c r="X54" s="12"/>
      <c r="Y54" s="12"/>
    </row>
    <row r="55">
      <c r="A55" s="12"/>
      <c r="B55" s="10" t="s">
        <v>20</v>
      </c>
      <c r="C55" s="10" t="s">
        <v>549</v>
      </c>
      <c r="D55" s="10" t="s">
        <v>153</v>
      </c>
      <c r="E55" s="19"/>
      <c r="F55" s="10">
        <v>5.0</v>
      </c>
      <c r="G55" s="10" t="s">
        <v>692</v>
      </c>
      <c r="H55" s="10" t="s">
        <v>804</v>
      </c>
      <c r="I55" s="10" t="s">
        <v>943</v>
      </c>
      <c r="J55" s="10" t="s">
        <v>944</v>
      </c>
      <c r="K55" s="10" t="s">
        <v>945</v>
      </c>
      <c r="L55" s="10" t="s">
        <v>946</v>
      </c>
      <c r="M55" s="10" t="s">
        <v>947</v>
      </c>
      <c r="N55" s="12"/>
      <c r="O55" s="12"/>
      <c r="P55" s="12"/>
      <c r="Q55" s="12"/>
      <c r="R55" s="12"/>
      <c r="S55" s="12"/>
      <c r="T55" s="12"/>
      <c r="U55" s="12"/>
      <c r="V55" s="12"/>
      <c r="W55" s="12"/>
      <c r="X55" s="12"/>
      <c r="Y55" s="12"/>
    </row>
    <row r="56">
      <c r="A56" s="12"/>
      <c r="B56" s="10" t="s">
        <v>20</v>
      </c>
      <c r="C56" s="10" t="s">
        <v>549</v>
      </c>
      <c r="D56" s="10" t="s">
        <v>153</v>
      </c>
      <c r="E56" s="19"/>
      <c r="F56" s="10">
        <v>6.0</v>
      </c>
      <c r="G56" s="10" t="s">
        <v>699</v>
      </c>
      <c r="H56" s="10" t="s">
        <v>809</v>
      </c>
      <c r="I56" s="10" t="s">
        <v>948</v>
      </c>
      <c r="J56" s="10" t="s">
        <v>949</v>
      </c>
      <c r="K56" s="10" t="s">
        <v>950</v>
      </c>
      <c r="L56" s="10" t="s">
        <v>824</v>
      </c>
      <c r="M56" s="10" t="s">
        <v>951</v>
      </c>
      <c r="N56" s="12"/>
      <c r="O56" s="12"/>
      <c r="P56" s="12"/>
      <c r="Q56" s="12"/>
      <c r="R56" s="12"/>
      <c r="S56" s="12"/>
      <c r="T56" s="12"/>
      <c r="U56" s="12"/>
      <c r="V56" s="12"/>
      <c r="W56" s="12"/>
      <c r="X56" s="12"/>
      <c r="Y56" s="12"/>
    </row>
    <row r="57">
      <c r="A57" s="12"/>
      <c r="B57" s="10" t="s">
        <v>20</v>
      </c>
      <c r="C57" s="10" t="s">
        <v>549</v>
      </c>
      <c r="D57" s="10" t="s">
        <v>153</v>
      </c>
      <c r="E57" s="20"/>
      <c r="F57" s="10">
        <v>7.0</v>
      </c>
      <c r="G57" s="10" t="s">
        <v>952</v>
      </c>
      <c r="H57" s="10" t="s">
        <v>820</v>
      </c>
      <c r="I57" s="10" t="s">
        <v>953</v>
      </c>
      <c r="J57" s="10" t="s">
        <v>954</v>
      </c>
      <c r="K57" s="10" t="s">
        <v>817</v>
      </c>
      <c r="L57" s="10" t="s">
        <v>704</v>
      </c>
      <c r="M57" s="10" t="s">
        <v>955</v>
      </c>
      <c r="N57" s="12"/>
      <c r="O57" s="12"/>
      <c r="P57" s="12"/>
      <c r="Q57" s="12"/>
      <c r="R57" s="12"/>
      <c r="S57" s="12"/>
      <c r="T57" s="12"/>
      <c r="U57" s="12"/>
      <c r="V57" s="12"/>
      <c r="W57" s="12"/>
      <c r="X57" s="12"/>
      <c r="Y57" s="12"/>
    </row>
    <row r="58">
      <c r="A58" s="12"/>
      <c r="B58" s="13" t="s">
        <v>20</v>
      </c>
      <c r="C58" s="13" t="s">
        <v>469</v>
      </c>
      <c r="D58" s="13" t="s">
        <v>264</v>
      </c>
      <c r="E58" s="13" t="s">
        <v>956</v>
      </c>
      <c r="F58" s="13">
        <v>1.0</v>
      </c>
      <c r="G58" s="13" t="s">
        <v>713</v>
      </c>
      <c r="H58" s="13" t="s">
        <v>714</v>
      </c>
      <c r="I58" s="13" t="s">
        <v>957</v>
      </c>
      <c r="J58" s="13" t="s">
        <v>958</v>
      </c>
      <c r="K58" s="13" t="s">
        <v>823</v>
      </c>
      <c r="L58" s="13" t="s">
        <v>685</v>
      </c>
      <c r="M58" s="13" t="s">
        <v>959</v>
      </c>
      <c r="N58" s="12"/>
      <c r="O58" s="12"/>
      <c r="P58" s="12"/>
      <c r="Q58" s="12"/>
      <c r="R58" s="12"/>
      <c r="S58" s="12"/>
      <c r="T58" s="12"/>
      <c r="U58" s="12"/>
      <c r="V58" s="12"/>
      <c r="W58" s="12"/>
      <c r="X58" s="12"/>
      <c r="Y58" s="12"/>
    </row>
    <row r="59">
      <c r="A59" s="12"/>
      <c r="B59" s="13" t="s">
        <v>20</v>
      </c>
      <c r="C59" s="13" t="s">
        <v>469</v>
      </c>
      <c r="D59" s="13" t="s">
        <v>264</v>
      </c>
      <c r="E59" s="10"/>
      <c r="F59" s="13">
        <v>2.0</v>
      </c>
      <c r="G59" s="13" t="s">
        <v>706</v>
      </c>
      <c r="H59" s="13" t="s">
        <v>707</v>
      </c>
      <c r="I59" s="13" t="s">
        <v>960</v>
      </c>
      <c r="J59" s="13" t="s">
        <v>961</v>
      </c>
      <c r="K59" s="13" t="s">
        <v>962</v>
      </c>
      <c r="L59" s="13" t="s">
        <v>824</v>
      </c>
      <c r="M59" s="13" t="s">
        <v>963</v>
      </c>
      <c r="N59" s="12"/>
      <c r="O59" s="12"/>
      <c r="P59" s="12"/>
      <c r="Q59" s="12"/>
      <c r="R59" s="12"/>
      <c r="S59" s="12"/>
      <c r="T59" s="12"/>
      <c r="U59" s="12"/>
      <c r="V59" s="12"/>
      <c r="W59" s="12"/>
      <c r="X59" s="12"/>
      <c r="Y59" s="12"/>
    </row>
    <row r="60">
      <c r="A60" s="12"/>
      <c r="B60" s="13" t="s">
        <v>20</v>
      </c>
      <c r="C60" s="13" t="s">
        <v>469</v>
      </c>
      <c r="D60" s="13" t="s">
        <v>264</v>
      </c>
      <c r="E60" s="10"/>
      <c r="F60" s="13">
        <v>3.0</v>
      </c>
      <c r="G60" s="13" t="s">
        <v>680</v>
      </c>
      <c r="H60" s="13" t="s">
        <v>681</v>
      </c>
      <c r="I60" s="13" t="s">
        <v>964</v>
      </c>
      <c r="J60" s="13" t="s">
        <v>965</v>
      </c>
      <c r="K60" s="13" t="s">
        <v>966</v>
      </c>
      <c r="L60" s="13" t="s">
        <v>704</v>
      </c>
      <c r="M60" s="13" t="s">
        <v>967</v>
      </c>
      <c r="N60" s="12"/>
      <c r="O60" s="12"/>
      <c r="P60" s="12"/>
      <c r="Q60" s="12"/>
      <c r="R60" s="12"/>
      <c r="S60" s="12"/>
      <c r="T60" s="12"/>
      <c r="U60" s="12"/>
      <c r="V60" s="12"/>
      <c r="W60" s="12"/>
      <c r="X60" s="12"/>
      <c r="Y60" s="12"/>
    </row>
    <row r="61">
      <c r="A61" s="12"/>
      <c r="B61" s="13" t="s">
        <v>20</v>
      </c>
      <c r="C61" s="13" t="s">
        <v>469</v>
      </c>
      <c r="D61" s="13" t="s">
        <v>264</v>
      </c>
      <c r="E61" s="10"/>
      <c r="F61" s="13">
        <v>4.0</v>
      </c>
      <c r="G61" s="13" t="s">
        <v>699</v>
      </c>
      <c r="H61" s="13" t="s">
        <v>700</v>
      </c>
      <c r="I61" s="13" t="s">
        <v>968</v>
      </c>
      <c r="J61" s="13" t="s">
        <v>969</v>
      </c>
      <c r="K61" s="13" t="s">
        <v>970</v>
      </c>
      <c r="L61" s="13" t="s">
        <v>685</v>
      </c>
      <c r="M61" s="13" t="s">
        <v>971</v>
      </c>
      <c r="N61" s="12"/>
      <c r="O61" s="12"/>
      <c r="P61" s="12"/>
      <c r="Q61" s="12"/>
      <c r="R61" s="12"/>
      <c r="S61" s="12"/>
      <c r="T61" s="12"/>
      <c r="U61" s="12"/>
      <c r="V61" s="12"/>
      <c r="W61" s="12"/>
      <c r="X61" s="12"/>
      <c r="Y61" s="12"/>
    </row>
    <row r="62">
      <c r="A62" s="12"/>
      <c r="B62" s="13" t="s">
        <v>20</v>
      </c>
      <c r="C62" s="13" t="s">
        <v>469</v>
      </c>
      <c r="D62" s="13" t="s">
        <v>264</v>
      </c>
      <c r="E62" s="10"/>
      <c r="F62" s="13">
        <v>5.0</v>
      </c>
      <c r="G62" s="13" t="s">
        <v>692</v>
      </c>
      <c r="H62" s="13" t="s">
        <v>693</v>
      </c>
      <c r="I62" s="13" t="s">
        <v>972</v>
      </c>
      <c r="J62" s="13" t="s">
        <v>973</v>
      </c>
      <c r="K62" s="13" t="s">
        <v>974</v>
      </c>
      <c r="L62" s="13" t="s">
        <v>747</v>
      </c>
      <c r="M62" s="13" t="s">
        <v>975</v>
      </c>
      <c r="N62" s="12"/>
      <c r="O62" s="12"/>
      <c r="P62" s="12"/>
      <c r="Q62" s="12"/>
      <c r="R62" s="12"/>
      <c r="S62" s="12"/>
      <c r="T62" s="12"/>
      <c r="U62" s="12"/>
      <c r="V62" s="12"/>
      <c r="W62" s="12"/>
      <c r="X62" s="12"/>
      <c r="Y62" s="12"/>
    </row>
    <row r="63">
      <c r="A63" s="12"/>
      <c r="B63" s="13" t="s">
        <v>20</v>
      </c>
      <c r="C63" s="13" t="s">
        <v>469</v>
      </c>
      <c r="D63" s="13" t="s">
        <v>264</v>
      </c>
      <c r="E63" s="10"/>
      <c r="F63" s="13">
        <v>6.0</v>
      </c>
      <c r="G63" s="13" t="s">
        <v>692</v>
      </c>
      <c r="H63" s="13" t="s">
        <v>693</v>
      </c>
      <c r="I63" s="13" t="s">
        <v>976</v>
      </c>
      <c r="J63" s="13" t="s">
        <v>973</v>
      </c>
      <c r="K63" s="13" t="s">
        <v>974</v>
      </c>
      <c r="L63" s="13" t="s">
        <v>747</v>
      </c>
      <c r="M63" s="13" t="s">
        <v>975</v>
      </c>
      <c r="N63" s="12"/>
      <c r="O63" s="12"/>
      <c r="P63" s="12"/>
      <c r="Q63" s="12"/>
      <c r="R63" s="12"/>
      <c r="S63" s="12"/>
      <c r="T63" s="12"/>
      <c r="U63" s="12"/>
      <c r="V63" s="12"/>
      <c r="W63" s="12"/>
      <c r="X63" s="12"/>
      <c r="Y63" s="12"/>
    </row>
    <row r="64">
      <c r="A64" s="12"/>
      <c r="B64" s="13" t="s">
        <v>20</v>
      </c>
      <c r="C64" s="13" t="s">
        <v>21</v>
      </c>
      <c r="D64" s="13" t="s">
        <v>264</v>
      </c>
      <c r="E64" s="13" t="s">
        <v>977</v>
      </c>
      <c r="F64" s="13">
        <v>1.0</v>
      </c>
      <c r="G64" s="13" t="s">
        <v>680</v>
      </c>
      <c r="H64" s="13" t="s">
        <v>725</v>
      </c>
      <c r="I64" s="13" t="s">
        <v>978</v>
      </c>
      <c r="J64" s="13" t="s">
        <v>854</v>
      </c>
      <c r="K64" s="13" t="s">
        <v>855</v>
      </c>
      <c r="L64" s="13" t="s">
        <v>824</v>
      </c>
      <c r="M64" s="13" t="s">
        <v>979</v>
      </c>
      <c r="N64" s="12"/>
      <c r="O64" s="12"/>
      <c r="P64" s="12"/>
      <c r="Q64" s="12"/>
      <c r="R64" s="12"/>
      <c r="S64" s="12"/>
      <c r="T64" s="12"/>
      <c r="U64" s="12"/>
      <c r="V64" s="12"/>
      <c r="W64" s="12"/>
      <c r="X64" s="12"/>
      <c r="Y64" s="12"/>
    </row>
    <row r="65">
      <c r="A65" s="12"/>
      <c r="B65" s="13" t="s">
        <v>20</v>
      </c>
      <c r="C65" s="13" t="s">
        <v>21</v>
      </c>
      <c r="D65" s="13" t="s">
        <v>264</v>
      </c>
      <c r="E65" s="10"/>
      <c r="F65" s="13">
        <v>2.0</v>
      </c>
      <c r="G65" s="13" t="s">
        <v>692</v>
      </c>
      <c r="H65" s="13" t="s">
        <v>731</v>
      </c>
      <c r="I65" s="13" t="s">
        <v>980</v>
      </c>
      <c r="J65" s="13" t="s">
        <v>860</v>
      </c>
      <c r="K65" s="13" t="s">
        <v>981</v>
      </c>
      <c r="L65" s="13" t="s">
        <v>704</v>
      </c>
      <c r="M65" s="13" t="s">
        <v>982</v>
      </c>
      <c r="N65" s="12"/>
      <c r="O65" s="12"/>
      <c r="P65" s="12"/>
      <c r="Q65" s="12"/>
      <c r="R65" s="12"/>
      <c r="S65" s="12"/>
      <c r="T65" s="12"/>
      <c r="U65" s="12"/>
      <c r="V65" s="12"/>
      <c r="W65" s="12"/>
      <c r="X65" s="12"/>
      <c r="Y65" s="12"/>
    </row>
    <row r="66">
      <c r="A66" s="12"/>
      <c r="B66" s="13" t="s">
        <v>20</v>
      </c>
      <c r="C66" s="13" t="s">
        <v>21</v>
      </c>
      <c r="D66" s="13" t="s">
        <v>264</v>
      </c>
      <c r="E66" s="10"/>
      <c r="F66" s="13">
        <v>3.0</v>
      </c>
      <c r="G66" s="13" t="s">
        <v>699</v>
      </c>
      <c r="H66" s="13" t="s">
        <v>738</v>
      </c>
      <c r="I66" s="13" t="s">
        <v>983</v>
      </c>
      <c r="J66" s="13" t="s">
        <v>864</v>
      </c>
      <c r="K66" s="13" t="s">
        <v>984</v>
      </c>
      <c r="L66" s="13" t="s">
        <v>824</v>
      </c>
      <c r="M66" s="13" t="s">
        <v>985</v>
      </c>
      <c r="N66" s="12"/>
      <c r="O66" s="12"/>
      <c r="P66" s="12"/>
      <c r="Q66" s="12"/>
      <c r="R66" s="12"/>
      <c r="S66" s="12"/>
      <c r="T66" s="12"/>
      <c r="U66" s="12"/>
      <c r="V66" s="12"/>
      <c r="W66" s="12"/>
      <c r="X66" s="12"/>
      <c r="Y66" s="12"/>
    </row>
    <row r="67">
      <c r="A67" s="12"/>
      <c r="B67" s="13" t="s">
        <v>20</v>
      </c>
      <c r="C67" s="13" t="s">
        <v>21</v>
      </c>
      <c r="D67" s="13" t="s">
        <v>264</v>
      </c>
      <c r="E67" s="10"/>
      <c r="F67" s="13">
        <v>4.0</v>
      </c>
      <c r="G67" s="13" t="s">
        <v>706</v>
      </c>
      <c r="H67" s="13" t="s">
        <v>867</v>
      </c>
      <c r="I67" s="13" t="s">
        <v>986</v>
      </c>
      <c r="J67" s="13" t="s">
        <v>869</v>
      </c>
      <c r="K67" s="13" t="s">
        <v>870</v>
      </c>
      <c r="L67" s="13" t="s">
        <v>987</v>
      </c>
      <c r="M67" s="13" t="s">
        <v>988</v>
      </c>
      <c r="N67" s="12"/>
      <c r="O67" s="12"/>
      <c r="P67" s="12"/>
      <c r="Q67" s="12"/>
      <c r="R67" s="12"/>
      <c r="S67" s="12"/>
      <c r="T67" s="12"/>
      <c r="U67" s="12"/>
      <c r="V67" s="12"/>
      <c r="W67" s="12"/>
      <c r="X67" s="12"/>
      <c r="Y67" s="12"/>
    </row>
    <row r="68">
      <c r="A68" s="12"/>
      <c r="B68" s="13" t="s">
        <v>20</v>
      </c>
      <c r="C68" s="13" t="s">
        <v>21</v>
      </c>
      <c r="D68" s="13" t="s">
        <v>264</v>
      </c>
      <c r="E68" s="10"/>
      <c r="F68" s="13">
        <v>5.0</v>
      </c>
      <c r="G68" s="13" t="s">
        <v>713</v>
      </c>
      <c r="H68" s="13" t="s">
        <v>873</v>
      </c>
      <c r="I68" s="13" t="s">
        <v>989</v>
      </c>
      <c r="J68" s="13" t="s">
        <v>875</v>
      </c>
      <c r="K68" s="13" t="s">
        <v>876</v>
      </c>
      <c r="L68" s="13" t="s">
        <v>990</v>
      </c>
      <c r="M68" s="13" t="s">
        <v>991</v>
      </c>
      <c r="N68" s="12"/>
      <c r="O68" s="12"/>
      <c r="P68" s="12"/>
      <c r="Q68" s="12"/>
      <c r="R68" s="12"/>
      <c r="S68" s="12"/>
      <c r="T68" s="12"/>
      <c r="U68" s="12"/>
      <c r="V68" s="12"/>
      <c r="W68" s="12"/>
      <c r="X68" s="12"/>
      <c r="Y68" s="12"/>
    </row>
    <row r="69">
      <c r="A69" s="12"/>
      <c r="B69" s="13" t="s">
        <v>20</v>
      </c>
      <c r="C69" s="13" t="s">
        <v>21</v>
      </c>
      <c r="D69" s="13" t="s">
        <v>264</v>
      </c>
      <c r="E69" s="10"/>
      <c r="F69" s="13">
        <v>6.0</v>
      </c>
      <c r="G69" s="13" t="s">
        <v>992</v>
      </c>
      <c r="H69" s="13" t="s">
        <v>993</v>
      </c>
      <c r="I69" s="13" t="s">
        <v>994</v>
      </c>
      <c r="J69" s="13" t="s">
        <v>995</v>
      </c>
      <c r="K69" s="13" t="s">
        <v>996</v>
      </c>
      <c r="L69" s="13" t="s">
        <v>997</v>
      </c>
      <c r="M69" s="13" t="s">
        <v>998</v>
      </c>
      <c r="N69" s="12"/>
      <c r="O69" s="12"/>
      <c r="P69" s="12"/>
      <c r="Q69" s="12"/>
      <c r="R69" s="12"/>
      <c r="S69" s="12"/>
      <c r="T69" s="12"/>
      <c r="U69" s="12"/>
      <c r="V69" s="12"/>
      <c r="W69" s="12"/>
      <c r="X69" s="12"/>
      <c r="Y69" s="12"/>
    </row>
    <row r="70">
      <c r="A70" s="12"/>
      <c r="B70" s="13" t="s">
        <v>20</v>
      </c>
      <c r="C70" s="13" t="s">
        <v>82</v>
      </c>
      <c r="D70" s="13" t="s">
        <v>264</v>
      </c>
      <c r="E70" s="13" t="s">
        <v>999</v>
      </c>
      <c r="F70" s="13">
        <v>1.0</v>
      </c>
      <c r="G70" s="13" t="s">
        <v>680</v>
      </c>
      <c r="H70" s="13" t="s">
        <v>760</v>
      </c>
      <c r="I70" s="13" t="s">
        <v>1000</v>
      </c>
      <c r="J70" s="13" t="s">
        <v>1001</v>
      </c>
      <c r="K70" s="13" t="s">
        <v>1002</v>
      </c>
      <c r="L70" s="13" t="s">
        <v>846</v>
      </c>
      <c r="M70" s="13" t="s">
        <v>1003</v>
      </c>
      <c r="N70" s="12"/>
      <c r="O70" s="12"/>
      <c r="P70" s="12"/>
      <c r="Q70" s="12"/>
      <c r="R70" s="12"/>
      <c r="S70" s="12"/>
      <c r="T70" s="12"/>
      <c r="U70" s="12"/>
      <c r="V70" s="12"/>
      <c r="W70" s="12"/>
      <c r="X70" s="12"/>
      <c r="Y70" s="12"/>
    </row>
    <row r="71">
      <c r="A71" s="12"/>
      <c r="B71" s="13" t="s">
        <v>20</v>
      </c>
      <c r="C71" s="13" t="s">
        <v>82</v>
      </c>
      <c r="D71" s="13" t="s">
        <v>264</v>
      </c>
      <c r="E71" s="10"/>
      <c r="F71" s="13">
        <v>2.0</v>
      </c>
      <c r="G71" s="13" t="s">
        <v>692</v>
      </c>
      <c r="H71" s="13" t="s">
        <v>765</v>
      </c>
      <c r="I71" s="13" t="s">
        <v>1004</v>
      </c>
      <c r="J71" s="13" t="s">
        <v>1005</v>
      </c>
      <c r="K71" s="13" t="s">
        <v>1006</v>
      </c>
      <c r="L71" s="13" t="s">
        <v>877</v>
      </c>
      <c r="M71" s="13" t="s">
        <v>1007</v>
      </c>
      <c r="N71" s="12"/>
      <c r="O71" s="12"/>
      <c r="P71" s="12"/>
      <c r="Q71" s="12"/>
      <c r="R71" s="12"/>
      <c r="S71" s="12"/>
      <c r="T71" s="12"/>
      <c r="U71" s="12"/>
      <c r="V71" s="12"/>
      <c r="W71" s="12"/>
      <c r="X71" s="12"/>
      <c r="Y71" s="12"/>
    </row>
    <row r="72">
      <c r="A72" s="12"/>
      <c r="B72" s="13" t="s">
        <v>20</v>
      </c>
      <c r="C72" s="13" t="s">
        <v>82</v>
      </c>
      <c r="D72" s="13" t="s">
        <v>264</v>
      </c>
      <c r="E72" s="10"/>
      <c r="F72" s="13">
        <v>3.0</v>
      </c>
      <c r="G72" s="13" t="s">
        <v>699</v>
      </c>
      <c r="H72" s="13" t="s">
        <v>770</v>
      </c>
      <c r="I72" s="13" t="s">
        <v>1008</v>
      </c>
      <c r="J72" s="13" t="s">
        <v>1009</v>
      </c>
      <c r="K72" s="13" t="s">
        <v>912</v>
      </c>
      <c r="L72" s="13" t="s">
        <v>824</v>
      </c>
      <c r="M72" s="13" t="s">
        <v>1010</v>
      </c>
      <c r="N72" s="12"/>
      <c r="O72" s="12"/>
      <c r="P72" s="12"/>
      <c r="Q72" s="12"/>
      <c r="R72" s="12"/>
      <c r="S72" s="12"/>
      <c r="T72" s="12"/>
      <c r="U72" s="12"/>
      <c r="V72" s="12"/>
      <c r="W72" s="12"/>
      <c r="X72" s="12"/>
      <c r="Y72" s="12"/>
    </row>
    <row r="73">
      <c r="A73" s="12"/>
      <c r="B73" s="13" t="s">
        <v>20</v>
      </c>
      <c r="C73" s="13" t="s">
        <v>82</v>
      </c>
      <c r="D73" s="13" t="s">
        <v>264</v>
      </c>
      <c r="E73" s="10"/>
      <c r="F73" s="13">
        <v>4.0</v>
      </c>
      <c r="G73" s="13" t="s">
        <v>706</v>
      </c>
      <c r="H73" s="13" t="s">
        <v>775</v>
      </c>
      <c r="I73" s="13" t="s">
        <v>1011</v>
      </c>
      <c r="J73" s="13" t="s">
        <v>911</v>
      </c>
      <c r="K73" s="13" t="s">
        <v>1012</v>
      </c>
      <c r="L73" s="13" t="s">
        <v>824</v>
      </c>
      <c r="M73" s="13" t="s">
        <v>1013</v>
      </c>
      <c r="N73" s="12"/>
      <c r="O73" s="12"/>
      <c r="P73" s="12"/>
      <c r="Q73" s="12"/>
      <c r="R73" s="12"/>
      <c r="S73" s="12"/>
      <c r="T73" s="12"/>
      <c r="U73" s="12"/>
      <c r="V73" s="12"/>
      <c r="W73" s="12"/>
      <c r="X73" s="12"/>
      <c r="Y73" s="12"/>
    </row>
    <row r="74">
      <c r="A74" s="12"/>
      <c r="B74" s="13" t="s">
        <v>20</v>
      </c>
      <c r="C74" s="13" t="s">
        <v>82</v>
      </c>
      <c r="D74" s="13" t="s">
        <v>264</v>
      </c>
      <c r="E74" s="10"/>
      <c r="F74" s="13">
        <v>5.0</v>
      </c>
      <c r="G74" s="13" t="s">
        <v>879</v>
      </c>
      <c r="H74" s="13" t="s">
        <v>1014</v>
      </c>
      <c r="I74" s="13" t="s">
        <v>1015</v>
      </c>
      <c r="J74" s="13" t="s">
        <v>1016</v>
      </c>
      <c r="K74" s="13" t="s">
        <v>1017</v>
      </c>
      <c r="L74" s="13" t="s">
        <v>1018</v>
      </c>
      <c r="M74" s="13" t="s">
        <v>1019</v>
      </c>
      <c r="N74" s="12"/>
      <c r="O74" s="12"/>
      <c r="P74" s="12"/>
      <c r="Q74" s="12"/>
      <c r="R74" s="12"/>
      <c r="S74" s="12"/>
      <c r="T74" s="12"/>
      <c r="U74" s="12"/>
      <c r="V74" s="12"/>
      <c r="W74" s="12"/>
      <c r="X74" s="12"/>
      <c r="Y74" s="12"/>
    </row>
    <row r="75">
      <c r="A75" s="12"/>
      <c r="B75" s="13" t="s">
        <v>20</v>
      </c>
      <c r="C75" s="13" t="s">
        <v>82</v>
      </c>
      <c r="D75" s="13" t="s">
        <v>264</v>
      </c>
      <c r="E75" s="10"/>
      <c r="F75" s="13">
        <v>6.0</v>
      </c>
      <c r="G75" s="13" t="s">
        <v>1020</v>
      </c>
      <c r="H75" s="13" t="s">
        <v>1021</v>
      </c>
      <c r="I75" s="13" t="s">
        <v>1022</v>
      </c>
      <c r="J75" s="13" t="s">
        <v>1023</v>
      </c>
      <c r="K75" s="13" t="s">
        <v>1024</v>
      </c>
      <c r="L75" s="13" t="s">
        <v>1025</v>
      </c>
      <c r="M75" s="13" t="s">
        <v>1026</v>
      </c>
      <c r="N75" s="12"/>
      <c r="O75" s="12"/>
      <c r="P75" s="12"/>
      <c r="Q75" s="12"/>
      <c r="R75" s="12"/>
      <c r="S75" s="12"/>
      <c r="T75" s="12"/>
      <c r="U75" s="12"/>
      <c r="V75" s="12"/>
      <c r="W75" s="12"/>
      <c r="X75" s="12"/>
      <c r="Y75" s="12"/>
    </row>
    <row r="76">
      <c r="A76" s="12"/>
      <c r="B76" s="13" t="s">
        <v>20</v>
      </c>
      <c r="C76" s="13" t="s">
        <v>549</v>
      </c>
      <c r="D76" s="13" t="s">
        <v>264</v>
      </c>
      <c r="E76" s="13" t="s">
        <v>1027</v>
      </c>
      <c r="F76" s="13">
        <v>1.0</v>
      </c>
      <c r="G76" s="13" t="s">
        <v>680</v>
      </c>
      <c r="H76" s="13" t="s">
        <v>797</v>
      </c>
      <c r="I76" s="13" t="s">
        <v>1028</v>
      </c>
      <c r="J76" s="13" t="s">
        <v>1029</v>
      </c>
      <c r="K76" s="13" t="s">
        <v>1030</v>
      </c>
      <c r="L76" s="13" t="s">
        <v>846</v>
      </c>
      <c r="M76" s="13" t="s">
        <v>1031</v>
      </c>
      <c r="N76" s="12"/>
      <c r="O76" s="12"/>
      <c r="P76" s="12"/>
      <c r="Q76" s="12"/>
      <c r="R76" s="12"/>
      <c r="S76" s="12"/>
      <c r="T76" s="12"/>
      <c r="U76" s="12"/>
      <c r="V76" s="12"/>
      <c r="W76" s="12"/>
      <c r="X76" s="12"/>
      <c r="Y76" s="12"/>
    </row>
    <row r="77">
      <c r="A77" s="12"/>
      <c r="B77" s="13" t="s">
        <v>20</v>
      </c>
      <c r="C77" s="13" t="s">
        <v>549</v>
      </c>
      <c r="D77" s="13" t="s">
        <v>264</v>
      </c>
      <c r="E77" s="10"/>
      <c r="F77" s="13">
        <v>2.0</v>
      </c>
      <c r="G77" s="13" t="s">
        <v>692</v>
      </c>
      <c r="H77" s="13" t="s">
        <v>804</v>
      </c>
      <c r="I77" s="13" t="s">
        <v>1032</v>
      </c>
      <c r="J77" s="13" t="s">
        <v>944</v>
      </c>
      <c r="K77" s="13" t="s">
        <v>945</v>
      </c>
      <c r="L77" s="13" t="s">
        <v>946</v>
      </c>
      <c r="M77" s="13" t="s">
        <v>947</v>
      </c>
      <c r="N77" s="12"/>
      <c r="O77" s="12"/>
      <c r="P77" s="12"/>
      <c r="Q77" s="12"/>
      <c r="R77" s="12"/>
      <c r="S77" s="12"/>
      <c r="T77" s="12"/>
      <c r="U77" s="12"/>
      <c r="V77" s="12"/>
      <c r="W77" s="12"/>
      <c r="X77" s="12"/>
      <c r="Y77" s="12"/>
    </row>
    <row r="78">
      <c r="A78" s="12"/>
      <c r="B78" s="13" t="s">
        <v>20</v>
      </c>
      <c r="C78" s="13" t="s">
        <v>549</v>
      </c>
      <c r="D78" s="13" t="s">
        <v>264</v>
      </c>
      <c r="E78" s="10"/>
      <c r="F78" s="13">
        <v>3.0</v>
      </c>
      <c r="G78" s="13" t="s">
        <v>699</v>
      </c>
      <c r="H78" s="13" t="s">
        <v>809</v>
      </c>
      <c r="I78" s="13" t="s">
        <v>1033</v>
      </c>
      <c r="J78" s="13" t="s">
        <v>949</v>
      </c>
      <c r="K78" s="13" t="s">
        <v>950</v>
      </c>
      <c r="L78" s="13" t="s">
        <v>824</v>
      </c>
      <c r="M78" s="13" t="s">
        <v>951</v>
      </c>
      <c r="N78" s="12"/>
      <c r="O78" s="12"/>
      <c r="P78" s="12"/>
      <c r="Q78" s="12"/>
      <c r="R78" s="12"/>
      <c r="S78" s="12"/>
      <c r="T78" s="12"/>
      <c r="U78" s="12"/>
      <c r="V78" s="12"/>
      <c r="W78" s="12"/>
      <c r="X78" s="12"/>
      <c r="Y78" s="12"/>
    </row>
    <row r="79">
      <c r="A79" s="12"/>
      <c r="B79" s="13" t="s">
        <v>20</v>
      </c>
      <c r="C79" s="13" t="s">
        <v>549</v>
      </c>
      <c r="D79" s="13" t="s">
        <v>264</v>
      </c>
      <c r="E79" s="10"/>
      <c r="F79" s="13">
        <v>4.0</v>
      </c>
      <c r="G79" s="13" t="s">
        <v>706</v>
      </c>
      <c r="H79" s="13" t="s">
        <v>814</v>
      </c>
      <c r="I79" s="13" t="s">
        <v>1034</v>
      </c>
      <c r="J79" s="13" t="s">
        <v>1035</v>
      </c>
      <c r="K79" s="13" t="s">
        <v>1036</v>
      </c>
      <c r="L79" s="13" t="s">
        <v>824</v>
      </c>
      <c r="M79" s="13" t="s">
        <v>1037</v>
      </c>
      <c r="N79" s="12"/>
      <c r="O79" s="12"/>
      <c r="P79" s="12"/>
      <c r="Q79" s="12"/>
      <c r="R79" s="12"/>
      <c r="S79" s="12"/>
      <c r="T79" s="12"/>
      <c r="U79" s="12"/>
      <c r="V79" s="12"/>
      <c r="W79" s="12"/>
      <c r="X79" s="12"/>
      <c r="Y79" s="12"/>
    </row>
    <row r="80">
      <c r="A80" s="12"/>
      <c r="B80" s="13" t="s">
        <v>20</v>
      </c>
      <c r="C80" s="13" t="s">
        <v>549</v>
      </c>
      <c r="D80" s="13" t="s">
        <v>264</v>
      </c>
      <c r="E80" s="10"/>
      <c r="F80" s="13">
        <v>5.0</v>
      </c>
      <c r="G80" s="13" t="s">
        <v>713</v>
      </c>
      <c r="H80" s="13" t="s">
        <v>820</v>
      </c>
      <c r="I80" s="13" t="s">
        <v>1038</v>
      </c>
      <c r="J80" s="13" t="s">
        <v>1039</v>
      </c>
      <c r="K80" s="13" t="s">
        <v>1040</v>
      </c>
      <c r="L80" s="13" t="s">
        <v>846</v>
      </c>
      <c r="M80" s="13" t="s">
        <v>1041</v>
      </c>
      <c r="N80" s="12"/>
      <c r="O80" s="12"/>
      <c r="P80" s="12"/>
      <c r="Q80" s="12"/>
      <c r="R80" s="12"/>
      <c r="S80" s="12"/>
      <c r="T80" s="12"/>
      <c r="U80" s="12"/>
      <c r="V80" s="12"/>
      <c r="W80" s="12"/>
      <c r="X80" s="12"/>
      <c r="Y80" s="12"/>
    </row>
    <row r="81">
      <c r="A81" s="12"/>
      <c r="B81" s="13" t="s">
        <v>20</v>
      </c>
      <c r="C81" s="13" t="s">
        <v>549</v>
      </c>
      <c r="D81" s="13" t="s">
        <v>264</v>
      </c>
      <c r="E81" s="10"/>
      <c r="F81" s="13">
        <v>6.0</v>
      </c>
      <c r="G81" s="13" t="s">
        <v>1042</v>
      </c>
      <c r="H81" s="13" t="s">
        <v>1043</v>
      </c>
      <c r="I81" s="13" t="s">
        <v>1044</v>
      </c>
      <c r="J81" s="13" t="s">
        <v>1045</v>
      </c>
      <c r="K81" s="13" t="s">
        <v>1046</v>
      </c>
      <c r="L81" s="13" t="s">
        <v>704</v>
      </c>
      <c r="M81" s="13" t="s">
        <v>1047</v>
      </c>
      <c r="N81" s="12"/>
      <c r="O81" s="12"/>
      <c r="P81" s="12"/>
      <c r="Q81" s="12"/>
      <c r="R81" s="12"/>
      <c r="S81" s="12"/>
      <c r="T81" s="12"/>
      <c r="U81" s="12"/>
      <c r="V81" s="12"/>
      <c r="W81" s="12"/>
      <c r="X81" s="12"/>
      <c r="Y81" s="12"/>
    </row>
    <row r="82">
      <c r="A82" s="12"/>
      <c r="B82" s="13" t="s">
        <v>20</v>
      </c>
      <c r="C82" s="13" t="s">
        <v>469</v>
      </c>
      <c r="D82" s="13" t="s">
        <v>313</v>
      </c>
      <c r="E82" s="13" t="s">
        <v>1048</v>
      </c>
      <c r="F82" s="13">
        <v>1.0</v>
      </c>
      <c r="G82" s="13" t="s">
        <v>680</v>
      </c>
      <c r="H82" s="13" t="s">
        <v>681</v>
      </c>
      <c r="I82" s="13" t="s">
        <v>1049</v>
      </c>
      <c r="J82" s="13" t="s">
        <v>1050</v>
      </c>
      <c r="K82" s="13" t="s">
        <v>746</v>
      </c>
      <c r="L82" s="13" t="s">
        <v>824</v>
      </c>
      <c r="M82" s="13" t="s">
        <v>1051</v>
      </c>
      <c r="N82" s="12"/>
      <c r="O82" s="12"/>
      <c r="P82" s="12"/>
      <c r="Q82" s="12"/>
      <c r="R82" s="12"/>
      <c r="S82" s="12"/>
      <c r="T82" s="12"/>
      <c r="U82" s="12"/>
      <c r="V82" s="12"/>
      <c r="W82" s="12"/>
      <c r="X82" s="12"/>
      <c r="Y82" s="12"/>
    </row>
    <row r="83">
      <c r="A83" s="12"/>
      <c r="B83" s="13" t="s">
        <v>20</v>
      </c>
      <c r="C83" s="13" t="s">
        <v>469</v>
      </c>
      <c r="D83" s="13" t="s">
        <v>313</v>
      </c>
      <c r="E83" s="10"/>
      <c r="F83" s="13">
        <v>2.0</v>
      </c>
      <c r="G83" s="13" t="s">
        <v>692</v>
      </c>
      <c r="H83" s="13" t="s">
        <v>693</v>
      </c>
      <c r="I83" s="13" t="s">
        <v>1052</v>
      </c>
      <c r="J83" s="13" t="s">
        <v>1053</v>
      </c>
      <c r="K83" s="13" t="s">
        <v>728</v>
      </c>
      <c r="L83" s="13" t="s">
        <v>801</v>
      </c>
      <c r="M83" s="13" t="s">
        <v>1054</v>
      </c>
      <c r="N83" s="12"/>
      <c r="O83" s="12"/>
      <c r="P83" s="12"/>
      <c r="Q83" s="12"/>
      <c r="R83" s="12"/>
      <c r="S83" s="12"/>
      <c r="T83" s="12"/>
      <c r="U83" s="12"/>
      <c r="V83" s="12"/>
      <c r="W83" s="12"/>
      <c r="X83" s="12"/>
      <c r="Y83" s="12"/>
    </row>
    <row r="84">
      <c r="A84" s="12"/>
      <c r="B84" s="13" t="s">
        <v>20</v>
      </c>
      <c r="C84" s="13" t="s">
        <v>469</v>
      </c>
      <c r="D84" s="13" t="s">
        <v>313</v>
      </c>
      <c r="E84" s="10"/>
      <c r="F84" s="13">
        <v>3.0</v>
      </c>
      <c r="G84" s="13" t="s">
        <v>699</v>
      </c>
      <c r="H84" s="13" t="s">
        <v>700</v>
      </c>
      <c r="I84" s="13" t="s">
        <v>1055</v>
      </c>
      <c r="J84" s="13" t="s">
        <v>1056</v>
      </c>
      <c r="K84" s="13" t="s">
        <v>1057</v>
      </c>
      <c r="L84" s="13" t="s">
        <v>735</v>
      </c>
      <c r="M84" s="13" t="s">
        <v>1058</v>
      </c>
      <c r="N84" s="12"/>
      <c r="O84" s="12"/>
      <c r="P84" s="12"/>
      <c r="Q84" s="12"/>
      <c r="R84" s="12"/>
      <c r="S84" s="12"/>
      <c r="T84" s="12"/>
      <c r="U84" s="12"/>
      <c r="V84" s="12"/>
      <c r="W84" s="12"/>
      <c r="X84" s="12"/>
      <c r="Y84" s="12"/>
    </row>
    <row r="85">
      <c r="A85" s="12"/>
      <c r="B85" s="13" t="s">
        <v>20</v>
      </c>
      <c r="C85" s="13" t="s">
        <v>469</v>
      </c>
      <c r="D85" s="13" t="s">
        <v>313</v>
      </c>
      <c r="E85" s="10"/>
      <c r="F85" s="13">
        <v>4.0</v>
      </c>
      <c r="G85" s="13" t="s">
        <v>699</v>
      </c>
      <c r="H85" s="13" t="s">
        <v>700</v>
      </c>
      <c r="I85" s="13" t="s">
        <v>1059</v>
      </c>
      <c r="J85" s="13" t="s">
        <v>1056</v>
      </c>
      <c r="K85" s="13" t="s">
        <v>1057</v>
      </c>
      <c r="L85" s="13" t="s">
        <v>735</v>
      </c>
      <c r="M85" s="13" t="s">
        <v>1058</v>
      </c>
      <c r="N85" s="12"/>
      <c r="O85" s="12"/>
      <c r="P85" s="12"/>
      <c r="Q85" s="12"/>
      <c r="R85" s="12"/>
      <c r="S85" s="12"/>
      <c r="T85" s="12"/>
      <c r="U85" s="12"/>
      <c r="V85" s="12"/>
      <c r="W85" s="12"/>
      <c r="X85" s="12"/>
      <c r="Y85" s="12"/>
    </row>
    <row r="86">
      <c r="A86" s="12"/>
      <c r="B86" s="13" t="s">
        <v>20</v>
      </c>
      <c r="C86" s="13" t="s">
        <v>469</v>
      </c>
      <c r="D86" s="13" t="s">
        <v>313</v>
      </c>
      <c r="E86" s="10"/>
      <c r="F86" s="13">
        <v>5.0</v>
      </c>
      <c r="G86" s="13" t="s">
        <v>706</v>
      </c>
      <c r="H86" s="13" t="s">
        <v>707</v>
      </c>
      <c r="I86" s="13" t="s">
        <v>1060</v>
      </c>
      <c r="J86" s="13" t="s">
        <v>1061</v>
      </c>
      <c r="K86" s="13" t="s">
        <v>984</v>
      </c>
      <c r="L86" s="13" t="s">
        <v>704</v>
      </c>
      <c r="M86" s="13" t="s">
        <v>1062</v>
      </c>
      <c r="N86" s="12"/>
      <c r="O86" s="12"/>
      <c r="P86" s="12"/>
      <c r="Q86" s="12"/>
      <c r="R86" s="12"/>
      <c r="S86" s="12"/>
      <c r="T86" s="12"/>
      <c r="U86" s="12"/>
      <c r="V86" s="12"/>
      <c r="W86" s="12"/>
      <c r="X86" s="12"/>
      <c r="Y86" s="12"/>
    </row>
    <row r="87">
      <c r="A87" s="12"/>
      <c r="B87" s="13" t="s">
        <v>20</v>
      </c>
      <c r="C87" s="13" t="s">
        <v>469</v>
      </c>
      <c r="D87" s="13" t="s">
        <v>313</v>
      </c>
      <c r="E87" s="10"/>
      <c r="F87" s="13">
        <v>6.0</v>
      </c>
      <c r="G87" s="13" t="s">
        <v>1063</v>
      </c>
      <c r="H87" s="13" t="s">
        <v>1064</v>
      </c>
      <c r="I87" s="13" t="s">
        <v>1065</v>
      </c>
      <c r="J87" s="13" t="s">
        <v>1066</v>
      </c>
      <c r="K87" s="13" t="s">
        <v>1067</v>
      </c>
      <c r="L87" s="13" t="s">
        <v>1068</v>
      </c>
      <c r="M87" s="13" t="s">
        <v>1069</v>
      </c>
      <c r="N87" s="12"/>
      <c r="O87" s="12"/>
      <c r="P87" s="12"/>
      <c r="Q87" s="12"/>
      <c r="R87" s="12"/>
      <c r="S87" s="12"/>
      <c r="T87" s="12"/>
      <c r="U87" s="12"/>
      <c r="V87" s="12"/>
      <c r="W87" s="12"/>
      <c r="X87" s="12"/>
      <c r="Y87" s="12"/>
    </row>
    <row r="88">
      <c r="A88" s="12"/>
      <c r="B88" s="13" t="s">
        <v>20</v>
      </c>
      <c r="C88" s="13" t="s">
        <v>21</v>
      </c>
      <c r="D88" s="13" t="s">
        <v>313</v>
      </c>
      <c r="E88" s="13" t="s">
        <v>1070</v>
      </c>
      <c r="F88" s="13">
        <v>1.0</v>
      </c>
      <c r="G88" s="13" t="s">
        <v>680</v>
      </c>
      <c r="H88" s="13" t="s">
        <v>725</v>
      </c>
      <c r="I88" s="13" t="s">
        <v>1071</v>
      </c>
      <c r="J88" s="13" t="s">
        <v>854</v>
      </c>
      <c r="K88" s="13" t="s">
        <v>746</v>
      </c>
      <c r="L88" s="13" t="s">
        <v>824</v>
      </c>
      <c r="M88" s="13" t="s">
        <v>1072</v>
      </c>
      <c r="N88" s="12"/>
      <c r="O88" s="12"/>
      <c r="P88" s="12"/>
      <c r="Q88" s="12"/>
      <c r="R88" s="12"/>
      <c r="S88" s="12"/>
      <c r="T88" s="12"/>
      <c r="U88" s="12"/>
      <c r="V88" s="12"/>
      <c r="W88" s="12"/>
      <c r="X88" s="12"/>
      <c r="Y88" s="12"/>
    </row>
    <row r="89">
      <c r="A89" s="12"/>
      <c r="B89" s="13" t="s">
        <v>20</v>
      </c>
      <c r="C89" s="13" t="s">
        <v>21</v>
      </c>
      <c r="D89" s="13" t="s">
        <v>313</v>
      </c>
      <c r="E89" s="10"/>
      <c r="F89" s="13">
        <v>2.0</v>
      </c>
      <c r="G89" s="13" t="s">
        <v>692</v>
      </c>
      <c r="H89" s="13" t="s">
        <v>731</v>
      </c>
      <c r="I89" s="13" t="s">
        <v>1073</v>
      </c>
      <c r="J89" s="13" t="s">
        <v>860</v>
      </c>
      <c r="K89" s="13" t="s">
        <v>981</v>
      </c>
      <c r="L89" s="13" t="s">
        <v>704</v>
      </c>
      <c r="M89" s="13" t="s">
        <v>1074</v>
      </c>
      <c r="N89" s="12"/>
      <c r="O89" s="12"/>
      <c r="P89" s="12"/>
      <c r="Q89" s="12"/>
      <c r="R89" s="12"/>
      <c r="S89" s="12"/>
      <c r="T89" s="12"/>
      <c r="U89" s="12"/>
      <c r="V89" s="12"/>
      <c r="W89" s="12"/>
      <c r="X89" s="12"/>
      <c r="Y89" s="12"/>
    </row>
    <row r="90">
      <c r="A90" s="12"/>
      <c r="B90" s="13" t="s">
        <v>20</v>
      </c>
      <c r="C90" s="13" t="s">
        <v>21</v>
      </c>
      <c r="D90" s="13" t="s">
        <v>313</v>
      </c>
      <c r="E90" s="10"/>
      <c r="F90" s="13">
        <v>3.0</v>
      </c>
      <c r="G90" s="13" t="s">
        <v>699</v>
      </c>
      <c r="H90" s="13" t="s">
        <v>738</v>
      </c>
      <c r="I90" s="13" t="s">
        <v>1075</v>
      </c>
      <c r="J90" s="13" t="s">
        <v>864</v>
      </c>
      <c r="K90" s="13" t="s">
        <v>1057</v>
      </c>
      <c r="L90" s="13" t="s">
        <v>824</v>
      </c>
      <c r="M90" s="13" t="s">
        <v>1076</v>
      </c>
      <c r="N90" s="12"/>
      <c r="O90" s="12"/>
      <c r="P90" s="12"/>
      <c r="Q90" s="12"/>
      <c r="R90" s="12"/>
      <c r="S90" s="12"/>
      <c r="T90" s="12"/>
      <c r="U90" s="12"/>
      <c r="V90" s="12"/>
      <c r="W90" s="12"/>
      <c r="X90" s="12"/>
      <c r="Y90" s="12"/>
    </row>
    <row r="91">
      <c r="A91" s="12"/>
      <c r="B91" s="13" t="s">
        <v>20</v>
      </c>
      <c r="C91" s="13" t="s">
        <v>21</v>
      </c>
      <c r="D91" s="13" t="s">
        <v>313</v>
      </c>
      <c r="E91" s="10"/>
      <c r="F91" s="13">
        <v>4.0</v>
      </c>
      <c r="G91" s="13" t="s">
        <v>713</v>
      </c>
      <c r="H91" s="13" t="s">
        <v>873</v>
      </c>
      <c r="I91" s="13" t="s">
        <v>1077</v>
      </c>
      <c r="J91" s="13" t="s">
        <v>875</v>
      </c>
      <c r="K91" s="13" t="s">
        <v>984</v>
      </c>
      <c r="L91" s="13" t="s">
        <v>877</v>
      </c>
      <c r="M91" s="13" t="s">
        <v>1078</v>
      </c>
      <c r="N91" s="12"/>
      <c r="O91" s="12"/>
      <c r="P91" s="12"/>
      <c r="Q91" s="12"/>
      <c r="R91" s="12"/>
      <c r="S91" s="12"/>
      <c r="T91" s="12"/>
      <c r="U91" s="12"/>
      <c r="V91" s="12"/>
      <c r="W91" s="12"/>
      <c r="X91" s="12"/>
      <c r="Y91" s="12"/>
    </row>
    <row r="92">
      <c r="A92" s="12"/>
      <c r="B92" s="13" t="s">
        <v>20</v>
      </c>
      <c r="C92" s="13" t="s">
        <v>21</v>
      </c>
      <c r="D92" s="13" t="s">
        <v>313</v>
      </c>
      <c r="E92" s="10"/>
      <c r="F92" s="13">
        <v>5.0</v>
      </c>
      <c r="G92" s="13" t="s">
        <v>879</v>
      </c>
      <c r="H92" s="13" t="s">
        <v>880</v>
      </c>
      <c r="I92" s="13" t="s">
        <v>1079</v>
      </c>
      <c r="J92" s="13" t="s">
        <v>882</v>
      </c>
      <c r="K92" s="13" t="s">
        <v>1080</v>
      </c>
      <c r="L92" s="13" t="s">
        <v>884</v>
      </c>
      <c r="M92" s="13" t="s">
        <v>1081</v>
      </c>
      <c r="N92" s="12"/>
      <c r="O92" s="12"/>
      <c r="P92" s="12"/>
      <c r="Q92" s="12"/>
      <c r="R92" s="12"/>
      <c r="S92" s="12"/>
      <c r="T92" s="12"/>
      <c r="U92" s="12"/>
      <c r="V92" s="12"/>
      <c r="W92" s="12"/>
      <c r="X92" s="12"/>
      <c r="Y92" s="12"/>
    </row>
    <row r="93">
      <c r="A93" s="12"/>
      <c r="B93" s="13" t="s">
        <v>20</v>
      </c>
      <c r="C93" s="13" t="s">
        <v>21</v>
      </c>
      <c r="D93" s="13" t="s">
        <v>313</v>
      </c>
      <c r="E93" s="10"/>
      <c r="F93" s="13">
        <v>6.0</v>
      </c>
      <c r="G93" s="13" t="s">
        <v>1082</v>
      </c>
      <c r="H93" s="13" t="s">
        <v>1083</v>
      </c>
      <c r="I93" s="13" t="s">
        <v>1084</v>
      </c>
      <c r="J93" s="13" t="s">
        <v>1085</v>
      </c>
      <c r="K93" s="13" t="s">
        <v>1086</v>
      </c>
      <c r="L93" s="13" t="s">
        <v>1087</v>
      </c>
      <c r="M93" s="13" t="s">
        <v>1088</v>
      </c>
      <c r="N93" s="12"/>
      <c r="O93" s="12"/>
      <c r="P93" s="12"/>
      <c r="Q93" s="12"/>
      <c r="R93" s="12"/>
      <c r="S93" s="12"/>
      <c r="T93" s="12"/>
      <c r="U93" s="12"/>
      <c r="V93" s="12"/>
      <c r="W93" s="12"/>
      <c r="X93" s="12"/>
      <c r="Y93" s="12"/>
    </row>
    <row r="94">
      <c r="A94" s="12"/>
      <c r="B94" s="13" t="s">
        <v>20</v>
      </c>
      <c r="C94" s="13" t="s">
        <v>82</v>
      </c>
      <c r="D94" s="13" t="s">
        <v>313</v>
      </c>
      <c r="E94" s="13" t="s">
        <v>1089</v>
      </c>
      <c r="F94" s="13">
        <v>1.0</v>
      </c>
      <c r="G94" s="13" t="s">
        <v>680</v>
      </c>
      <c r="H94" s="13" t="s">
        <v>760</v>
      </c>
      <c r="I94" s="13" t="s">
        <v>1090</v>
      </c>
      <c r="J94" s="13" t="s">
        <v>1091</v>
      </c>
      <c r="K94" s="13" t="s">
        <v>817</v>
      </c>
      <c r="L94" s="13" t="s">
        <v>824</v>
      </c>
      <c r="M94" s="13" t="s">
        <v>1092</v>
      </c>
      <c r="N94" s="12"/>
      <c r="O94" s="12"/>
      <c r="P94" s="12"/>
      <c r="Q94" s="12"/>
      <c r="R94" s="12"/>
      <c r="S94" s="12"/>
      <c r="T94" s="12"/>
      <c r="U94" s="12"/>
      <c r="V94" s="12"/>
      <c r="W94" s="12"/>
      <c r="X94" s="12"/>
      <c r="Y94" s="12"/>
    </row>
    <row r="95">
      <c r="A95" s="12"/>
      <c r="B95" s="13" t="s">
        <v>20</v>
      </c>
      <c r="C95" s="13" t="s">
        <v>82</v>
      </c>
      <c r="D95" s="13" t="s">
        <v>313</v>
      </c>
      <c r="E95" s="10"/>
      <c r="F95" s="13">
        <v>2.0</v>
      </c>
      <c r="G95" s="13" t="s">
        <v>692</v>
      </c>
      <c r="H95" s="13" t="s">
        <v>765</v>
      </c>
      <c r="I95" s="13" t="s">
        <v>1093</v>
      </c>
      <c r="J95" s="13" t="s">
        <v>921</v>
      </c>
      <c r="K95" s="13" t="s">
        <v>922</v>
      </c>
      <c r="L95" s="13" t="s">
        <v>846</v>
      </c>
      <c r="M95" s="13" t="s">
        <v>1094</v>
      </c>
      <c r="N95" s="12"/>
      <c r="O95" s="12"/>
      <c r="P95" s="12"/>
      <c r="Q95" s="12"/>
      <c r="R95" s="12"/>
      <c r="S95" s="12"/>
      <c r="T95" s="12"/>
      <c r="U95" s="12"/>
      <c r="V95" s="12"/>
      <c r="W95" s="12"/>
      <c r="X95" s="12"/>
      <c r="Y95" s="12"/>
    </row>
    <row r="96">
      <c r="A96" s="12"/>
      <c r="B96" s="13" t="s">
        <v>20</v>
      </c>
      <c r="C96" s="13" t="s">
        <v>82</v>
      </c>
      <c r="D96" s="13" t="s">
        <v>313</v>
      </c>
      <c r="E96" s="10"/>
      <c r="F96" s="13">
        <v>3.0</v>
      </c>
      <c r="G96" s="13" t="s">
        <v>699</v>
      </c>
      <c r="H96" s="13" t="s">
        <v>770</v>
      </c>
      <c r="I96" s="13" t="s">
        <v>1095</v>
      </c>
      <c r="J96" s="13" t="s">
        <v>1096</v>
      </c>
      <c r="K96" s="13" t="s">
        <v>1097</v>
      </c>
      <c r="L96" s="13" t="s">
        <v>704</v>
      </c>
      <c r="M96" s="13" t="s">
        <v>1098</v>
      </c>
      <c r="N96" s="12"/>
      <c r="O96" s="12"/>
      <c r="P96" s="12"/>
      <c r="Q96" s="12"/>
      <c r="R96" s="12"/>
      <c r="S96" s="12"/>
      <c r="T96" s="12"/>
      <c r="U96" s="12"/>
      <c r="V96" s="12"/>
      <c r="W96" s="12"/>
      <c r="X96" s="12"/>
      <c r="Y96" s="12"/>
    </row>
    <row r="97">
      <c r="A97" s="12"/>
      <c r="B97" s="13" t="s">
        <v>20</v>
      </c>
      <c r="C97" s="13" t="s">
        <v>82</v>
      </c>
      <c r="D97" s="13" t="s">
        <v>313</v>
      </c>
      <c r="E97" s="10"/>
      <c r="F97" s="13">
        <v>4.0</v>
      </c>
      <c r="G97" s="13" t="s">
        <v>706</v>
      </c>
      <c r="H97" s="13" t="s">
        <v>775</v>
      </c>
      <c r="I97" s="13" t="s">
        <v>1099</v>
      </c>
      <c r="J97" s="13" t="s">
        <v>1100</v>
      </c>
      <c r="K97" s="13" t="s">
        <v>1101</v>
      </c>
      <c r="L97" s="13" t="s">
        <v>704</v>
      </c>
      <c r="M97" s="13" t="s">
        <v>1102</v>
      </c>
      <c r="N97" s="12"/>
      <c r="O97" s="12"/>
      <c r="P97" s="12"/>
      <c r="Q97" s="12"/>
      <c r="R97" s="12"/>
      <c r="S97" s="12"/>
      <c r="T97" s="12"/>
      <c r="U97" s="12"/>
      <c r="V97" s="12"/>
      <c r="W97" s="12"/>
      <c r="X97" s="12"/>
      <c r="Y97" s="12"/>
    </row>
    <row r="98">
      <c r="A98" s="12"/>
      <c r="B98" s="13" t="s">
        <v>20</v>
      </c>
      <c r="C98" s="13" t="s">
        <v>82</v>
      </c>
      <c r="D98" s="13" t="s">
        <v>313</v>
      </c>
      <c r="E98" s="10"/>
      <c r="F98" s="13">
        <v>5.0</v>
      </c>
      <c r="G98" s="13" t="s">
        <v>713</v>
      </c>
      <c r="H98" s="13" t="s">
        <v>780</v>
      </c>
      <c r="I98" s="13" t="s">
        <v>1103</v>
      </c>
      <c r="J98" s="13" t="s">
        <v>1104</v>
      </c>
      <c r="K98" s="13" t="s">
        <v>1105</v>
      </c>
      <c r="L98" s="13" t="s">
        <v>846</v>
      </c>
      <c r="M98" s="13" t="s">
        <v>1106</v>
      </c>
      <c r="N98" s="12"/>
      <c r="O98" s="12"/>
      <c r="P98" s="12"/>
      <c r="Q98" s="12"/>
      <c r="R98" s="12"/>
      <c r="S98" s="12"/>
      <c r="T98" s="12"/>
      <c r="U98" s="12"/>
      <c r="V98" s="12"/>
      <c r="W98" s="12"/>
      <c r="X98" s="12"/>
      <c r="Y98" s="12"/>
    </row>
    <row r="99">
      <c r="A99" s="12"/>
      <c r="B99" s="13" t="s">
        <v>20</v>
      </c>
      <c r="C99" s="13" t="s">
        <v>82</v>
      </c>
      <c r="D99" s="13" t="s">
        <v>313</v>
      </c>
      <c r="E99" s="10"/>
      <c r="F99" s="13">
        <v>6.0</v>
      </c>
      <c r="G99" s="13" t="s">
        <v>713</v>
      </c>
      <c r="H99" s="13" t="s">
        <v>1107</v>
      </c>
      <c r="I99" s="13" t="s">
        <v>1108</v>
      </c>
      <c r="J99" s="13" t="s">
        <v>1109</v>
      </c>
      <c r="K99" s="13" t="s">
        <v>1110</v>
      </c>
      <c r="L99" s="13" t="s">
        <v>1111</v>
      </c>
      <c r="M99" s="13" t="s">
        <v>1112</v>
      </c>
      <c r="N99" s="12"/>
      <c r="O99" s="12"/>
      <c r="P99" s="12"/>
      <c r="Q99" s="12"/>
      <c r="R99" s="12"/>
      <c r="S99" s="12"/>
      <c r="T99" s="12"/>
      <c r="U99" s="12"/>
      <c r="V99" s="12"/>
      <c r="W99" s="12"/>
      <c r="X99" s="12"/>
      <c r="Y99" s="12"/>
    </row>
    <row r="100">
      <c r="A100" s="12"/>
      <c r="B100" s="13" t="s">
        <v>1113</v>
      </c>
      <c r="C100" s="13" t="s">
        <v>549</v>
      </c>
      <c r="D100" s="13" t="s">
        <v>313</v>
      </c>
      <c r="E100" s="13" t="s">
        <v>1114</v>
      </c>
      <c r="F100" s="13">
        <v>1.0</v>
      </c>
      <c r="G100" s="13" t="s">
        <v>680</v>
      </c>
      <c r="H100" s="13" t="s">
        <v>797</v>
      </c>
      <c r="I100" s="13" t="s">
        <v>1115</v>
      </c>
      <c r="J100" s="13" t="s">
        <v>1116</v>
      </c>
      <c r="K100" s="13" t="s">
        <v>1117</v>
      </c>
      <c r="L100" s="13" t="s">
        <v>711</v>
      </c>
      <c r="M100" s="13" t="s">
        <v>1118</v>
      </c>
      <c r="N100" s="12"/>
      <c r="O100" s="12"/>
      <c r="P100" s="12"/>
      <c r="Q100" s="12"/>
      <c r="R100" s="12"/>
      <c r="S100" s="12"/>
      <c r="T100" s="12"/>
      <c r="U100" s="12"/>
      <c r="V100" s="12"/>
      <c r="W100" s="12"/>
      <c r="X100" s="12"/>
      <c r="Y100" s="12"/>
    </row>
    <row r="101">
      <c r="A101" s="12"/>
      <c r="B101" s="13" t="s">
        <v>1113</v>
      </c>
      <c r="C101" s="13" t="s">
        <v>549</v>
      </c>
      <c r="D101" s="13" t="s">
        <v>313</v>
      </c>
      <c r="E101" s="10"/>
      <c r="F101" s="13">
        <v>2.0</v>
      </c>
      <c r="G101" s="13" t="s">
        <v>692</v>
      </c>
      <c r="H101" s="13" t="s">
        <v>804</v>
      </c>
      <c r="I101" s="13" t="s">
        <v>1119</v>
      </c>
      <c r="J101" s="13" t="s">
        <v>1120</v>
      </c>
      <c r="K101" s="13" t="s">
        <v>817</v>
      </c>
      <c r="L101" s="13" t="s">
        <v>704</v>
      </c>
      <c r="M101" s="13" t="s">
        <v>1121</v>
      </c>
      <c r="N101" s="12"/>
      <c r="O101" s="12"/>
      <c r="P101" s="12"/>
      <c r="Q101" s="12"/>
      <c r="R101" s="12"/>
      <c r="S101" s="12"/>
      <c r="T101" s="12"/>
      <c r="U101" s="12"/>
      <c r="V101" s="12"/>
      <c r="W101" s="12"/>
      <c r="X101" s="12"/>
      <c r="Y101" s="12"/>
    </row>
    <row r="102">
      <c r="A102" s="12"/>
      <c r="B102" s="13" t="s">
        <v>1113</v>
      </c>
      <c r="C102" s="13" t="s">
        <v>549</v>
      </c>
      <c r="D102" s="13" t="s">
        <v>313</v>
      </c>
      <c r="E102" s="10"/>
      <c r="F102" s="13">
        <v>3.0</v>
      </c>
      <c r="G102" s="13" t="s">
        <v>699</v>
      </c>
      <c r="H102" s="13" t="s">
        <v>809</v>
      </c>
      <c r="I102" s="13" t="s">
        <v>1122</v>
      </c>
      <c r="J102" s="13" t="s">
        <v>1045</v>
      </c>
      <c r="K102" s="13" t="s">
        <v>1046</v>
      </c>
      <c r="L102" s="13" t="s">
        <v>704</v>
      </c>
      <c r="M102" s="13" t="s">
        <v>1123</v>
      </c>
      <c r="N102" s="12"/>
      <c r="O102" s="12"/>
      <c r="P102" s="12"/>
      <c r="Q102" s="12"/>
      <c r="R102" s="12"/>
      <c r="S102" s="12"/>
      <c r="T102" s="12"/>
      <c r="U102" s="12"/>
      <c r="V102" s="12"/>
      <c r="W102" s="12"/>
      <c r="X102" s="12"/>
      <c r="Y102" s="12"/>
    </row>
    <row r="103">
      <c r="A103" s="12"/>
      <c r="B103" s="13" t="s">
        <v>1113</v>
      </c>
      <c r="C103" s="13" t="s">
        <v>549</v>
      </c>
      <c r="D103" s="13" t="s">
        <v>313</v>
      </c>
      <c r="E103" s="10"/>
      <c r="F103" s="13">
        <v>4.0</v>
      </c>
      <c r="G103" s="13" t="s">
        <v>706</v>
      </c>
      <c r="H103" s="13" t="s">
        <v>814</v>
      </c>
      <c r="I103" s="13" t="s">
        <v>1124</v>
      </c>
      <c r="J103" s="13" t="s">
        <v>1125</v>
      </c>
      <c r="K103" s="13" t="s">
        <v>984</v>
      </c>
      <c r="L103" s="13" t="s">
        <v>704</v>
      </c>
      <c r="M103" s="13" t="s">
        <v>1126</v>
      </c>
      <c r="N103" s="12"/>
      <c r="O103" s="12"/>
      <c r="P103" s="12"/>
      <c r="Q103" s="12"/>
      <c r="R103" s="12"/>
      <c r="S103" s="12"/>
      <c r="T103" s="12"/>
      <c r="U103" s="12"/>
      <c r="V103" s="12"/>
      <c r="W103" s="12"/>
      <c r="X103" s="12"/>
      <c r="Y103" s="12"/>
    </row>
    <row r="104">
      <c r="A104" s="12"/>
      <c r="B104" s="13" t="s">
        <v>1113</v>
      </c>
      <c r="C104" s="13" t="s">
        <v>549</v>
      </c>
      <c r="D104" s="13" t="s">
        <v>313</v>
      </c>
      <c r="E104" s="10"/>
      <c r="F104" s="13">
        <v>5.0</v>
      </c>
      <c r="G104" s="13" t="s">
        <v>1127</v>
      </c>
      <c r="H104" s="13" t="s">
        <v>820</v>
      </c>
      <c r="I104" s="13" t="s">
        <v>1128</v>
      </c>
      <c r="J104" s="13" t="s">
        <v>1129</v>
      </c>
      <c r="K104" s="13" t="s">
        <v>1130</v>
      </c>
      <c r="L104" s="13" t="s">
        <v>1131</v>
      </c>
      <c r="M104" s="13" t="s">
        <v>1132</v>
      </c>
      <c r="N104" s="12"/>
      <c r="O104" s="12"/>
      <c r="P104" s="12"/>
      <c r="Q104" s="12"/>
      <c r="R104" s="12"/>
      <c r="S104" s="12"/>
      <c r="T104" s="12"/>
      <c r="U104" s="12"/>
      <c r="V104" s="12"/>
      <c r="W104" s="12"/>
      <c r="X104" s="12"/>
      <c r="Y104" s="12"/>
    </row>
    <row r="105">
      <c r="A105" s="12"/>
      <c r="B105" s="13" t="s">
        <v>1113</v>
      </c>
      <c r="C105" s="13" t="s">
        <v>549</v>
      </c>
      <c r="D105" s="13" t="s">
        <v>313</v>
      </c>
      <c r="E105" s="10"/>
      <c r="F105" s="13">
        <v>6.0</v>
      </c>
      <c r="G105" s="13" t="s">
        <v>1133</v>
      </c>
      <c r="H105" s="13" t="s">
        <v>820</v>
      </c>
      <c r="I105" s="13" t="s">
        <v>1134</v>
      </c>
      <c r="J105" s="13" t="s">
        <v>1129</v>
      </c>
      <c r="K105" s="13" t="s">
        <v>1135</v>
      </c>
      <c r="L105" s="13" t="s">
        <v>846</v>
      </c>
      <c r="M105" s="13" t="s">
        <v>1132</v>
      </c>
      <c r="N105" s="12"/>
      <c r="O105" s="12"/>
      <c r="P105" s="12"/>
      <c r="Q105" s="12"/>
      <c r="R105" s="12"/>
      <c r="S105" s="12"/>
      <c r="T105" s="12"/>
      <c r="U105" s="12"/>
      <c r="V105" s="12"/>
      <c r="W105" s="12"/>
      <c r="X105" s="12"/>
      <c r="Y105" s="12"/>
    </row>
  </sheetData>
  <autoFilter ref="$A$1:$Y$105"/>
  <mergeCells count="8">
    <mergeCell ref="E2:E8"/>
    <mergeCell ref="E9:E15"/>
    <mergeCell ref="E16:E22"/>
    <mergeCell ref="E23:E29"/>
    <mergeCell ref="E30:E36"/>
    <mergeCell ref="E37:E43"/>
    <mergeCell ref="E44:E50"/>
    <mergeCell ref="E51:E5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38"/>
    <col customWidth="1" min="2" max="2" width="8.75"/>
    <col customWidth="1" min="3" max="3" width="9.38"/>
    <col customWidth="1" min="4" max="4" width="17.75"/>
    <col customWidth="1" min="5" max="5" width="7.25"/>
    <col customWidth="1" min="7" max="7" width="8.75"/>
    <col customWidth="1" min="10" max="12" width="19.75"/>
    <col customWidth="1" min="13" max="13" width="32.88"/>
    <col customWidth="1" min="15" max="15" width="25.5"/>
    <col customWidth="1" min="16" max="16" width="24.75"/>
    <col customWidth="1" min="18" max="18" width="70.38"/>
  </cols>
  <sheetData>
    <row r="1" ht="27.0" customHeight="1">
      <c r="A1" s="21" t="s">
        <v>1136</v>
      </c>
      <c r="B1" s="21" t="s">
        <v>1137</v>
      </c>
      <c r="C1" s="21" t="s">
        <v>1138</v>
      </c>
      <c r="D1" s="21" t="s">
        <v>1139</v>
      </c>
      <c r="E1" s="21" t="s">
        <v>1140</v>
      </c>
      <c r="F1" s="21" t="s">
        <v>1141</v>
      </c>
      <c r="G1" s="21" t="s">
        <v>1142</v>
      </c>
      <c r="H1" s="21" t="s">
        <v>1143</v>
      </c>
      <c r="I1" s="21" t="s">
        <v>1144</v>
      </c>
      <c r="J1" s="21" t="s">
        <v>1145</v>
      </c>
      <c r="K1" s="21" t="s">
        <v>1146</v>
      </c>
      <c r="L1" s="21" t="s">
        <v>1147</v>
      </c>
      <c r="M1" s="21" t="s">
        <v>1148</v>
      </c>
      <c r="N1" s="21" t="s">
        <v>1149</v>
      </c>
      <c r="O1" s="21" t="s">
        <v>1150</v>
      </c>
      <c r="P1" s="21" t="s">
        <v>1151</v>
      </c>
      <c r="Q1" s="21" t="s">
        <v>1152</v>
      </c>
      <c r="R1" s="21" t="s">
        <v>1153</v>
      </c>
    </row>
    <row r="2">
      <c r="A2" s="22" t="s">
        <v>469</v>
      </c>
      <c r="B2" s="22" t="s">
        <v>22</v>
      </c>
      <c r="C2" s="22">
        <v>1.0</v>
      </c>
      <c r="D2" s="22" t="s">
        <v>1154</v>
      </c>
      <c r="E2" s="22">
        <v>1.0</v>
      </c>
      <c r="F2" s="22" t="s">
        <v>1155</v>
      </c>
      <c r="G2" s="22" t="s">
        <v>1156</v>
      </c>
      <c r="H2" s="22" t="s">
        <v>1157</v>
      </c>
      <c r="I2" s="22" t="s">
        <v>1158</v>
      </c>
      <c r="J2" s="22" t="s">
        <v>1159</v>
      </c>
      <c r="K2" s="22" t="s">
        <v>1160</v>
      </c>
      <c r="L2" s="22" t="s">
        <v>1161</v>
      </c>
      <c r="M2" s="23" t="s">
        <v>1162</v>
      </c>
      <c r="N2" s="23" t="s">
        <v>1163</v>
      </c>
      <c r="O2" s="23" t="s">
        <v>1164</v>
      </c>
      <c r="P2" s="23" t="s">
        <v>1165</v>
      </c>
      <c r="Q2" s="23" t="s">
        <v>1166</v>
      </c>
      <c r="R2" s="23" t="s">
        <v>1167</v>
      </c>
    </row>
    <row r="3">
      <c r="A3" s="24" t="s">
        <v>469</v>
      </c>
      <c r="B3" s="24" t="s">
        <v>22</v>
      </c>
      <c r="C3" s="24">
        <v>1.0</v>
      </c>
      <c r="D3" s="24" t="s">
        <v>1154</v>
      </c>
      <c r="E3" s="24">
        <v>2.0</v>
      </c>
      <c r="F3" s="24" t="s">
        <v>1168</v>
      </c>
      <c r="G3" s="24" t="s">
        <v>1156</v>
      </c>
      <c r="H3" s="24" t="s">
        <v>1157</v>
      </c>
      <c r="I3" s="24" t="s">
        <v>1158</v>
      </c>
      <c r="J3" s="24" t="s">
        <v>1159</v>
      </c>
      <c r="K3" s="24" t="s">
        <v>1160</v>
      </c>
      <c r="L3" s="24" t="s">
        <v>1161</v>
      </c>
      <c r="M3" s="25" t="s">
        <v>1169</v>
      </c>
      <c r="N3" s="25" t="s">
        <v>1163</v>
      </c>
      <c r="O3" s="25" t="s">
        <v>1170</v>
      </c>
      <c r="P3" s="25" t="s">
        <v>1171</v>
      </c>
      <c r="Q3" s="25" t="s">
        <v>1172</v>
      </c>
      <c r="R3" s="25" t="s">
        <v>1173</v>
      </c>
    </row>
    <row r="4">
      <c r="A4" s="24" t="s">
        <v>469</v>
      </c>
      <c r="B4" s="24" t="s">
        <v>22</v>
      </c>
      <c r="C4" s="24">
        <v>2.0</v>
      </c>
      <c r="D4" s="24" t="s">
        <v>1174</v>
      </c>
      <c r="E4" s="24">
        <v>3.0</v>
      </c>
      <c r="F4" s="24" t="s">
        <v>1155</v>
      </c>
      <c r="G4" s="24" t="s">
        <v>1156</v>
      </c>
      <c r="H4" s="24" t="s">
        <v>1157</v>
      </c>
      <c r="I4" s="24" t="s">
        <v>1158</v>
      </c>
      <c r="J4" s="24" t="s">
        <v>1159</v>
      </c>
      <c r="K4" s="24" t="s">
        <v>1160</v>
      </c>
      <c r="L4" s="24" t="s">
        <v>1161</v>
      </c>
      <c r="M4" s="25" t="s">
        <v>1175</v>
      </c>
      <c r="N4" s="25" t="s">
        <v>1163</v>
      </c>
      <c r="O4" s="25" t="s">
        <v>1176</v>
      </c>
      <c r="P4" s="25" t="s">
        <v>1177</v>
      </c>
      <c r="Q4" s="25" t="s">
        <v>1178</v>
      </c>
      <c r="R4" s="25" t="s">
        <v>1179</v>
      </c>
    </row>
    <row r="5">
      <c r="A5" s="24" t="s">
        <v>469</v>
      </c>
      <c r="B5" s="24" t="s">
        <v>22</v>
      </c>
      <c r="C5" s="24">
        <v>2.0</v>
      </c>
      <c r="D5" s="24" t="s">
        <v>1174</v>
      </c>
      <c r="E5" s="24">
        <v>4.0</v>
      </c>
      <c r="F5" s="24" t="s">
        <v>1168</v>
      </c>
      <c r="G5" s="24" t="s">
        <v>1156</v>
      </c>
      <c r="H5" s="24" t="s">
        <v>1157</v>
      </c>
      <c r="I5" s="24" t="s">
        <v>1158</v>
      </c>
      <c r="J5" s="24" t="s">
        <v>1159</v>
      </c>
      <c r="K5" s="24" t="s">
        <v>1160</v>
      </c>
      <c r="L5" s="24" t="s">
        <v>1161</v>
      </c>
      <c r="M5" s="25" t="s">
        <v>1180</v>
      </c>
      <c r="N5" s="25" t="s">
        <v>1163</v>
      </c>
      <c r="O5" s="25" t="s">
        <v>1181</v>
      </c>
      <c r="P5" s="25" t="s">
        <v>1182</v>
      </c>
      <c r="Q5" s="25" t="s">
        <v>1183</v>
      </c>
      <c r="R5" s="25" t="s">
        <v>1184</v>
      </c>
    </row>
    <row r="6">
      <c r="A6" s="24" t="s">
        <v>469</v>
      </c>
      <c r="B6" s="24" t="s">
        <v>22</v>
      </c>
      <c r="C6" s="24">
        <v>3.0</v>
      </c>
      <c r="D6" s="24" t="s">
        <v>1185</v>
      </c>
      <c r="E6" s="24">
        <v>5.0</v>
      </c>
      <c r="F6" s="24" t="s">
        <v>1155</v>
      </c>
      <c r="G6" s="24" t="s">
        <v>1156</v>
      </c>
      <c r="H6" s="24" t="s">
        <v>1157</v>
      </c>
      <c r="I6" s="24" t="s">
        <v>1158</v>
      </c>
      <c r="J6" s="24" t="s">
        <v>1159</v>
      </c>
      <c r="K6" s="24" t="s">
        <v>1160</v>
      </c>
      <c r="L6" s="24" t="s">
        <v>1161</v>
      </c>
      <c r="M6" s="25" t="s">
        <v>1186</v>
      </c>
      <c r="N6" s="25" t="s">
        <v>1163</v>
      </c>
      <c r="O6" s="25" t="s">
        <v>1187</v>
      </c>
      <c r="P6" s="25" t="s">
        <v>1188</v>
      </c>
      <c r="Q6" s="25" t="s">
        <v>1189</v>
      </c>
      <c r="R6" s="25" t="s">
        <v>1190</v>
      </c>
    </row>
    <row r="7">
      <c r="A7" s="24" t="s">
        <v>469</v>
      </c>
      <c r="B7" s="24" t="s">
        <v>22</v>
      </c>
      <c r="C7" s="24">
        <v>3.0</v>
      </c>
      <c r="D7" s="24" t="s">
        <v>1185</v>
      </c>
      <c r="E7" s="24">
        <v>6.0</v>
      </c>
      <c r="F7" s="24" t="s">
        <v>1168</v>
      </c>
      <c r="G7" s="24" t="s">
        <v>1156</v>
      </c>
      <c r="H7" s="24" t="s">
        <v>1157</v>
      </c>
      <c r="I7" s="24" t="s">
        <v>1158</v>
      </c>
      <c r="J7" s="24" t="s">
        <v>1159</v>
      </c>
      <c r="K7" s="24" t="s">
        <v>1160</v>
      </c>
      <c r="L7" s="24" t="s">
        <v>1161</v>
      </c>
      <c r="M7" s="25" t="s">
        <v>1191</v>
      </c>
      <c r="N7" s="25" t="s">
        <v>1192</v>
      </c>
      <c r="O7" s="25" t="s">
        <v>1193</v>
      </c>
      <c r="P7" s="25" t="s">
        <v>1194</v>
      </c>
      <c r="Q7" s="25" t="s">
        <v>1195</v>
      </c>
      <c r="R7" s="25" t="s">
        <v>1196</v>
      </c>
    </row>
    <row r="8">
      <c r="A8" s="24" t="s">
        <v>469</v>
      </c>
      <c r="B8" s="24" t="s">
        <v>22</v>
      </c>
      <c r="C8" s="24">
        <v>4.0</v>
      </c>
      <c r="D8" s="24" t="s">
        <v>1197</v>
      </c>
      <c r="E8" s="24">
        <v>7.0</v>
      </c>
      <c r="F8" s="24" t="s">
        <v>1155</v>
      </c>
      <c r="G8" s="24" t="s">
        <v>1156</v>
      </c>
      <c r="H8" s="24" t="s">
        <v>1157</v>
      </c>
      <c r="I8" s="24" t="s">
        <v>1158</v>
      </c>
      <c r="J8" s="24" t="s">
        <v>1159</v>
      </c>
      <c r="K8" s="24" t="s">
        <v>1160</v>
      </c>
      <c r="L8" s="24" t="s">
        <v>1161</v>
      </c>
      <c r="M8" s="25" t="s">
        <v>1198</v>
      </c>
      <c r="N8" s="25" t="s">
        <v>1163</v>
      </c>
      <c r="O8" s="25" t="s">
        <v>1199</v>
      </c>
      <c r="P8" s="25" t="s">
        <v>1200</v>
      </c>
      <c r="Q8" s="25" t="s">
        <v>1201</v>
      </c>
      <c r="R8" s="25" t="s">
        <v>1202</v>
      </c>
    </row>
    <row r="9">
      <c r="A9" s="24" t="s">
        <v>469</v>
      </c>
      <c r="B9" s="24" t="s">
        <v>22</v>
      </c>
      <c r="C9" s="24">
        <v>4.0</v>
      </c>
      <c r="D9" s="24" t="s">
        <v>1197</v>
      </c>
      <c r="E9" s="24">
        <v>8.0</v>
      </c>
      <c r="F9" s="24" t="s">
        <v>1168</v>
      </c>
      <c r="G9" s="24" t="s">
        <v>1156</v>
      </c>
      <c r="H9" s="24" t="s">
        <v>1157</v>
      </c>
      <c r="I9" s="24" t="s">
        <v>1158</v>
      </c>
      <c r="J9" s="24" t="s">
        <v>1159</v>
      </c>
      <c r="K9" s="24" t="s">
        <v>1160</v>
      </c>
      <c r="L9" s="24" t="s">
        <v>1161</v>
      </c>
      <c r="M9" s="25" t="s">
        <v>1203</v>
      </c>
      <c r="N9" s="25" t="s">
        <v>1192</v>
      </c>
      <c r="O9" s="25" t="s">
        <v>1204</v>
      </c>
      <c r="P9" s="25" t="s">
        <v>1205</v>
      </c>
      <c r="Q9" s="25" t="s">
        <v>1206</v>
      </c>
      <c r="R9" s="25" t="s">
        <v>1207</v>
      </c>
    </row>
    <row r="10">
      <c r="A10" s="24" t="s">
        <v>469</v>
      </c>
      <c r="B10" s="24" t="s">
        <v>22</v>
      </c>
      <c r="C10" s="24">
        <v>5.0</v>
      </c>
      <c r="D10" s="24" t="s">
        <v>1208</v>
      </c>
      <c r="E10" s="24">
        <v>9.0</v>
      </c>
      <c r="F10" s="24" t="s">
        <v>1155</v>
      </c>
      <c r="G10" s="24" t="s">
        <v>1209</v>
      </c>
      <c r="H10" s="24" t="s">
        <v>1210</v>
      </c>
      <c r="I10" s="24" t="s">
        <v>1158</v>
      </c>
      <c r="J10" s="24" t="s">
        <v>1159</v>
      </c>
      <c r="K10" s="24" t="s">
        <v>1160</v>
      </c>
      <c r="L10" s="24" t="s">
        <v>1161</v>
      </c>
      <c r="M10" s="25" t="s">
        <v>1211</v>
      </c>
      <c r="N10" s="25" t="s">
        <v>1163</v>
      </c>
      <c r="O10" s="25" t="s">
        <v>1212</v>
      </c>
      <c r="P10" s="25" t="s">
        <v>1165</v>
      </c>
      <c r="Q10" s="25" t="s">
        <v>1166</v>
      </c>
      <c r="R10" s="25" t="s">
        <v>1167</v>
      </c>
    </row>
    <row r="11">
      <c r="A11" s="24" t="s">
        <v>469</v>
      </c>
      <c r="B11" s="24" t="s">
        <v>22</v>
      </c>
      <c r="C11" s="24">
        <v>5.0</v>
      </c>
      <c r="D11" s="24" t="s">
        <v>1208</v>
      </c>
      <c r="E11" s="24">
        <v>10.0</v>
      </c>
      <c r="F11" s="24" t="s">
        <v>1168</v>
      </c>
      <c r="G11" s="24" t="s">
        <v>1209</v>
      </c>
      <c r="H11" s="24" t="s">
        <v>1210</v>
      </c>
      <c r="I11" s="24" t="s">
        <v>1158</v>
      </c>
      <c r="J11" s="24" t="s">
        <v>1159</v>
      </c>
      <c r="K11" s="24" t="s">
        <v>1160</v>
      </c>
      <c r="L11" s="24" t="s">
        <v>1161</v>
      </c>
      <c r="M11" s="25" t="s">
        <v>1213</v>
      </c>
      <c r="N11" s="25" t="s">
        <v>1214</v>
      </c>
      <c r="O11" s="25" t="s">
        <v>1215</v>
      </c>
      <c r="P11" s="25" t="s">
        <v>1216</v>
      </c>
      <c r="Q11" s="25" t="s">
        <v>1217</v>
      </c>
      <c r="R11" s="25" t="s">
        <v>1218</v>
      </c>
    </row>
    <row r="12">
      <c r="A12" s="24" t="s">
        <v>469</v>
      </c>
      <c r="B12" s="24" t="s">
        <v>22</v>
      </c>
      <c r="C12" s="24">
        <v>6.0</v>
      </c>
      <c r="D12" s="24" t="s">
        <v>1219</v>
      </c>
      <c r="E12" s="24">
        <v>11.0</v>
      </c>
      <c r="F12" s="24" t="s">
        <v>1155</v>
      </c>
      <c r="G12" s="24" t="s">
        <v>1209</v>
      </c>
      <c r="H12" s="24" t="s">
        <v>1210</v>
      </c>
      <c r="I12" s="24" t="s">
        <v>1158</v>
      </c>
      <c r="J12" s="24" t="s">
        <v>1159</v>
      </c>
      <c r="K12" s="24" t="s">
        <v>1160</v>
      </c>
      <c r="L12" s="24" t="s">
        <v>1161</v>
      </c>
      <c r="M12" s="25" t="s">
        <v>1220</v>
      </c>
      <c r="N12" s="25" t="s">
        <v>1163</v>
      </c>
      <c r="O12" s="25" t="s">
        <v>1221</v>
      </c>
      <c r="P12" s="25" t="s">
        <v>1222</v>
      </c>
      <c r="Q12" s="25" t="s">
        <v>1223</v>
      </c>
      <c r="R12" s="25" t="s">
        <v>1224</v>
      </c>
    </row>
    <row r="13">
      <c r="A13" s="24" t="s">
        <v>469</v>
      </c>
      <c r="B13" s="24" t="s">
        <v>22</v>
      </c>
      <c r="C13" s="24">
        <v>6.0</v>
      </c>
      <c r="D13" s="24" t="s">
        <v>1219</v>
      </c>
      <c r="E13" s="24">
        <v>12.0</v>
      </c>
      <c r="F13" s="24" t="s">
        <v>1168</v>
      </c>
      <c r="G13" s="24" t="s">
        <v>1209</v>
      </c>
      <c r="H13" s="24" t="s">
        <v>1210</v>
      </c>
      <c r="I13" s="24" t="s">
        <v>1158</v>
      </c>
      <c r="J13" s="24" t="s">
        <v>1159</v>
      </c>
      <c r="K13" s="24" t="s">
        <v>1160</v>
      </c>
      <c r="L13" s="24" t="s">
        <v>1161</v>
      </c>
      <c r="M13" s="25" t="s">
        <v>1225</v>
      </c>
      <c r="N13" s="25" t="s">
        <v>1214</v>
      </c>
      <c r="O13" s="25" t="s">
        <v>1226</v>
      </c>
      <c r="P13" s="25" t="s">
        <v>1216</v>
      </c>
      <c r="Q13" s="25" t="s">
        <v>1217</v>
      </c>
      <c r="R13" s="25" t="s">
        <v>1218</v>
      </c>
    </row>
    <row r="14">
      <c r="A14" s="24" t="s">
        <v>469</v>
      </c>
      <c r="B14" s="24" t="s">
        <v>22</v>
      </c>
      <c r="C14" s="24">
        <v>7.0</v>
      </c>
      <c r="D14" s="24" t="s">
        <v>1227</v>
      </c>
      <c r="E14" s="24">
        <v>13.0</v>
      </c>
      <c r="F14" s="24" t="s">
        <v>1155</v>
      </c>
      <c r="G14" s="24" t="s">
        <v>1209</v>
      </c>
      <c r="H14" s="24" t="s">
        <v>1210</v>
      </c>
      <c r="I14" s="24" t="s">
        <v>1158</v>
      </c>
      <c r="J14" s="24" t="s">
        <v>1159</v>
      </c>
      <c r="K14" s="24" t="s">
        <v>1160</v>
      </c>
      <c r="L14" s="24" t="s">
        <v>1161</v>
      </c>
      <c r="M14" s="25" t="s">
        <v>1228</v>
      </c>
      <c r="N14" s="25" t="s">
        <v>1163</v>
      </c>
      <c r="O14" s="25" t="s">
        <v>1229</v>
      </c>
      <c r="P14" s="25" t="s">
        <v>1222</v>
      </c>
      <c r="Q14" s="25" t="s">
        <v>1223</v>
      </c>
      <c r="R14" s="25" t="s">
        <v>1224</v>
      </c>
    </row>
    <row r="15">
      <c r="A15" s="24" t="s">
        <v>469</v>
      </c>
      <c r="B15" s="24" t="s">
        <v>22</v>
      </c>
      <c r="C15" s="24">
        <v>7.0</v>
      </c>
      <c r="D15" s="24" t="s">
        <v>1227</v>
      </c>
      <c r="E15" s="24">
        <v>14.0</v>
      </c>
      <c r="F15" s="24" t="s">
        <v>1168</v>
      </c>
      <c r="G15" s="24" t="s">
        <v>1209</v>
      </c>
      <c r="H15" s="24" t="s">
        <v>1210</v>
      </c>
      <c r="I15" s="24" t="s">
        <v>1158</v>
      </c>
      <c r="J15" s="24" t="s">
        <v>1159</v>
      </c>
      <c r="K15" s="24" t="s">
        <v>1160</v>
      </c>
      <c r="L15" s="24" t="s">
        <v>1161</v>
      </c>
      <c r="M15" s="25" t="s">
        <v>1191</v>
      </c>
      <c r="N15" s="25" t="s">
        <v>1192</v>
      </c>
      <c r="O15" s="25" t="s">
        <v>1230</v>
      </c>
      <c r="P15" s="25" t="s">
        <v>1216</v>
      </c>
      <c r="Q15" s="25" t="s">
        <v>1217</v>
      </c>
      <c r="R15" s="25" t="s">
        <v>1218</v>
      </c>
    </row>
    <row r="16">
      <c r="A16" s="24" t="s">
        <v>469</v>
      </c>
      <c r="B16" s="24" t="s">
        <v>22</v>
      </c>
      <c r="C16" s="24">
        <v>8.0</v>
      </c>
      <c r="D16" s="24" t="s">
        <v>1231</v>
      </c>
      <c r="E16" s="24">
        <v>15.0</v>
      </c>
      <c r="F16" s="24" t="s">
        <v>1155</v>
      </c>
      <c r="G16" s="24" t="s">
        <v>1209</v>
      </c>
      <c r="H16" s="24" t="s">
        <v>1210</v>
      </c>
      <c r="I16" s="24" t="s">
        <v>1158</v>
      </c>
      <c r="J16" s="24" t="s">
        <v>1159</v>
      </c>
      <c r="K16" s="24" t="s">
        <v>1160</v>
      </c>
      <c r="L16" s="24" t="s">
        <v>1161</v>
      </c>
      <c r="M16" s="25" t="s">
        <v>1232</v>
      </c>
      <c r="N16" s="25" t="s">
        <v>1163</v>
      </c>
      <c r="O16" s="25" t="s">
        <v>1233</v>
      </c>
      <c r="P16" s="25" t="s">
        <v>1234</v>
      </c>
      <c r="Q16" s="25" t="s">
        <v>1235</v>
      </c>
      <c r="R16" s="25" t="s">
        <v>1236</v>
      </c>
    </row>
    <row r="17">
      <c r="A17" s="24" t="s">
        <v>469</v>
      </c>
      <c r="B17" s="24" t="s">
        <v>22</v>
      </c>
      <c r="C17" s="24">
        <v>8.0</v>
      </c>
      <c r="D17" s="24" t="s">
        <v>1231</v>
      </c>
      <c r="E17" s="24">
        <v>16.0</v>
      </c>
      <c r="F17" s="24" t="s">
        <v>1168</v>
      </c>
      <c r="G17" s="24" t="s">
        <v>1209</v>
      </c>
      <c r="H17" s="24" t="s">
        <v>1210</v>
      </c>
      <c r="I17" s="24" t="s">
        <v>1158</v>
      </c>
      <c r="J17" s="24" t="s">
        <v>1159</v>
      </c>
      <c r="K17" s="24" t="s">
        <v>1160</v>
      </c>
      <c r="L17" s="24" t="s">
        <v>1161</v>
      </c>
      <c r="M17" s="25" t="s">
        <v>1203</v>
      </c>
      <c r="N17" s="25" t="s">
        <v>1192</v>
      </c>
      <c r="O17" s="25" t="s">
        <v>1204</v>
      </c>
      <c r="P17" s="25" t="s">
        <v>1216</v>
      </c>
      <c r="Q17" s="25" t="s">
        <v>1217</v>
      </c>
      <c r="R17" s="25" t="s">
        <v>1218</v>
      </c>
    </row>
    <row r="18">
      <c r="A18" s="24" t="s">
        <v>469</v>
      </c>
      <c r="B18" s="24" t="s">
        <v>153</v>
      </c>
      <c r="C18" s="24">
        <v>1.0</v>
      </c>
      <c r="D18" s="24" t="s">
        <v>1154</v>
      </c>
      <c r="E18" s="24">
        <v>1.0</v>
      </c>
      <c r="F18" s="24" t="s">
        <v>1155</v>
      </c>
      <c r="G18" s="24" t="s">
        <v>1237</v>
      </c>
      <c r="H18" s="24" t="s">
        <v>1238</v>
      </c>
      <c r="I18" s="24" t="s">
        <v>1239</v>
      </c>
      <c r="J18" s="24" t="s">
        <v>1240</v>
      </c>
      <c r="K18" s="24" t="s">
        <v>1241</v>
      </c>
      <c r="L18" s="24" t="s">
        <v>1242</v>
      </c>
      <c r="M18" s="25" t="s">
        <v>1243</v>
      </c>
      <c r="N18" s="25" t="s">
        <v>1163</v>
      </c>
      <c r="O18" s="25" t="s">
        <v>1244</v>
      </c>
      <c r="P18" s="25" t="s">
        <v>1165</v>
      </c>
      <c r="Q18" s="25" t="s">
        <v>1166</v>
      </c>
      <c r="R18" s="25" t="s">
        <v>1167</v>
      </c>
    </row>
    <row r="19">
      <c r="A19" s="24" t="s">
        <v>469</v>
      </c>
      <c r="B19" s="24" t="s">
        <v>153</v>
      </c>
      <c r="C19" s="24">
        <v>1.0</v>
      </c>
      <c r="D19" s="24" t="s">
        <v>1154</v>
      </c>
      <c r="E19" s="24">
        <v>2.0</v>
      </c>
      <c r="F19" s="24" t="s">
        <v>1168</v>
      </c>
      <c r="G19" s="24" t="s">
        <v>1237</v>
      </c>
      <c r="H19" s="24" t="s">
        <v>1238</v>
      </c>
      <c r="I19" s="24" t="s">
        <v>1239</v>
      </c>
      <c r="J19" s="24" t="s">
        <v>1240</v>
      </c>
      <c r="K19" s="24" t="s">
        <v>1241</v>
      </c>
      <c r="L19" s="24" t="s">
        <v>1242</v>
      </c>
      <c r="M19" s="25" t="s">
        <v>1245</v>
      </c>
      <c r="N19" s="25" t="s">
        <v>1214</v>
      </c>
      <c r="O19" s="25" t="s">
        <v>1246</v>
      </c>
      <c r="P19" s="25" t="s">
        <v>1216</v>
      </c>
      <c r="Q19" s="25" t="s">
        <v>1217</v>
      </c>
      <c r="R19" s="25" t="s">
        <v>1218</v>
      </c>
    </row>
    <row r="20">
      <c r="A20" s="24" t="s">
        <v>469</v>
      </c>
      <c r="B20" s="24" t="s">
        <v>153</v>
      </c>
      <c r="C20" s="24">
        <v>2.0</v>
      </c>
      <c r="D20" s="24" t="s">
        <v>1174</v>
      </c>
      <c r="E20" s="24">
        <v>3.0</v>
      </c>
      <c r="F20" s="24" t="s">
        <v>1155</v>
      </c>
      <c r="G20" s="24" t="s">
        <v>1237</v>
      </c>
      <c r="H20" s="24" t="s">
        <v>1238</v>
      </c>
      <c r="I20" s="24" t="s">
        <v>1239</v>
      </c>
      <c r="J20" s="24" t="s">
        <v>1240</v>
      </c>
      <c r="K20" s="24" t="s">
        <v>1241</v>
      </c>
      <c r="L20" s="24" t="s">
        <v>1242</v>
      </c>
      <c r="M20" s="25" t="s">
        <v>1247</v>
      </c>
      <c r="N20" s="25" t="s">
        <v>1163</v>
      </c>
      <c r="O20" s="25" t="s">
        <v>1248</v>
      </c>
      <c r="P20" s="25" t="s">
        <v>1222</v>
      </c>
      <c r="Q20" s="25" t="s">
        <v>1223</v>
      </c>
      <c r="R20" s="25" t="s">
        <v>1224</v>
      </c>
    </row>
    <row r="21">
      <c r="A21" s="24" t="s">
        <v>469</v>
      </c>
      <c r="B21" s="24" t="s">
        <v>153</v>
      </c>
      <c r="C21" s="24">
        <v>2.0</v>
      </c>
      <c r="D21" s="24" t="s">
        <v>1174</v>
      </c>
      <c r="E21" s="24">
        <v>4.0</v>
      </c>
      <c r="F21" s="24" t="s">
        <v>1168</v>
      </c>
      <c r="G21" s="24" t="s">
        <v>1237</v>
      </c>
      <c r="H21" s="24" t="s">
        <v>1238</v>
      </c>
      <c r="I21" s="24" t="s">
        <v>1239</v>
      </c>
      <c r="J21" s="24" t="s">
        <v>1240</v>
      </c>
      <c r="K21" s="24" t="s">
        <v>1241</v>
      </c>
      <c r="L21" s="24" t="s">
        <v>1242</v>
      </c>
      <c r="M21" s="25" t="s">
        <v>1249</v>
      </c>
      <c r="N21" s="25" t="s">
        <v>1214</v>
      </c>
      <c r="O21" s="25" t="s">
        <v>1250</v>
      </c>
      <c r="P21" s="25" t="s">
        <v>1251</v>
      </c>
      <c r="Q21" s="25" t="s">
        <v>1252</v>
      </c>
      <c r="R21" s="25" t="s">
        <v>1253</v>
      </c>
    </row>
    <row r="22">
      <c r="A22" s="24" t="s">
        <v>469</v>
      </c>
      <c r="B22" s="24" t="s">
        <v>153</v>
      </c>
      <c r="C22" s="24">
        <v>3.0</v>
      </c>
      <c r="D22" s="24" t="s">
        <v>1185</v>
      </c>
      <c r="E22" s="24">
        <v>5.0</v>
      </c>
      <c r="F22" s="24" t="s">
        <v>1155</v>
      </c>
      <c r="G22" s="24" t="s">
        <v>1237</v>
      </c>
      <c r="H22" s="24" t="s">
        <v>1238</v>
      </c>
      <c r="I22" s="24" t="s">
        <v>1239</v>
      </c>
      <c r="J22" s="24" t="s">
        <v>1240</v>
      </c>
      <c r="K22" s="24" t="s">
        <v>1241</v>
      </c>
      <c r="L22" s="24" t="s">
        <v>1242</v>
      </c>
      <c r="M22" s="25" t="s">
        <v>1254</v>
      </c>
      <c r="N22" s="25" t="s">
        <v>1163</v>
      </c>
      <c r="O22" s="25" t="s">
        <v>1255</v>
      </c>
      <c r="P22" s="25" t="s">
        <v>1222</v>
      </c>
      <c r="Q22" s="25" t="s">
        <v>1223</v>
      </c>
      <c r="R22" s="25" t="s">
        <v>1224</v>
      </c>
    </row>
    <row r="23">
      <c r="A23" s="24" t="s">
        <v>469</v>
      </c>
      <c r="B23" s="24" t="s">
        <v>153</v>
      </c>
      <c r="C23" s="24">
        <v>3.0</v>
      </c>
      <c r="D23" s="24" t="s">
        <v>1185</v>
      </c>
      <c r="E23" s="24">
        <v>6.0</v>
      </c>
      <c r="F23" s="24" t="s">
        <v>1168</v>
      </c>
      <c r="G23" s="24" t="s">
        <v>1237</v>
      </c>
      <c r="H23" s="24" t="s">
        <v>1238</v>
      </c>
      <c r="I23" s="24" t="s">
        <v>1239</v>
      </c>
      <c r="J23" s="24" t="s">
        <v>1240</v>
      </c>
      <c r="K23" s="24" t="s">
        <v>1241</v>
      </c>
      <c r="L23" s="24" t="s">
        <v>1242</v>
      </c>
      <c r="M23" s="25" t="s">
        <v>1191</v>
      </c>
      <c r="N23" s="25" t="s">
        <v>1192</v>
      </c>
      <c r="O23" s="25" t="s">
        <v>1256</v>
      </c>
      <c r="P23" s="25" t="s">
        <v>1257</v>
      </c>
      <c r="Q23" s="25" t="s">
        <v>1258</v>
      </c>
      <c r="R23" s="25" t="s">
        <v>1259</v>
      </c>
    </row>
    <row r="24">
      <c r="A24" s="24" t="s">
        <v>469</v>
      </c>
      <c r="B24" s="24" t="s">
        <v>153</v>
      </c>
      <c r="C24" s="24">
        <v>4.0</v>
      </c>
      <c r="D24" s="24" t="s">
        <v>1197</v>
      </c>
      <c r="E24" s="24">
        <v>7.0</v>
      </c>
      <c r="F24" s="24" t="s">
        <v>1155</v>
      </c>
      <c r="G24" s="24" t="s">
        <v>1237</v>
      </c>
      <c r="H24" s="24" t="s">
        <v>1238</v>
      </c>
      <c r="I24" s="24" t="s">
        <v>1239</v>
      </c>
      <c r="J24" s="24" t="s">
        <v>1240</v>
      </c>
      <c r="K24" s="24" t="s">
        <v>1241</v>
      </c>
      <c r="L24" s="24" t="s">
        <v>1242</v>
      </c>
      <c r="M24" s="25" t="s">
        <v>1198</v>
      </c>
      <c r="N24" s="25" t="s">
        <v>1163</v>
      </c>
      <c r="O24" s="25" t="s">
        <v>1199</v>
      </c>
      <c r="P24" s="25" t="s">
        <v>1200</v>
      </c>
      <c r="Q24" s="25" t="s">
        <v>1201</v>
      </c>
      <c r="R24" s="25" t="s">
        <v>1202</v>
      </c>
    </row>
    <row r="25">
      <c r="A25" s="24" t="s">
        <v>469</v>
      </c>
      <c r="B25" s="24" t="s">
        <v>153</v>
      </c>
      <c r="C25" s="24">
        <v>4.0</v>
      </c>
      <c r="D25" s="24" t="s">
        <v>1197</v>
      </c>
      <c r="E25" s="24">
        <v>8.0</v>
      </c>
      <c r="F25" s="24" t="s">
        <v>1168</v>
      </c>
      <c r="G25" s="24" t="s">
        <v>1237</v>
      </c>
      <c r="H25" s="24" t="s">
        <v>1238</v>
      </c>
      <c r="I25" s="24" t="s">
        <v>1239</v>
      </c>
      <c r="J25" s="24" t="s">
        <v>1240</v>
      </c>
      <c r="K25" s="24" t="s">
        <v>1241</v>
      </c>
      <c r="L25" s="24" t="s">
        <v>1242</v>
      </c>
      <c r="M25" s="25" t="s">
        <v>1203</v>
      </c>
      <c r="N25" s="25" t="s">
        <v>1192</v>
      </c>
      <c r="O25" s="25" t="s">
        <v>1204</v>
      </c>
      <c r="P25" s="25" t="s">
        <v>1216</v>
      </c>
      <c r="Q25" s="25" t="s">
        <v>1217</v>
      </c>
      <c r="R25" s="25" t="s">
        <v>1218</v>
      </c>
    </row>
    <row r="26">
      <c r="A26" s="24" t="s">
        <v>469</v>
      </c>
      <c r="B26" s="24" t="s">
        <v>153</v>
      </c>
      <c r="C26" s="24">
        <v>5.0</v>
      </c>
      <c r="D26" s="24" t="s">
        <v>1260</v>
      </c>
      <c r="E26" s="24">
        <v>9.0</v>
      </c>
      <c r="F26" s="24" t="s">
        <v>1155</v>
      </c>
      <c r="G26" s="24" t="s">
        <v>1261</v>
      </c>
      <c r="H26" s="24" t="s">
        <v>1262</v>
      </c>
      <c r="I26" s="24" t="s">
        <v>1239</v>
      </c>
      <c r="J26" s="24" t="s">
        <v>1240</v>
      </c>
      <c r="K26" s="24" t="s">
        <v>1241</v>
      </c>
      <c r="L26" s="24" t="s">
        <v>1242</v>
      </c>
      <c r="M26" s="25" t="s">
        <v>1263</v>
      </c>
      <c r="N26" s="25" t="s">
        <v>1163</v>
      </c>
      <c r="O26" s="25" t="s">
        <v>1264</v>
      </c>
      <c r="P26" s="25" t="s">
        <v>1222</v>
      </c>
      <c r="Q26" s="25" t="s">
        <v>1223</v>
      </c>
      <c r="R26" s="25" t="s">
        <v>1224</v>
      </c>
    </row>
    <row r="27">
      <c r="A27" s="24" t="s">
        <v>469</v>
      </c>
      <c r="B27" s="24" t="s">
        <v>153</v>
      </c>
      <c r="C27" s="24">
        <v>5.0</v>
      </c>
      <c r="D27" s="24" t="s">
        <v>1260</v>
      </c>
      <c r="E27" s="24">
        <v>10.0</v>
      </c>
      <c r="F27" s="24" t="s">
        <v>1168</v>
      </c>
      <c r="G27" s="24" t="s">
        <v>1261</v>
      </c>
      <c r="H27" s="24" t="s">
        <v>1262</v>
      </c>
      <c r="I27" s="24" t="s">
        <v>1239</v>
      </c>
      <c r="J27" s="24" t="s">
        <v>1240</v>
      </c>
      <c r="K27" s="24" t="s">
        <v>1241</v>
      </c>
      <c r="L27" s="24" t="s">
        <v>1242</v>
      </c>
      <c r="M27" s="25" t="s">
        <v>1265</v>
      </c>
      <c r="N27" s="25" t="s">
        <v>1214</v>
      </c>
      <c r="O27" s="25" t="s">
        <v>1266</v>
      </c>
      <c r="P27" s="25" t="s">
        <v>1216</v>
      </c>
      <c r="Q27" s="25" t="s">
        <v>1217</v>
      </c>
      <c r="R27" s="25" t="s">
        <v>1218</v>
      </c>
    </row>
    <row r="28">
      <c r="A28" s="24" t="s">
        <v>469</v>
      </c>
      <c r="B28" s="24" t="s">
        <v>153</v>
      </c>
      <c r="C28" s="24">
        <v>6.0</v>
      </c>
      <c r="D28" s="24" t="s">
        <v>1219</v>
      </c>
      <c r="E28" s="24">
        <v>11.0</v>
      </c>
      <c r="F28" s="24" t="s">
        <v>1155</v>
      </c>
      <c r="G28" s="24" t="s">
        <v>1261</v>
      </c>
      <c r="H28" s="24" t="s">
        <v>1262</v>
      </c>
      <c r="I28" s="24" t="s">
        <v>1239</v>
      </c>
      <c r="J28" s="24" t="s">
        <v>1240</v>
      </c>
      <c r="K28" s="24" t="s">
        <v>1241</v>
      </c>
      <c r="L28" s="24" t="s">
        <v>1242</v>
      </c>
      <c r="M28" s="25" t="s">
        <v>1220</v>
      </c>
      <c r="N28" s="25" t="s">
        <v>1163</v>
      </c>
      <c r="O28" s="25" t="s">
        <v>1221</v>
      </c>
      <c r="P28" s="25" t="s">
        <v>1222</v>
      </c>
      <c r="Q28" s="25" t="s">
        <v>1223</v>
      </c>
      <c r="R28" s="25" t="s">
        <v>1224</v>
      </c>
    </row>
    <row r="29">
      <c r="A29" s="24" t="s">
        <v>469</v>
      </c>
      <c r="B29" s="24" t="s">
        <v>153</v>
      </c>
      <c r="C29" s="24">
        <v>6.0</v>
      </c>
      <c r="D29" s="24" t="s">
        <v>1219</v>
      </c>
      <c r="E29" s="24">
        <v>12.0</v>
      </c>
      <c r="F29" s="24" t="s">
        <v>1168</v>
      </c>
      <c r="G29" s="24" t="s">
        <v>1261</v>
      </c>
      <c r="H29" s="24" t="s">
        <v>1262</v>
      </c>
      <c r="I29" s="24" t="s">
        <v>1239</v>
      </c>
      <c r="J29" s="24" t="s">
        <v>1240</v>
      </c>
      <c r="K29" s="24" t="s">
        <v>1241</v>
      </c>
      <c r="L29" s="24" t="s">
        <v>1242</v>
      </c>
      <c r="M29" s="25" t="s">
        <v>1267</v>
      </c>
      <c r="N29" s="25" t="s">
        <v>1214</v>
      </c>
      <c r="O29" s="25" t="s">
        <v>1268</v>
      </c>
      <c r="P29" s="25" t="s">
        <v>1216</v>
      </c>
      <c r="Q29" s="25" t="s">
        <v>1217</v>
      </c>
      <c r="R29" s="25" t="s">
        <v>1218</v>
      </c>
    </row>
    <row r="30">
      <c r="A30" s="24" t="s">
        <v>469</v>
      </c>
      <c r="B30" s="24" t="s">
        <v>153</v>
      </c>
      <c r="C30" s="24">
        <v>7.0</v>
      </c>
      <c r="D30" s="24" t="s">
        <v>1227</v>
      </c>
      <c r="E30" s="24">
        <v>13.0</v>
      </c>
      <c r="F30" s="24" t="s">
        <v>1155</v>
      </c>
      <c r="G30" s="24" t="s">
        <v>1261</v>
      </c>
      <c r="H30" s="24" t="s">
        <v>1262</v>
      </c>
      <c r="I30" s="24" t="s">
        <v>1239</v>
      </c>
      <c r="J30" s="24" t="s">
        <v>1240</v>
      </c>
      <c r="K30" s="24" t="s">
        <v>1241</v>
      </c>
      <c r="L30" s="24" t="s">
        <v>1242</v>
      </c>
      <c r="M30" s="25" t="s">
        <v>1269</v>
      </c>
      <c r="N30" s="25" t="s">
        <v>1163</v>
      </c>
      <c r="O30" s="25" t="s">
        <v>1270</v>
      </c>
      <c r="P30" s="25" t="s">
        <v>1222</v>
      </c>
      <c r="Q30" s="25" t="s">
        <v>1223</v>
      </c>
      <c r="R30" s="25" t="s">
        <v>1224</v>
      </c>
    </row>
    <row r="31">
      <c r="A31" s="24" t="s">
        <v>469</v>
      </c>
      <c r="B31" s="24" t="s">
        <v>153</v>
      </c>
      <c r="C31" s="24">
        <v>7.0</v>
      </c>
      <c r="D31" s="24" t="s">
        <v>1227</v>
      </c>
      <c r="E31" s="24">
        <v>14.0</v>
      </c>
      <c r="F31" s="24" t="s">
        <v>1168</v>
      </c>
      <c r="G31" s="24" t="s">
        <v>1261</v>
      </c>
      <c r="H31" s="24" t="s">
        <v>1262</v>
      </c>
      <c r="I31" s="24" t="s">
        <v>1239</v>
      </c>
      <c r="J31" s="24" t="s">
        <v>1240</v>
      </c>
      <c r="K31" s="24" t="s">
        <v>1241</v>
      </c>
      <c r="L31" s="24" t="s">
        <v>1242</v>
      </c>
      <c r="M31" s="25" t="s">
        <v>1191</v>
      </c>
      <c r="N31" s="25" t="s">
        <v>1192</v>
      </c>
      <c r="O31" s="25" t="s">
        <v>1271</v>
      </c>
      <c r="P31" s="25" t="s">
        <v>1216</v>
      </c>
      <c r="Q31" s="25" t="s">
        <v>1217</v>
      </c>
      <c r="R31" s="25" t="s">
        <v>1218</v>
      </c>
    </row>
    <row r="32">
      <c r="A32" s="24" t="s">
        <v>469</v>
      </c>
      <c r="B32" s="24" t="s">
        <v>153</v>
      </c>
      <c r="C32" s="24">
        <v>8.0</v>
      </c>
      <c r="D32" s="24" t="s">
        <v>1231</v>
      </c>
      <c r="E32" s="24">
        <v>15.0</v>
      </c>
      <c r="F32" s="24" t="s">
        <v>1155</v>
      </c>
      <c r="G32" s="24" t="s">
        <v>1261</v>
      </c>
      <c r="H32" s="24" t="s">
        <v>1262</v>
      </c>
      <c r="I32" s="24" t="s">
        <v>1239</v>
      </c>
      <c r="J32" s="24" t="s">
        <v>1240</v>
      </c>
      <c r="K32" s="24" t="s">
        <v>1241</v>
      </c>
      <c r="L32" s="24" t="s">
        <v>1242</v>
      </c>
      <c r="M32" s="25" t="s">
        <v>1232</v>
      </c>
      <c r="N32" s="25" t="s">
        <v>1163</v>
      </c>
      <c r="O32" s="25" t="s">
        <v>1233</v>
      </c>
      <c r="P32" s="25" t="s">
        <v>1272</v>
      </c>
      <c r="Q32" s="25" t="s">
        <v>1235</v>
      </c>
      <c r="R32" s="25" t="s">
        <v>1236</v>
      </c>
    </row>
    <row r="33">
      <c r="A33" s="24" t="s">
        <v>469</v>
      </c>
      <c r="B33" s="24" t="s">
        <v>153</v>
      </c>
      <c r="C33" s="24">
        <v>8.0</v>
      </c>
      <c r="D33" s="24" t="s">
        <v>1231</v>
      </c>
      <c r="E33" s="24">
        <v>16.0</v>
      </c>
      <c r="F33" s="24" t="s">
        <v>1168</v>
      </c>
      <c r="G33" s="24" t="s">
        <v>1261</v>
      </c>
      <c r="H33" s="24" t="s">
        <v>1262</v>
      </c>
      <c r="I33" s="24" t="s">
        <v>1239</v>
      </c>
      <c r="J33" s="24" t="s">
        <v>1240</v>
      </c>
      <c r="K33" s="24" t="s">
        <v>1241</v>
      </c>
      <c r="L33" s="24" t="s">
        <v>1242</v>
      </c>
      <c r="M33" s="25" t="s">
        <v>1203</v>
      </c>
      <c r="N33" s="25" t="s">
        <v>1192</v>
      </c>
      <c r="O33" s="25" t="s">
        <v>1204</v>
      </c>
      <c r="P33" s="25" t="s">
        <v>1216</v>
      </c>
      <c r="Q33" s="25" t="s">
        <v>1217</v>
      </c>
      <c r="R33" s="25" t="s">
        <v>1218</v>
      </c>
    </row>
    <row r="34">
      <c r="A34" s="24" t="s">
        <v>469</v>
      </c>
      <c r="B34" s="24" t="s">
        <v>264</v>
      </c>
      <c r="C34" s="24">
        <v>1.0</v>
      </c>
      <c r="D34" s="24" t="s">
        <v>1154</v>
      </c>
      <c r="E34" s="24">
        <v>1.0</v>
      </c>
      <c r="F34" s="24" t="s">
        <v>1155</v>
      </c>
      <c r="G34" s="24" t="s">
        <v>1273</v>
      </c>
      <c r="H34" s="24" t="s">
        <v>1274</v>
      </c>
      <c r="I34" s="24" t="s">
        <v>1275</v>
      </c>
      <c r="J34" s="24" t="s">
        <v>1276</v>
      </c>
      <c r="K34" s="24" t="s">
        <v>1277</v>
      </c>
      <c r="L34" s="24" t="s">
        <v>1278</v>
      </c>
      <c r="M34" s="25" t="s">
        <v>1243</v>
      </c>
      <c r="N34" s="25" t="s">
        <v>1163</v>
      </c>
      <c r="O34" s="25" t="s">
        <v>1279</v>
      </c>
      <c r="P34" s="25" t="s">
        <v>1280</v>
      </c>
      <c r="Q34" s="25" t="s">
        <v>1281</v>
      </c>
      <c r="R34" s="25" t="s">
        <v>1282</v>
      </c>
    </row>
    <row r="35">
      <c r="A35" s="24" t="s">
        <v>469</v>
      </c>
      <c r="B35" s="24" t="s">
        <v>264</v>
      </c>
      <c r="C35" s="24">
        <v>1.0</v>
      </c>
      <c r="D35" s="24" t="s">
        <v>1154</v>
      </c>
      <c r="E35" s="24">
        <v>2.0</v>
      </c>
      <c r="F35" s="24" t="s">
        <v>1168</v>
      </c>
      <c r="G35" s="24" t="s">
        <v>1273</v>
      </c>
      <c r="H35" s="24" t="s">
        <v>1274</v>
      </c>
      <c r="I35" s="24" t="s">
        <v>1275</v>
      </c>
      <c r="J35" s="24" t="s">
        <v>1276</v>
      </c>
      <c r="K35" s="24" t="s">
        <v>1277</v>
      </c>
      <c r="L35" s="24" t="s">
        <v>1278</v>
      </c>
      <c r="M35" s="25" t="s">
        <v>1283</v>
      </c>
      <c r="N35" s="25" t="s">
        <v>1214</v>
      </c>
      <c r="O35" s="25" t="s">
        <v>1284</v>
      </c>
      <c r="P35" s="25" t="s">
        <v>1216</v>
      </c>
      <c r="Q35" s="25" t="s">
        <v>1217</v>
      </c>
      <c r="R35" s="25" t="s">
        <v>1218</v>
      </c>
    </row>
    <row r="36">
      <c r="A36" s="24" t="s">
        <v>469</v>
      </c>
      <c r="B36" s="24" t="s">
        <v>264</v>
      </c>
      <c r="C36" s="24">
        <v>2.0</v>
      </c>
      <c r="D36" s="24" t="s">
        <v>1174</v>
      </c>
      <c r="E36" s="24">
        <v>3.0</v>
      </c>
      <c r="F36" s="24" t="s">
        <v>1155</v>
      </c>
      <c r="G36" s="24" t="s">
        <v>1273</v>
      </c>
      <c r="H36" s="24" t="s">
        <v>1274</v>
      </c>
      <c r="I36" s="24" t="s">
        <v>1275</v>
      </c>
      <c r="J36" s="24" t="s">
        <v>1276</v>
      </c>
      <c r="K36" s="24" t="s">
        <v>1277</v>
      </c>
      <c r="L36" s="24" t="s">
        <v>1278</v>
      </c>
      <c r="M36" s="25" t="s">
        <v>1285</v>
      </c>
      <c r="N36" s="25" t="s">
        <v>1163</v>
      </c>
      <c r="O36" s="25" t="s">
        <v>1286</v>
      </c>
      <c r="P36" s="25" t="s">
        <v>1287</v>
      </c>
      <c r="Q36" s="25" t="s">
        <v>1288</v>
      </c>
      <c r="R36" s="25" t="s">
        <v>1289</v>
      </c>
    </row>
    <row r="37">
      <c r="A37" s="24" t="s">
        <v>469</v>
      </c>
      <c r="B37" s="24" t="s">
        <v>264</v>
      </c>
      <c r="C37" s="24">
        <v>2.0</v>
      </c>
      <c r="D37" s="24" t="s">
        <v>1174</v>
      </c>
      <c r="E37" s="24">
        <v>4.0</v>
      </c>
      <c r="F37" s="24" t="s">
        <v>1168</v>
      </c>
      <c r="G37" s="24" t="s">
        <v>1273</v>
      </c>
      <c r="H37" s="24" t="s">
        <v>1274</v>
      </c>
      <c r="I37" s="24" t="s">
        <v>1275</v>
      </c>
      <c r="J37" s="24" t="s">
        <v>1276</v>
      </c>
      <c r="K37" s="24" t="s">
        <v>1277</v>
      </c>
      <c r="L37" s="24" t="s">
        <v>1278</v>
      </c>
      <c r="M37" s="25" t="s">
        <v>1290</v>
      </c>
      <c r="N37" s="25" t="s">
        <v>1214</v>
      </c>
      <c r="O37" s="25" t="s">
        <v>1291</v>
      </c>
      <c r="P37" s="25" t="s">
        <v>1251</v>
      </c>
      <c r="Q37" s="25" t="s">
        <v>1252</v>
      </c>
      <c r="R37" s="25" t="s">
        <v>1253</v>
      </c>
    </row>
    <row r="38">
      <c r="A38" s="24" t="s">
        <v>469</v>
      </c>
      <c r="B38" s="24" t="s">
        <v>264</v>
      </c>
      <c r="C38" s="24">
        <v>3.0</v>
      </c>
      <c r="D38" s="24" t="s">
        <v>1185</v>
      </c>
      <c r="E38" s="24">
        <v>5.0</v>
      </c>
      <c r="F38" s="24" t="s">
        <v>1155</v>
      </c>
      <c r="G38" s="24" t="s">
        <v>1273</v>
      </c>
      <c r="H38" s="24" t="s">
        <v>1274</v>
      </c>
      <c r="I38" s="24" t="s">
        <v>1275</v>
      </c>
      <c r="J38" s="24" t="s">
        <v>1276</v>
      </c>
      <c r="K38" s="24" t="s">
        <v>1277</v>
      </c>
      <c r="L38" s="24" t="s">
        <v>1278</v>
      </c>
      <c r="M38" s="25" t="s">
        <v>1292</v>
      </c>
      <c r="N38" s="25" t="s">
        <v>1163</v>
      </c>
      <c r="O38" s="25" t="s">
        <v>1293</v>
      </c>
      <c r="P38" s="25" t="s">
        <v>1287</v>
      </c>
      <c r="Q38" s="25" t="s">
        <v>1288</v>
      </c>
      <c r="R38" s="25" t="s">
        <v>1289</v>
      </c>
    </row>
    <row r="39">
      <c r="A39" s="24" t="s">
        <v>469</v>
      </c>
      <c r="B39" s="24" t="s">
        <v>264</v>
      </c>
      <c r="C39" s="24">
        <v>3.0</v>
      </c>
      <c r="D39" s="24" t="s">
        <v>1185</v>
      </c>
      <c r="E39" s="24">
        <v>6.0</v>
      </c>
      <c r="F39" s="24" t="s">
        <v>1168</v>
      </c>
      <c r="G39" s="24" t="s">
        <v>1273</v>
      </c>
      <c r="H39" s="24" t="s">
        <v>1274</v>
      </c>
      <c r="I39" s="24" t="s">
        <v>1275</v>
      </c>
      <c r="J39" s="24" t="s">
        <v>1276</v>
      </c>
      <c r="K39" s="24" t="s">
        <v>1277</v>
      </c>
      <c r="L39" s="24" t="s">
        <v>1278</v>
      </c>
      <c r="M39" s="25" t="s">
        <v>1191</v>
      </c>
      <c r="N39" s="25" t="s">
        <v>1192</v>
      </c>
      <c r="O39" s="25" t="s">
        <v>1256</v>
      </c>
      <c r="P39" s="25" t="s">
        <v>1257</v>
      </c>
      <c r="Q39" s="25" t="s">
        <v>1258</v>
      </c>
      <c r="R39" s="25" t="s">
        <v>1259</v>
      </c>
    </row>
    <row r="40">
      <c r="A40" s="24" t="s">
        <v>469</v>
      </c>
      <c r="B40" s="24" t="s">
        <v>264</v>
      </c>
      <c r="C40" s="24">
        <v>4.0</v>
      </c>
      <c r="D40" s="24" t="s">
        <v>1197</v>
      </c>
      <c r="E40" s="24">
        <v>7.0</v>
      </c>
      <c r="F40" s="24" t="s">
        <v>1155</v>
      </c>
      <c r="G40" s="24" t="s">
        <v>1273</v>
      </c>
      <c r="H40" s="24" t="s">
        <v>1274</v>
      </c>
      <c r="I40" s="24" t="s">
        <v>1275</v>
      </c>
      <c r="J40" s="24" t="s">
        <v>1276</v>
      </c>
      <c r="K40" s="24" t="s">
        <v>1277</v>
      </c>
      <c r="L40" s="24" t="s">
        <v>1278</v>
      </c>
      <c r="M40" s="25" t="s">
        <v>1198</v>
      </c>
      <c r="N40" s="25" t="s">
        <v>1163</v>
      </c>
      <c r="O40" s="25" t="s">
        <v>1294</v>
      </c>
      <c r="P40" s="25" t="s">
        <v>1200</v>
      </c>
      <c r="Q40" s="25" t="s">
        <v>1201</v>
      </c>
      <c r="R40" s="25" t="s">
        <v>1202</v>
      </c>
    </row>
    <row r="41">
      <c r="A41" s="24" t="s">
        <v>469</v>
      </c>
      <c r="B41" s="24" t="s">
        <v>264</v>
      </c>
      <c r="C41" s="24">
        <v>4.0</v>
      </c>
      <c r="D41" s="24" t="s">
        <v>1197</v>
      </c>
      <c r="E41" s="24">
        <v>8.0</v>
      </c>
      <c r="F41" s="24" t="s">
        <v>1168</v>
      </c>
      <c r="G41" s="24" t="s">
        <v>1273</v>
      </c>
      <c r="H41" s="24" t="s">
        <v>1274</v>
      </c>
      <c r="I41" s="24" t="s">
        <v>1275</v>
      </c>
      <c r="J41" s="24" t="s">
        <v>1276</v>
      </c>
      <c r="K41" s="24" t="s">
        <v>1277</v>
      </c>
      <c r="L41" s="24" t="s">
        <v>1278</v>
      </c>
      <c r="M41" s="25" t="s">
        <v>1203</v>
      </c>
      <c r="N41" s="25" t="s">
        <v>1192</v>
      </c>
      <c r="O41" s="25" t="s">
        <v>1204</v>
      </c>
      <c r="P41" s="25" t="s">
        <v>1216</v>
      </c>
      <c r="Q41" s="25" t="s">
        <v>1217</v>
      </c>
      <c r="R41" s="25" t="s">
        <v>1218</v>
      </c>
    </row>
    <row r="42">
      <c r="A42" s="24" t="s">
        <v>469</v>
      </c>
      <c r="B42" s="24" t="s">
        <v>264</v>
      </c>
      <c r="C42" s="24">
        <v>5.0</v>
      </c>
      <c r="D42" s="24" t="s">
        <v>1260</v>
      </c>
      <c r="E42" s="24">
        <v>9.0</v>
      </c>
      <c r="F42" s="24" t="s">
        <v>1155</v>
      </c>
      <c r="G42" s="24" t="s">
        <v>1295</v>
      </c>
      <c r="H42" s="24" t="s">
        <v>1210</v>
      </c>
      <c r="I42" s="24" t="s">
        <v>1275</v>
      </c>
      <c r="J42" s="24" t="s">
        <v>1276</v>
      </c>
      <c r="K42" s="24" t="s">
        <v>1277</v>
      </c>
      <c r="L42" s="24" t="s">
        <v>1278</v>
      </c>
      <c r="M42" s="25" t="s">
        <v>1296</v>
      </c>
      <c r="N42" s="25" t="s">
        <v>1163</v>
      </c>
      <c r="O42" s="25" t="s">
        <v>1297</v>
      </c>
      <c r="P42" s="25" t="s">
        <v>1298</v>
      </c>
      <c r="Q42" s="25" t="s">
        <v>1223</v>
      </c>
      <c r="R42" s="25" t="s">
        <v>1224</v>
      </c>
    </row>
    <row r="43">
      <c r="A43" s="24" t="s">
        <v>469</v>
      </c>
      <c r="B43" s="24" t="s">
        <v>264</v>
      </c>
      <c r="C43" s="24">
        <v>5.0</v>
      </c>
      <c r="D43" s="24" t="s">
        <v>1260</v>
      </c>
      <c r="E43" s="24">
        <v>10.0</v>
      </c>
      <c r="F43" s="24" t="s">
        <v>1168</v>
      </c>
      <c r="G43" s="24" t="s">
        <v>1295</v>
      </c>
      <c r="H43" s="24" t="s">
        <v>1210</v>
      </c>
      <c r="I43" s="24" t="s">
        <v>1275</v>
      </c>
      <c r="J43" s="24" t="s">
        <v>1276</v>
      </c>
      <c r="K43" s="24" t="s">
        <v>1277</v>
      </c>
      <c r="L43" s="24" t="s">
        <v>1278</v>
      </c>
      <c r="M43" s="25" t="s">
        <v>1299</v>
      </c>
      <c r="N43" s="25" t="s">
        <v>1214</v>
      </c>
      <c r="O43" s="25" t="s">
        <v>1300</v>
      </c>
      <c r="P43" s="25" t="s">
        <v>1216</v>
      </c>
      <c r="Q43" s="25" t="s">
        <v>1217</v>
      </c>
      <c r="R43" s="25" t="s">
        <v>1218</v>
      </c>
    </row>
    <row r="44">
      <c r="A44" s="24" t="s">
        <v>469</v>
      </c>
      <c r="B44" s="24" t="s">
        <v>264</v>
      </c>
      <c r="C44" s="24">
        <v>6.0</v>
      </c>
      <c r="D44" s="24" t="s">
        <v>1219</v>
      </c>
      <c r="E44" s="24">
        <v>11.0</v>
      </c>
      <c r="F44" s="24" t="s">
        <v>1155</v>
      </c>
      <c r="G44" s="24" t="s">
        <v>1295</v>
      </c>
      <c r="H44" s="24" t="s">
        <v>1210</v>
      </c>
      <c r="I44" s="24" t="s">
        <v>1275</v>
      </c>
      <c r="J44" s="24" t="s">
        <v>1276</v>
      </c>
      <c r="K44" s="24" t="s">
        <v>1277</v>
      </c>
      <c r="L44" s="24" t="s">
        <v>1278</v>
      </c>
      <c r="M44" s="25" t="s">
        <v>1220</v>
      </c>
      <c r="N44" s="25" t="s">
        <v>1163</v>
      </c>
      <c r="O44" s="25" t="s">
        <v>1221</v>
      </c>
      <c r="P44" s="25" t="s">
        <v>1222</v>
      </c>
      <c r="Q44" s="25" t="s">
        <v>1223</v>
      </c>
      <c r="R44" s="25" t="s">
        <v>1224</v>
      </c>
    </row>
    <row r="45">
      <c r="A45" s="24" t="s">
        <v>469</v>
      </c>
      <c r="B45" s="24" t="s">
        <v>264</v>
      </c>
      <c r="C45" s="24">
        <v>6.0</v>
      </c>
      <c r="D45" s="24" t="s">
        <v>1219</v>
      </c>
      <c r="E45" s="24">
        <v>12.0</v>
      </c>
      <c r="F45" s="24" t="s">
        <v>1168</v>
      </c>
      <c r="G45" s="24" t="s">
        <v>1295</v>
      </c>
      <c r="H45" s="24" t="s">
        <v>1210</v>
      </c>
      <c r="I45" s="24" t="s">
        <v>1275</v>
      </c>
      <c r="J45" s="24" t="s">
        <v>1276</v>
      </c>
      <c r="K45" s="24" t="s">
        <v>1277</v>
      </c>
      <c r="L45" s="24" t="s">
        <v>1278</v>
      </c>
      <c r="M45" s="25" t="s">
        <v>1301</v>
      </c>
      <c r="N45" s="25" t="s">
        <v>1214</v>
      </c>
      <c r="O45" s="25" t="s">
        <v>1302</v>
      </c>
      <c r="P45" s="25" t="s">
        <v>1216</v>
      </c>
      <c r="Q45" s="25" t="s">
        <v>1217</v>
      </c>
      <c r="R45" s="25" t="s">
        <v>1218</v>
      </c>
    </row>
    <row r="46">
      <c r="A46" s="24" t="s">
        <v>469</v>
      </c>
      <c r="B46" s="24" t="s">
        <v>264</v>
      </c>
      <c r="C46" s="24">
        <v>7.0</v>
      </c>
      <c r="D46" s="24" t="s">
        <v>1227</v>
      </c>
      <c r="E46" s="24">
        <v>13.0</v>
      </c>
      <c r="F46" s="24" t="s">
        <v>1155</v>
      </c>
      <c r="G46" s="24" t="s">
        <v>1295</v>
      </c>
      <c r="H46" s="24" t="s">
        <v>1210</v>
      </c>
      <c r="I46" s="24" t="s">
        <v>1275</v>
      </c>
      <c r="J46" s="24" t="s">
        <v>1276</v>
      </c>
      <c r="K46" s="24" t="s">
        <v>1277</v>
      </c>
      <c r="L46" s="24" t="s">
        <v>1278</v>
      </c>
      <c r="M46" s="25" t="s">
        <v>1303</v>
      </c>
      <c r="N46" s="25" t="s">
        <v>1163</v>
      </c>
      <c r="O46" s="25" t="s">
        <v>1270</v>
      </c>
      <c r="P46" s="25" t="s">
        <v>1222</v>
      </c>
      <c r="Q46" s="25" t="s">
        <v>1223</v>
      </c>
      <c r="R46" s="25" t="s">
        <v>1224</v>
      </c>
    </row>
    <row r="47">
      <c r="A47" s="24" t="s">
        <v>469</v>
      </c>
      <c r="B47" s="24" t="s">
        <v>264</v>
      </c>
      <c r="C47" s="24">
        <v>7.0</v>
      </c>
      <c r="D47" s="24" t="s">
        <v>1227</v>
      </c>
      <c r="E47" s="24">
        <v>14.0</v>
      </c>
      <c r="F47" s="24" t="s">
        <v>1168</v>
      </c>
      <c r="G47" s="24" t="s">
        <v>1295</v>
      </c>
      <c r="H47" s="24" t="s">
        <v>1210</v>
      </c>
      <c r="I47" s="24" t="s">
        <v>1275</v>
      </c>
      <c r="J47" s="24" t="s">
        <v>1276</v>
      </c>
      <c r="K47" s="24" t="s">
        <v>1277</v>
      </c>
      <c r="L47" s="24" t="s">
        <v>1278</v>
      </c>
      <c r="M47" s="25" t="s">
        <v>1191</v>
      </c>
      <c r="N47" s="25" t="s">
        <v>1192</v>
      </c>
      <c r="O47" s="25" t="s">
        <v>1304</v>
      </c>
      <c r="P47" s="25" t="s">
        <v>1216</v>
      </c>
      <c r="Q47" s="25" t="s">
        <v>1217</v>
      </c>
      <c r="R47" s="25" t="s">
        <v>1218</v>
      </c>
    </row>
    <row r="48">
      <c r="A48" s="24" t="s">
        <v>469</v>
      </c>
      <c r="B48" s="24" t="s">
        <v>264</v>
      </c>
      <c r="C48" s="24">
        <v>8.0</v>
      </c>
      <c r="D48" s="24" t="s">
        <v>1231</v>
      </c>
      <c r="E48" s="24">
        <v>15.0</v>
      </c>
      <c r="F48" s="24" t="s">
        <v>1155</v>
      </c>
      <c r="G48" s="24" t="s">
        <v>1295</v>
      </c>
      <c r="H48" s="24" t="s">
        <v>1210</v>
      </c>
      <c r="I48" s="24" t="s">
        <v>1275</v>
      </c>
      <c r="J48" s="24" t="s">
        <v>1276</v>
      </c>
      <c r="K48" s="24" t="s">
        <v>1277</v>
      </c>
      <c r="L48" s="24" t="s">
        <v>1278</v>
      </c>
      <c r="M48" s="25" t="s">
        <v>1232</v>
      </c>
      <c r="N48" s="25" t="s">
        <v>1163</v>
      </c>
      <c r="O48" s="25" t="s">
        <v>1233</v>
      </c>
      <c r="P48" s="25" t="s">
        <v>1272</v>
      </c>
      <c r="Q48" s="25" t="s">
        <v>1235</v>
      </c>
      <c r="R48" s="25" t="s">
        <v>1236</v>
      </c>
    </row>
    <row r="49">
      <c r="A49" s="24" t="s">
        <v>469</v>
      </c>
      <c r="B49" s="24" t="s">
        <v>264</v>
      </c>
      <c r="C49" s="24">
        <v>8.0</v>
      </c>
      <c r="D49" s="24" t="s">
        <v>1231</v>
      </c>
      <c r="E49" s="24">
        <v>16.0</v>
      </c>
      <c r="F49" s="24" t="s">
        <v>1168</v>
      </c>
      <c r="G49" s="24" t="s">
        <v>1295</v>
      </c>
      <c r="H49" s="24" t="s">
        <v>1210</v>
      </c>
      <c r="I49" s="24" t="s">
        <v>1275</v>
      </c>
      <c r="J49" s="24" t="s">
        <v>1276</v>
      </c>
      <c r="K49" s="24" t="s">
        <v>1277</v>
      </c>
      <c r="L49" s="24" t="s">
        <v>1278</v>
      </c>
      <c r="M49" s="25" t="s">
        <v>1203</v>
      </c>
      <c r="N49" s="25" t="s">
        <v>1192</v>
      </c>
      <c r="O49" s="25" t="s">
        <v>1204</v>
      </c>
      <c r="P49" s="25" t="s">
        <v>1216</v>
      </c>
      <c r="Q49" s="25" t="s">
        <v>1217</v>
      </c>
      <c r="R49" s="25" t="s">
        <v>1218</v>
      </c>
    </row>
    <row r="50">
      <c r="A50" s="24" t="s">
        <v>469</v>
      </c>
      <c r="B50" s="24" t="s">
        <v>313</v>
      </c>
      <c r="C50" s="24">
        <v>1.0</v>
      </c>
      <c r="D50" s="24" t="s">
        <v>1154</v>
      </c>
      <c r="E50" s="24">
        <v>1.0</v>
      </c>
      <c r="F50" s="24" t="s">
        <v>1155</v>
      </c>
      <c r="G50" s="24" t="s">
        <v>1305</v>
      </c>
      <c r="H50" s="24" t="s">
        <v>1306</v>
      </c>
      <c r="I50" s="24" t="s">
        <v>1307</v>
      </c>
      <c r="J50" s="24" t="s">
        <v>1308</v>
      </c>
      <c r="K50" s="24" t="s">
        <v>1309</v>
      </c>
      <c r="L50" s="24" t="s">
        <v>1310</v>
      </c>
      <c r="M50" s="25" t="s">
        <v>1311</v>
      </c>
      <c r="N50" s="25" t="s">
        <v>1163</v>
      </c>
      <c r="O50" s="25" t="s">
        <v>1244</v>
      </c>
      <c r="P50" s="25" t="s">
        <v>1287</v>
      </c>
      <c r="Q50" s="25" t="s">
        <v>1288</v>
      </c>
      <c r="R50" s="25" t="s">
        <v>1289</v>
      </c>
    </row>
    <row r="51">
      <c r="A51" s="24" t="s">
        <v>469</v>
      </c>
      <c r="B51" s="24" t="s">
        <v>313</v>
      </c>
      <c r="C51" s="24">
        <v>1.0</v>
      </c>
      <c r="D51" s="24" t="s">
        <v>1154</v>
      </c>
      <c r="E51" s="24">
        <v>2.0</v>
      </c>
      <c r="F51" s="24" t="s">
        <v>1168</v>
      </c>
      <c r="G51" s="24" t="s">
        <v>1305</v>
      </c>
      <c r="H51" s="24" t="s">
        <v>1306</v>
      </c>
      <c r="I51" s="24" t="s">
        <v>1307</v>
      </c>
      <c r="J51" s="24" t="s">
        <v>1308</v>
      </c>
      <c r="K51" s="24" t="s">
        <v>1309</v>
      </c>
      <c r="L51" s="24" t="s">
        <v>1310</v>
      </c>
      <c r="M51" s="25" t="s">
        <v>1312</v>
      </c>
      <c r="N51" s="25" t="s">
        <v>1214</v>
      </c>
      <c r="O51" s="25" t="s">
        <v>1246</v>
      </c>
      <c r="P51" s="25" t="s">
        <v>1216</v>
      </c>
      <c r="Q51" s="25" t="s">
        <v>1217</v>
      </c>
      <c r="R51" s="25" t="s">
        <v>1218</v>
      </c>
    </row>
    <row r="52">
      <c r="A52" s="24" t="s">
        <v>469</v>
      </c>
      <c r="B52" s="24" t="s">
        <v>313</v>
      </c>
      <c r="C52" s="24">
        <v>2.0</v>
      </c>
      <c r="D52" s="24" t="s">
        <v>1174</v>
      </c>
      <c r="E52" s="24">
        <v>3.0</v>
      </c>
      <c r="F52" s="24" t="s">
        <v>1155</v>
      </c>
      <c r="G52" s="24" t="s">
        <v>1305</v>
      </c>
      <c r="H52" s="24" t="s">
        <v>1306</v>
      </c>
      <c r="I52" s="24" t="s">
        <v>1307</v>
      </c>
      <c r="J52" s="24" t="s">
        <v>1308</v>
      </c>
      <c r="K52" s="24" t="s">
        <v>1309</v>
      </c>
      <c r="L52" s="24" t="s">
        <v>1310</v>
      </c>
      <c r="M52" s="25" t="s">
        <v>1313</v>
      </c>
      <c r="N52" s="25" t="s">
        <v>1163</v>
      </c>
      <c r="O52" s="25" t="s">
        <v>1314</v>
      </c>
      <c r="P52" s="25" t="s">
        <v>1287</v>
      </c>
      <c r="Q52" s="25" t="s">
        <v>1288</v>
      </c>
      <c r="R52" s="25" t="s">
        <v>1289</v>
      </c>
    </row>
    <row r="53">
      <c r="A53" s="24" t="s">
        <v>469</v>
      </c>
      <c r="B53" s="24" t="s">
        <v>313</v>
      </c>
      <c r="C53" s="24">
        <v>2.0</v>
      </c>
      <c r="D53" s="24" t="s">
        <v>1174</v>
      </c>
      <c r="E53" s="24">
        <v>4.0</v>
      </c>
      <c r="F53" s="24" t="s">
        <v>1168</v>
      </c>
      <c r="G53" s="24" t="s">
        <v>1305</v>
      </c>
      <c r="H53" s="24" t="s">
        <v>1306</v>
      </c>
      <c r="I53" s="24" t="s">
        <v>1307</v>
      </c>
      <c r="J53" s="24" t="s">
        <v>1308</v>
      </c>
      <c r="K53" s="24" t="s">
        <v>1309</v>
      </c>
      <c r="L53" s="24" t="s">
        <v>1310</v>
      </c>
      <c r="M53" s="25" t="s">
        <v>1315</v>
      </c>
      <c r="N53" s="25" t="s">
        <v>1214</v>
      </c>
      <c r="O53" s="25" t="s">
        <v>1316</v>
      </c>
      <c r="P53" s="25" t="s">
        <v>1251</v>
      </c>
      <c r="Q53" s="25" t="s">
        <v>1252</v>
      </c>
      <c r="R53" s="25" t="s">
        <v>1253</v>
      </c>
    </row>
    <row r="54">
      <c r="A54" s="24" t="s">
        <v>469</v>
      </c>
      <c r="B54" s="24" t="s">
        <v>313</v>
      </c>
      <c r="C54" s="24">
        <v>3.0</v>
      </c>
      <c r="D54" s="24" t="s">
        <v>1185</v>
      </c>
      <c r="E54" s="24">
        <v>5.0</v>
      </c>
      <c r="F54" s="24" t="s">
        <v>1155</v>
      </c>
      <c r="G54" s="24" t="s">
        <v>1305</v>
      </c>
      <c r="H54" s="24" t="s">
        <v>1306</v>
      </c>
      <c r="I54" s="24" t="s">
        <v>1307</v>
      </c>
      <c r="J54" s="24" t="s">
        <v>1308</v>
      </c>
      <c r="K54" s="24" t="s">
        <v>1309</v>
      </c>
      <c r="L54" s="24" t="s">
        <v>1310</v>
      </c>
      <c r="M54" s="25" t="s">
        <v>1317</v>
      </c>
      <c r="N54" s="25" t="s">
        <v>1163</v>
      </c>
      <c r="O54" s="25" t="s">
        <v>1318</v>
      </c>
      <c r="P54" s="25" t="s">
        <v>1319</v>
      </c>
      <c r="Q54" s="25" t="s">
        <v>1320</v>
      </c>
      <c r="R54" s="25" t="s">
        <v>1321</v>
      </c>
    </row>
    <row r="55">
      <c r="A55" s="24" t="s">
        <v>469</v>
      </c>
      <c r="B55" s="24" t="s">
        <v>313</v>
      </c>
      <c r="C55" s="24">
        <v>3.0</v>
      </c>
      <c r="D55" s="24" t="s">
        <v>1185</v>
      </c>
      <c r="E55" s="24">
        <v>6.0</v>
      </c>
      <c r="F55" s="24" t="s">
        <v>1168</v>
      </c>
      <c r="G55" s="24" t="s">
        <v>1305</v>
      </c>
      <c r="H55" s="24" t="s">
        <v>1306</v>
      </c>
      <c r="I55" s="24" t="s">
        <v>1307</v>
      </c>
      <c r="J55" s="24" t="s">
        <v>1308</v>
      </c>
      <c r="K55" s="24" t="s">
        <v>1309</v>
      </c>
      <c r="L55" s="24" t="s">
        <v>1310</v>
      </c>
      <c r="M55" s="25" t="s">
        <v>1191</v>
      </c>
      <c r="N55" s="25" t="s">
        <v>1192</v>
      </c>
      <c r="O55" s="25" t="s">
        <v>1256</v>
      </c>
      <c r="P55" s="25" t="s">
        <v>1257</v>
      </c>
      <c r="Q55" s="25" t="s">
        <v>1258</v>
      </c>
      <c r="R55" s="25" t="s">
        <v>1259</v>
      </c>
    </row>
    <row r="56">
      <c r="A56" s="24" t="s">
        <v>469</v>
      </c>
      <c r="B56" s="24" t="s">
        <v>313</v>
      </c>
      <c r="C56" s="24">
        <v>4.0</v>
      </c>
      <c r="D56" s="24" t="s">
        <v>1197</v>
      </c>
      <c r="E56" s="24">
        <v>7.0</v>
      </c>
      <c r="F56" s="24" t="s">
        <v>1155</v>
      </c>
      <c r="G56" s="24" t="s">
        <v>1305</v>
      </c>
      <c r="H56" s="24" t="s">
        <v>1306</v>
      </c>
      <c r="I56" s="24" t="s">
        <v>1307</v>
      </c>
      <c r="J56" s="24" t="s">
        <v>1308</v>
      </c>
      <c r="K56" s="24" t="s">
        <v>1309</v>
      </c>
      <c r="L56" s="24" t="s">
        <v>1310</v>
      </c>
      <c r="M56" s="25" t="s">
        <v>1198</v>
      </c>
      <c r="N56" s="25" t="s">
        <v>1163</v>
      </c>
      <c r="O56" s="25" t="s">
        <v>1199</v>
      </c>
      <c r="P56" s="25" t="s">
        <v>1200</v>
      </c>
      <c r="Q56" s="25" t="s">
        <v>1201</v>
      </c>
      <c r="R56" s="25" t="s">
        <v>1202</v>
      </c>
    </row>
    <row r="57">
      <c r="A57" s="24" t="s">
        <v>469</v>
      </c>
      <c r="B57" s="24" t="s">
        <v>313</v>
      </c>
      <c r="C57" s="24">
        <v>4.0</v>
      </c>
      <c r="D57" s="24" t="s">
        <v>1197</v>
      </c>
      <c r="E57" s="24">
        <v>8.0</v>
      </c>
      <c r="F57" s="24" t="s">
        <v>1168</v>
      </c>
      <c r="G57" s="24" t="s">
        <v>1305</v>
      </c>
      <c r="H57" s="24" t="s">
        <v>1306</v>
      </c>
      <c r="I57" s="24" t="s">
        <v>1307</v>
      </c>
      <c r="J57" s="24" t="s">
        <v>1308</v>
      </c>
      <c r="K57" s="24" t="s">
        <v>1309</v>
      </c>
      <c r="L57" s="24" t="s">
        <v>1310</v>
      </c>
      <c r="M57" s="25" t="s">
        <v>1203</v>
      </c>
      <c r="N57" s="25" t="s">
        <v>1192</v>
      </c>
      <c r="O57" s="25" t="s">
        <v>1204</v>
      </c>
      <c r="P57" s="25" t="s">
        <v>1216</v>
      </c>
      <c r="Q57" s="25" t="s">
        <v>1217</v>
      </c>
      <c r="R57" s="25" t="s">
        <v>1218</v>
      </c>
    </row>
    <row r="58">
      <c r="A58" s="24" t="s">
        <v>469</v>
      </c>
      <c r="B58" s="24" t="s">
        <v>313</v>
      </c>
      <c r="C58" s="24">
        <v>5.0</v>
      </c>
      <c r="D58" s="24" t="s">
        <v>1260</v>
      </c>
      <c r="E58" s="24">
        <v>9.0</v>
      </c>
      <c r="F58" s="24" t="s">
        <v>1155</v>
      </c>
      <c r="G58" s="24" t="s">
        <v>1322</v>
      </c>
      <c r="H58" s="26" t="s">
        <v>1323</v>
      </c>
      <c r="I58" s="24" t="s">
        <v>1307</v>
      </c>
      <c r="J58" s="24" t="s">
        <v>1308</v>
      </c>
      <c r="K58" s="24" t="s">
        <v>1309</v>
      </c>
      <c r="L58" s="24" t="s">
        <v>1310</v>
      </c>
      <c r="M58" s="25" t="s">
        <v>1324</v>
      </c>
      <c r="N58" s="25" t="s">
        <v>1163</v>
      </c>
      <c r="O58" s="25" t="s">
        <v>1325</v>
      </c>
      <c r="P58" s="25" t="s">
        <v>1326</v>
      </c>
      <c r="Q58" s="25" t="s">
        <v>1327</v>
      </c>
      <c r="R58" s="25" t="s">
        <v>1328</v>
      </c>
    </row>
    <row r="59">
      <c r="A59" s="24" t="s">
        <v>469</v>
      </c>
      <c r="B59" s="24" t="s">
        <v>313</v>
      </c>
      <c r="C59" s="24">
        <v>5.0</v>
      </c>
      <c r="D59" s="24" t="s">
        <v>1260</v>
      </c>
      <c r="E59" s="24">
        <v>10.0</v>
      </c>
      <c r="F59" s="24" t="s">
        <v>1168</v>
      </c>
      <c r="G59" s="24" t="s">
        <v>1322</v>
      </c>
      <c r="H59" s="26" t="s">
        <v>1323</v>
      </c>
      <c r="I59" s="24" t="s">
        <v>1307</v>
      </c>
      <c r="J59" s="24" t="s">
        <v>1308</v>
      </c>
      <c r="K59" s="24" t="s">
        <v>1309</v>
      </c>
      <c r="L59" s="24" t="s">
        <v>1310</v>
      </c>
      <c r="M59" s="25" t="s">
        <v>1329</v>
      </c>
      <c r="N59" s="25" t="s">
        <v>1214</v>
      </c>
      <c r="O59" s="25" t="s">
        <v>1330</v>
      </c>
      <c r="P59" s="25" t="s">
        <v>1331</v>
      </c>
      <c r="Q59" s="25" t="s">
        <v>1332</v>
      </c>
      <c r="R59" s="25" t="s">
        <v>1333</v>
      </c>
    </row>
    <row r="60">
      <c r="A60" s="24" t="s">
        <v>469</v>
      </c>
      <c r="B60" s="24" t="s">
        <v>313</v>
      </c>
      <c r="C60" s="24">
        <v>6.0</v>
      </c>
      <c r="D60" s="24" t="s">
        <v>1219</v>
      </c>
      <c r="E60" s="24">
        <v>11.0</v>
      </c>
      <c r="F60" s="24" t="s">
        <v>1155</v>
      </c>
      <c r="G60" s="24" t="s">
        <v>1322</v>
      </c>
      <c r="H60" s="26" t="s">
        <v>1323</v>
      </c>
      <c r="I60" s="24" t="s">
        <v>1307</v>
      </c>
      <c r="J60" s="24" t="s">
        <v>1308</v>
      </c>
      <c r="K60" s="24" t="s">
        <v>1309</v>
      </c>
      <c r="L60" s="24" t="s">
        <v>1310</v>
      </c>
      <c r="M60" s="25" t="s">
        <v>1220</v>
      </c>
      <c r="N60" s="25" t="s">
        <v>1163</v>
      </c>
      <c r="O60" s="25" t="s">
        <v>1221</v>
      </c>
      <c r="P60" s="25" t="s">
        <v>1222</v>
      </c>
      <c r="Q60" s="25" t="s">
        <v>1223</v>
      </c>
      <c r="R60" s="25" t="s">
        <v>1224</v>
      </c>
    </row>
    <row r="61">
      <c r="A61" s="24" t="s">
        <v>469</v>
      </c>
      <c r="B61" s="24" t="s">
        <v>313</v>
      </c>
      <c r="C61" s="24">
        <v>6.0</v>
      </c>
      <c r="D61" s="24" t="s">
        <v>1219</v>
      </c>
      <c r="E61" s="24">
        <v>12.0</v>
      </c>
      <c r="F61" s="24" t="s">
        <v>1168</v>
      </c>
      <c r="G61" s="24" t="s">
        <v>1322</v>
      </c>
      <c r="H61" s="26" t="s">
        <v>1323</v>
      </c>
      <c r="I61" s="24" t="s">
        <v>1307</v>
      </c>
      <c r="J61" s="24" t="s">
        <v>1308</v>
      </c>
      <c r="K61" s="24" t="s">
        <v>1309</v>
      </c>
      <c r="L61" s="24" t="s">
        <v>1310</v>
      </c>
      <c r="M61" s="25" t="s">
        <v>1334</v>
      </c>
      <c r="N61" s="25" t="s">
        <v>1214</v>
      </c>
      <c r="O61" s="25" t="s">
        <v>1335</v>
      </c>
      <c r="P61" s="25" t="s">
        <v>1331</v>
      </c>
      <c r="Q61" s="25" t="s">
        <v>1332</v>
      </c>
      <c r="R61" s="25" t="s">
        <v>1333</v>
      </c>
    </row>
    <row r="62">
      <c r="A62" s="24" t="s">
        <v>469</v>
      </c>
      <c r="B62" s="24" t="s">
        <v>313</v>
      </c>
      <c r="C62" s="24">
        <v>7.0</v>
      </c>
      <c r="D62" s="24" t="s">
        <v>1227</v>
      </c>
      <c r="E62" s="24">
        <v>13.0</v>
      </c>
      <c r="F62" s="24" t="s">
        <v>1155</v>
      </c>
      <c r="G62" s="24" t="s">
        <v>1322</v>
      </c>
      <c r="H62" s="26" t="s">
        <v>1323</v>
      </c>
      <c r="I62" s="24" t="s">
        <v>1307</v>
      </c>
      <c r="J62" s="24" t="s">
        <v>1308</v>
      </c>
      <c r="K62" s="24" t="s">
        <v>1309</v>
      </c>
      <c r="L62" s="24" t="s">
        <v>1310</v>
      </c>
      <c r="M62" s="25" t="s">
        <v>1336</v>
      </c>
      <c r="N62" s="25" t="s">
        <v>1163</v>
      </c>
      <c r="O62" s="25" t="s">
        <v>1233</v>
      </c>
      <c r="P62" s="25" t="s">
        <v>1272</v>
      </c>
      <c r="Q62" s="25" t="s">
        <v>1235</v>
      </c>
      <c r="R62" s="25" t="s">
        <v>1236</v>
      </c>
    </row>
    <row r="63">
      <c r="A63" s="24" t="s">
        <v>469</v>
      </c>
      <c r="B63" s="24" t="s">
        <v>313</v>
      </c>
      <c r="C63" s="24">
        <v>7.0</v>
      </c>
      <c r="D63" s="24" t="s">
        <v>1227</v>
      </c>
      <c r="E63" s="24">
        <v>14.0</v>
      </c>
      <c r="F63" s="24" t="s">
        <v>1168</v>
      </c>
      <c r="G63" s="24" t="s">
        <v>1322</v>
      </c>
      <c r="H63" s="26" t="s">
        <v>1323</v>
      </c>
      <c r="I63" s="24" t="s">
        <v>1307</v>
      </c>
      <c r="J63" s="24" t="s">
        <v>1308</v>
      </c>
      <c r="K63" s="24" t="s">
        <v>1309</v>
      </c>
      <c r="L63" s="24" t="s">
        <v>1310</v>
      </c>
      <c r="M63" s="25" t="s">
        <v>1191</v>
      </c>
      <c r="N63" s="25" t="s">
        <v>1192</v>
      </c>
      <c r="O63" s="25" t="s">
        <v>1337</v>
      </c>
      <c r="P63" s="25" t="s">
        <v>1194</v>
      </c>
      <c r="Q63" s="25" t="s">
        <v>1195</v>
      </c>
      <c r="R63" s="25" t="s">
        <v>1196</v>
      </c>
    </row>
    <row r="64">
      <c r="A64" s="24" t="s">
        <v>469</v>
      </c>
      <c r="B64" s="24" t="s">
        <v>313</v>
      </c>
      <c r="C64" s="24">
        <v>8.0</v>
      </c>
      <c r="D64" s="24" t="s">
        <v>1231</v>
      </c>
      <c r="E64" s="24">
        <v>15.0</v>
      </c>
      <c r="F64" s="24" t="s">
        <v>1168</v>
      </c>
      <c r="G64" s="24" t="s">
        <v>1322</v>
      </c>
      <c r="H64" s="26" t="s">
        <v>1323</v>
      </c>
      <c r="I64" s="24" t="s">
        <v>1307</v>
      </c>
      <c r="J64" s="24" t="s">
        <v>1308</v>
      </c>
      <c r="K64" s="24" t="s">
        <v>1309</v>
      </c>
      <c r="L64" s="24" t="s">
        <v>1310</v>
      </c>
      <c r="M64" s="25" t="s">
        <v>1203</v>
      </c>
      <c r="N64" s="25" t="s">
        <v>1192</v>
      </c>
      <c r="O64" s="25" t="s">
        <v>1204</v>
      </c>
      <c r="P64" s="25" t="s">
        <v>1205</v>
      </c>
      <c r="Q64" s="25" t="s">
        <v>1206</v>
      </c>
      <c r="R64" s="25" t="s">
        <v>1207</v>
      </c>
    </row>
    <row r="65">
      <c r="A65" s="24" t="s">
        <v>469</v>
      </c>
      <c r="B65" s="24" t="s">
        <v>313</v>
      </c>
      <c r="C65" s="24">
        <v>8.0</v>
      </c>
      <c r="D65" s="24" t="s">
        <v>1231</v>
      </c>
      <c r="E65" s="24">
        <v>16.0</v>
      </c>
      <c r="F65" s="24" t="s">
        <v>1155</v>
      </c>
      <c r="G65" s="24" t="s">
        <v>1322</v>
      </c>
      <c r="H65" s="26" t="s">
        <v>1323</v>
      </c>
      <c r="I65" s="24" t="s">
        <v>1307</v>
      </c>
      <c r="J65" s="24" t="s">
        <v>1308</v>
      </c>
      <c r="K65" s="24" t="s">
        <v>1309</v>
      </c>
      <c r="L65" s="24" t="s">
        <v>1310</v>
      </c>
      <c r="M65" s="25" t="s">
        <v>1338</v>
      </c>
      <c r="N65" s="25" t="s">
        <v>1214</v>
      </c>
      <c r="O65" s="25" t="s">
        <v>1339</v>
      </c>
      <c r="P65" s="25" t="s">
        <v>1272</v>
      </c>
      <c r="Q65" s="25" t="s">
        <v>1235</v>
      </c>
      <c r="R65" s="25" t="s">
        <v>1236</v>
      </c>
    </row>
    <row r="66">
      <c r="A66" s="24" t="s">
        <v>21</v>
      </c>
      <c r="B66" s="24" t="s">
        <v>22</v>
      </c>
      <c r="C66" s="24">
        <v>1.0</v>
      </c>
      <c r="D66" s="24" t="s">
        <v>1154</v>
      </c>
      <c r="E66" s="24">
        <v>1.0</v>
      </c>
      <c r="F66" s="24" t="s">
        <v>1155</v>
      </c>
      <c r="G66" s="24" t="s">
        <v>1156</v>
      </c>
      <c r="H66" s="24" t="s">
        <v>1340</v>
      </c>
      <c r="I66" s="24" t="s">
        <v>1341</v>
      </c>
      <c r="J66" s="24" t="s">
        <v>1342</v>
      </c>
      <c r="K66" s="24" t="s">
        <v>1343</v>
      </c>
      <c r="L66" s="24" t="s">
        <v>1344</v>
      </c>
      <c r="M66" s="25" t="s">
        <v>1345</v>
      </c>
      <c r="N66" s="25" t="s">
        <v>1163</v>
      </c>
      <c r="O66" s="25" t="s">
        <v>1346</v>
      </c>
      <c r="P66" s="25" t="s">
        <v>1165</v>
      </c>
      <c r="Q66" s="25" t="s">
        <v>1166</v>
      </c>
      <c r="R66" s="25" t="s">
        <v>1167</v>
      </c>
    </row>
    <row r="67">
      <c r="A67" s="24" t="s">
        <v>21</v>
      </c>
      <c r="B67" s="24" t="s">
        <v>22</v>
      </c>
      <c r="C67" s="24">
        <v>1.0</v>
      </c>
      <c r="D67" s="24" t="s">
        <v>1154</v>
      </c>
      <c r="E67" s="24">
        <v>2.0</v>
      </c>
      <c r="F67" s="24" t="s">
        <v>1168</v>
      </c>
      <c r="G67" s="24" t="s">
        <v>1156</v>
      </c>
      <c r="H67" s="24" t="s">
        <v>1340</v>
      </c>
      <c r="I67" s="24" t="s">
        <v>1341</v>
      </c>
      <c r="J67" s="24" t="s">
        <v>1342</v>
      </c>
      <c r="K67" s="24" t="s">
        <v>1343</v>
      </c>
      <c r="L67" s="24" t="s">
        <v>1344</v>
      </c>
      <c r="M67" s="25" t="s">
        <v>1169</v>
      </c>
      <c r="N67" s="25" t="s">
        <v>1163</v>
      </c>
      <c r="O67" s="25" t="s">
        <v>1170</v>
      </c>
      <c r="P67" s="25" t="s">
        <v>1171</v>
      </c>
      <c r="Q67" s="25" t="s">
        <v>1172</v>
      </c>
      <c r="R67" s="25" t="s">
        <v>1173</v>
      </c>
    </row>
    <row r="68">
      <c r="A68" s="24" t="s">
        <v>21</v>
      </c>
      <c r="B68" s="24" t="s">
        <v>22</v>
      </c>
      <c r="C68" s="24">
        <v>2.0</v>
      </c>
      <c r="D68" s="24" t="s">
        <v>1174</v>
      </c>
      <c r="E68" s="24">
        <v>3.0</v>
      </c>
      <c r="F68" s="24" t="s">
        <v>1155</v>
      </c>
      <c r="G68" s="24" t="s">
        <v>1156</v>
      </c>
      <c r="H68" s="24" t="s">
        <v>1340</v>
      </c>
      <c r="I68" s="24" t="s">
        <v>1341</v>
      </c>
      <c r="J68" s="24" t="s">
        <v>1342</v>
      </c>
      <c r="K68" s="24" t="s">
        <v>1343</v>
      </c>
      <c r="L68" s="24" t="s">
        <v>1344</v>
      </c>
      <c r="M68" s="25" t="s">
        <v>1347</v>
      </c>
      <c r="N68" s="25" t="s">
        <v>1163</v>
      </c>
      <c r="O68" s="25" t="s">
        <v>1348</v>
      </c>
      <c r="P68" s="25" t="s">
        <v>1188</v>
      </c>
      <c r="Q68" s="25" t="s">
        <v>1189</v>
      </c>
      <c r="R68" s="25" t="s">
        <v>1190</v>
      </c>
    </row>
    <row r="69">
      <c r="A69" s="24" t="s">
        <v>21</v>
      </c>
      <c r="B69" s="24" t="s">
        <v>22</v>
      </c>
      <c r="C69" s="24">
        <v>2.0</v>
      </c>
      <c r="D69" s="24" t="s">
        <v>1174</v>
      </c>
      <c r="E69" s="24">
        <v>4.0</v>
      </c>
      <c r="F69" s="24" t="s">
        <v>1168</v>
      </c>
      <c r="G69" s="24" t="s">
        <v>1156</v>
      </c>
      <c r="H69" s="24" t="s">
        <v>1340</v>
      </c>
      <c r="I69" s="24" t="s">
        <v>1341</v>
      </c>
      <c r="J69" s="24" t="s">
        <v>1342</v>
      </c>
      <c r="K69" s="24" t="s">
        <v>1343</v>
      </c>
      <c r="L69" s="24" t="s">
        <v>1344</v>
      </c>
      <c r="M69" s="25" t="s">
        <v>1349</v>
      </c>
      <c r="N69" s="25" t="s">
        <v>1214</v>
      </c>
      <c r="O69" s="25" t="s">
        <v>1350</v>
      </c>
      <c r="P69" s="25" t="s">
        <v>1182</v>
      </c>
      <c r="Q69" s="25" t="s">
        <v>1183</v>
      </c>
      <c r="R69" s="25" t="s">
        <v>1184</v>
      </c>
    </row>
    <row r="70">
      <c r="A70" s="24" t="s">
        <v>21</v>
      </c>
      <c r="B70" s="24" t="s">
        <v>22</v>
      </c>
      <c r="C70" s="24">
        <v>3.0</v>
      </c>
      <c r="D70" s="24" t="s">
        <v>1185</v>
      </c>
      <c r="E70" s="24">
        <v>5.0</v>
      </c>
      <c r="F70" s="24" t="s">
        <v>1155</v>
      </c>
      <c r="G70" s="26" t="s">
        <v>1156</v>
      </c>
      <c r="H70" s="24" t="s">
        <v>1340</v>
      </c>
      <c r="I70" s="24" t="s">
        <v>1341</v>
      </c>
      <c r="J70" s="24" t="s">
        <v>1342</v>
      </c>
      <c r="K70" s="24" t="s">
        <v>1343</v>
      </c>
      <c r="L70" s="24" t="s">
        <v>1344</v>
      </c>
      <c r="M70" s="27" t="s">
        <v>1351</v>
      </c>
      <c r="N70" s="25" t="s">
        <v>1163</v>
      </c>
      <c r="O70" s="25" t="s">
        <v>1352</v>
      </c>
      <c r="P70" s="28" t="s">
        <v>1353</v>
      </c>
      <c r="Q70" s="25" t="s">
        <v>1354</v>
      </c>
      <c r="R70" s="25" t="s">
        <v>1355</v>
      </c>
    </row>
    <row r="71">
      <c r="A71" s="24" t="s">
        <v>21</v>
      </c>
      <c r="B71" s="24" t="s">
        <v>22</v>
      </c>
      <c r="C71" s="24">
        <v>3.0</v>
      </c>
      <c r="D71" s="24" t="s">
        <v>1185</v>
      </c>
      <c r="E71" s="24">
        <v>6.0</v>
      </c>
      <c r="F71" s="24" t="s">
        <v>1168</v>
      </c>
      <c r="G71" s="26" t="s">
        <v>1156</v>
      </c>
      <c r="H71" s="24" t="s">
        <v>1340</v>
      </c>
      <c r="I71" s="24" t="s">
        <v>1341</v>
      </c>
      <c r="J71" s="24" t="s">
        <v>1342</v>
      </c>
      <c r="K71" s="24" t="s">
        <v>1343</v>
      </c>
      <c r="L71" s="24" t="s">
        <v>1344</v>
      </c>
      <c r="M71" s="27" t="s">
        <v>1191</v>
      </c>
      <c r="N71" s="25" t="s">
        <v>1192</v>
      </c>
      <c r="O71" s="25" t="s">
        <v>1193</v>
      </c>
      <c r="P71" s="27" t="s">
        <v>1194</v>
      </c>
      <c r="Q71" s="25" t="s">
        <v>1195</v>
      </c>
      <c r="R71" s="25" t="s">
        <v>1196</v>
      </c>
    </row>
    <row r="72">
      <c r="A72" s="24" t="s">
        <v>21</v>
      </c>
      <c r="B72" s="24" t="s">
        <v>22</v>
      </c>
      <c r="C72" s="24">
        <v>4.0</v>
      </c>
      <c r="D72" s="24" t="s">
        <v>1356</v>
      </c>
      <c r="E72" s="24">
        <v>7.0</v>
      </c>
      <c r="F72" s="24" t="s">
        <v>1155</v>
      </c>
      <c r="G72" s="24" t="s">
        <v>1156</v>
      </c>
      <c r="H72" s="24" t="s">
        <v>1340</v>
      </c>
      <c r="I72" s="24" t="s">
        <v>1341</v>
      </c>
      <c r="J72" s="24" t="s">
        <v>1342</v>
      </c>
      <c r="K72" s="24" t="s">
        <v>1343</v>
      </c>
      <c r="L72" s="24" t="s">
        <v>1344</v>
      </c>
      <c r="M72" s="25" t="s">
        <v>1357</v>
      </c>
      <c r="N72" s="25" t="s">
        <v>1163</v>
      </c>
      <c r="O72" s="25" t="s">
        <v>1358</v>
      </c>
      <c r="P72" s="28" t="s">
        <v>1353</v>
      </c>
      <c r="Q72" s="25" t="s">
        <v>1354</v>
      </c>
      <c r="R72" s="25" t="s">
        <v>1355</v>
      </c>
    </row>
    <row r="73">
      <c r="A73" s="24" t="s">
        <v>21</v>
      </c>
      <c r="B73" s="24" t="s">
        <v>22</v>
      </c>
      <c r="C73" s="24">
        <v>4.0</v>
      </c>
      <c r="D73" s="24" t="s">
        <v>1356</v>
      </c>
      <c r="E73" s="24">
        <v>8.0</v>
      </c>
      <c r="F73" s="24" t="s">
        <v>1168</v>
      </c>
      <c r="G73" s="24" t="s">
        <v>1156</v>
      </c>
      <c r="H73" s="24" t="s">
        <v>1340</v>
      </c>
      <c r="I73" s="24" t="s">
        <v>1341</v>
      </c>
      <c r="J73" s="24" t="s">
        <v>1342</v>
      </c>
      <c r="K73" s="24" t="s">
        <v>1343</v>
      </c>
      <c r="L73" s="24" t="s">
        <v>1344</v>
      </c>
      <c r="M73" s="25" t="s">
        <v>1203</v>
      </c>
      <c r="N73" s="25" t="s">
        <v>1192</v>
      </c>
      <c r="O73" s="25" t="s">
        <v>1204</v>
      </c>
      <c r="P73" s="27" t="s">
        <v>1216</v>
      </c>
      <c r="Q73" s="25" t="s">
        <v>1359</v>
      </c>
      <c r="R73" s="25" t="s">
        <v>1360</v>
      </c>
    </row>
    <row r="74">
      <c r="A74" s="24" t="s">
        <v>21</v>
      </c>
      <c r="B74" s="24" t="s">
        <v>22</v>
      </c>
      <c r="C74" s="24">
        <v>5.0</v>
      </c>
      <c r="D74" s="24" t="s">
        <v>1208</v>
      </c>
      <c r="E74" s="24">
        <v>9.0</v>
      </c>
      <c r="F74" s="24" t="s">
        <v>1155</v>
      </c>
      <c r="G74" s="24" t="s">
        <v>1209</v>
      </c>
      <c r="H74" s="24" t="s">
        <v>1361</v>
      </c>
      <c r="I74" s="24" t="s">
        <v>1341</v>
      </c>
      <c r="J74" s="24" t="s">
        <v>1342</v>
      </c>
      <c r="K74" s="24" t="s">
        <v>1343</v>
      </c>
      <c r="L74" s="24" t="s">
        <v>1344</v>
      </c>
      <c r="M74" s="25" t="s">
        <v>1362</v>
      </c>
      <c r="N74" s="25" t="s">
        <v>1163</v>
      </c>
      <c r="O74" s="25" t="s">
        <v>1363</v>
      </c>
      <c r="P74" s="28" t="s">
        <v>1353</v>
      </c>
      <c r="Q74" s="25" t="s">
        <v>1354</v>
      </c>
      <c r="R74" s="25" t="s">
        <v>1355</v>
      </c>
    </row>
    <row r="75">
      <c r="A75" s="24" t="s">
        <v>21</v>
      </c>
      <c r="B75" s="24" t="s">
        <v>22</v>
      </c>
      <c r="C75" s="24">
        <v>5.0</v>
      </c>
      <c r="D75" s="24" t="s">
        <v>1208</v>
      </c>
      <c r="E75" s="24">
        <v>10.0</v>
      </c>
      <c r="F75" s="24" t="s">
        <v>1168</v>
      </c>
      <c r="G75" s="24" t="s">
        <v>1209</v>
      </c>
      <c r="H75" s="24" t="s">
        <v>1361</v>
      </c>
      <c r="I75" s="24" t="s">
        <v>1341</v>
      </c>
      <c r="J75" s="24" t="s">
        <v>1342</v>
      </c>
      <c r="K75" s="24" t="s">
        <v>1343</v>
      </c>
      <c r="L75" s="24" t="s">
        <v>1344</v>
      </c>
      <c r="M75" s="25" t="s">
        <v>1364</v>
      </c>
      <c r="N75" s="25" t="s">
        <v>1214</v>
      </c>
      <c r="O75" s="25" t="s">
        <v>1365</v>
      </c>
      <c r="P75" s="27" t="s">
        <v>1216</v>
      </c>
      <c r="Q75" s="25" t="s">
        <v>1217</v>
      </c>
      <c r="R75" s="25" t="s">
        <v>1218</v>
      </c>
    </row>
    <row r="76">
      <c r="A76" s="24" t="s">
        <v>21</v>
      </c>
      <c r="B76" s="24" t="s">
        <v>22</v>
      </c>
      <c r="C76" s="24">
        <v>6.0</v>
      </c>
      <c r="D76" s="24" t="s">
        <v>1174</v>
      </c>
      <c r="E76" s="24">
        <v>11.0</v>
      </c>
      <c r="F76" s="24" t="s">
        <v>1155</v>
      </c>
      <c r="G76" s="26" t="s">
        <v>1209</v>
      </c>
      <c r="H76" s="24" t="s">
        <v>1361</v>
      </c>
      <c r="I76" s="24" t="s">
        <v>1341</v>
      </c>
      <c r="J76" s="24" t="s">
        <v>1342</v>
      </c>
      <c r="K76" s="24" t="s">
        <v>1343</v>
      </c>
      <c r="L76" s="24" t="s">
        <v>1344</v>
      </c>
      <c r="M76" s="27" t="s">
        <v>1366</v>
      </c>
      <c r="N76" s="25" t="s">
        <v>1163</v>
      </c>
      <c r="O76" s="25" t="s">
        <v>1367</v>
      </c>
      <c r="P76" s="28" t="s">
        <v>1353</v>
      </c>
      <c r="Q76" s="25" t="s">
        <v>1354</v>
      </c>
      <c r="R76" s="25" t="s">
        <v>1355</v>
      </c>
    </row>
    <row r="77">
      <c r="A77" s="24" t="s">
        <v>21</v>
      </c>
      <c r="B77" s="24" t="s">
        <v>22</v>
      </c>
      <c r="C77" s="24">
        <v>6.0</v>
      </c>
      <c r="D77" s="24" t="s">
        <v>1174</v>
      </c>
      <c r="E77" s="24">
        <v>12.0</v>
      </c>
      <c r="F77" s="24" t="s">
        <v>1168</v>
      </c>
      <c r="G77" s="26" t="s">
        <v>1209</v>
      </c>
      <c r="H77" s="24" t="s">
        <v>1361</v>
      </c>
      <c r="I77" s="24" t="s">
        <v>1341</v>
      </c>
      <c r="J77" s="24" t="s">
        <v>1342</v>
      </c>
      <c r="K77" s="24" t="s">
        <v>1343</v>
      </c>
      <c r="L77" s="24" t="s">
        <v>1344</v>
      </c>
      <c r="M77" s="27" t="s">
        <v>1368</v>
      </c>
      <c r="N77" s="25" t="s">
        <v>1214</v>
      </c>
      <c r="O77" s="25" t="s">
        <v>1369</v>
      </c>
      <c r="P77" s="27" t="s">
        <v>1216</v>
      </c>
      <c r="Q77" s="25" t="s">
        <v>1217</v>
      </c>
      <c r="R77" s="25" t="s">
        <v>1218</v>
      </c>
    </row>
    <row r="78">
      <c r="A78" s="24" t="s">
        <v>21</v>
      </c>
      <c r="B78" s="24" t="s">
        <v>22</v>
      </c>
      <c r="C78" s="24">
        <v>7.0</v>
      </c>
      <c r="D78" s="24" t="s">
        <v>1227</v>
      </c>
      <c r="E78" s="24">
        <v>13.0</v>
      </c>
      <c r="F78" s="24" t="s">
        <v>1155</v>
      </c>
      <c r="G78" s="24" t="s">
        <v>1209</v>
      </c>
      <c r="H78" s="24" t="s">
        <v>1361</v>
      </c>
      <c r="I78" s="24" t="s">
        <v>1341</v>
      </c>
      <c r="J78" s="24" t="s">
        <v>1342</v>
      </c>
      <c r="K78" s="24" t="s">
        <v>1343</v>
      </c>
      <c r="L78" s="24" t="s">
        <v>1344</v>
      </c>
      <c r="M78" s="25" t="s">
        <v>1370</v>
      </c>
      <c r="N78" s="25" t="s">
        <v>1163</v>
      </c>
      <c r="O78" s="25" t="s">
        <v>1371</v>
      </c>
      <c r="P78" s="28" t="s">
        <v>1353</v>
      </c>
      <c r="Q78" s="25" t="s">
        <v>1354</v>
      </c>
      <c r="R78" s="25" t="s">
        <v>1355</v>
      </c>
    </row>
    <row r="79">
      <c r="A79" s="24" t="s">
        <v>21</v>
      </c>
      <c r="B79" s="24" t="s">
        <v>22</v>
      </c>
      <c r="C79" s="24">
        <v>7.0</v>
      </c>
      <c r="D79" s="24" t="s">
        <v>1227</v>
      </c>
      <c r="E79" s="24">
        <v>14.0</v>
      </c>
      <c r="F79" s="24" t="s">
        <v>1168</v>
      </c>
      <c r="G79" s="24" t="s">
        <v>1209</v>
      </c>
      <c r="H79" s="24" t="s">
        <v>1361</v>
      </c>
      <c r="I79" s="24" t="s">
        <v>1341</v>
      </c>
      <c r="J79" s="24" t="s">
        <v>1342</v>
      </c>
      <c r="K79" s="24" t="s">
        <v>1343</v>
      </c>
      <c r="L79" s="24" t="s">
        <v>1344</v>
      </c>
      <c r="M79" s="27" t="s">
        <v>1191</v>
      </c>
      <c r="N79" s="25" t="s">
        <v>1192</v>
      </c>
      <c r="O79" s="25" t="s">
        <v>1256</v>
      </c>
      <c r="P79" s="27" t="s">
        <v>1216</v>
      </c>
      <c r="Q79" s="25" t="s">
        <v>1217</v>
      </c>
      <c r="R79" s="25" t="s">
        <v>1218</v>
      </c>
    </row>
    <row r="80">
      <c r="A80" s="24" t="s">
        <v>21</v>
      </c>
      <c r="B80" s="24" t="s">
        <v>22</v>
      </c>
      <c r="C80" s="24">
        <v>8.0</v>
      </c>
      <c r="D80" s="24" t="s">
        <v>1231</v>
      </c>
      <c r="E80" s="24">
        <v>15.0</v>
      </c>
      <c r="F80" s="24" t="s">
        <v>1155</v>
      </c>
      <c r="G80" s="24" t="s">
        <v>1209</v>
      </c>
      <c r="H80" s="24" t="s">
        <v>1361</v>
      </c>
      <c r="I80" s="24" t="s">
        <v>1341</v>
      </c>
      <c r="J80" s="24" t="s">
        <v>1342</v>
      </c>
      <c r="K80" s="24" t="s">
        <v>1343</v>
      </c>
      <c r="L80" s="24" t="s">
        <v>1344</v>
      </c>
      <c r="M80" s="25" t="s">
        <v>1372</v>
      </c>
      <c r="N80" s="25" t="s">
        <v>1163</v>
      </c>
      <c r="O80" s="25" t="s">
        <v>1373</v>
      </c>
      <c r="P80" s="28" t="s">
        <v>1353</v>
      </c>
      <c r="Q80" s="25" t="s">
        <v>1354</v>
      </c>
      <c r="R80" s="25" t="s">
        <v>1355</v>
      </c>
    </row>
    <row r="81">
      <c r="A81" s="24" t="s">
        <v>21</v>
      </c>
      <c r="B81" s="24" t="s">
        <v>22</v>
      </c>
      <c r="C81" s="24">
        <v>8.0</v>
      </c>
      <c r="D81" s="24" t="s">
        <v>1231</v>
      </c>
      <c r="E81" s="24">
        <v>16.0</v>
      </c>
      <c r="F81" s="24" t="s">
        <v>1168</v>
      </c>
      <c r="G81" s="24" t="s">
        <v>1209</v>
      </c>
      <c r="H81" s="24" t="s">
        <v>1361</v>
      </c>
      <c r="I81" s="24" t="s">
        <v>1341</v>
      </c>
      <c r="J81" s="24" t="s">
        <v>1342</v>
      </c>
      <c r="K81" s="24" t="s">
        <v>1343</v>
      </c>
      <c r="L81" s="24" t="s">
        <v>1344</v>
      </c>
      <c r="M81" s="25" t="s">
        <v>1203</v>
      </c>
      <c r="N81" s="25" t="s">
        <v>1192</v>
      </c>
      <c r="O81" s="25" t="s">
        <v>1204</v>
      </c>
      <c r="P81" s="27" t="s">
        <v>1216</v>
      </c>
      <c r="Q81" s="25" t="s">
        <v>1217</v>
      </c>
      <c r="R81" s="25" t="s">
        <v>1218</v>
      </c>
    </row>
    <row r="82">
      <c r="A82" s="24" t="s">
        <v>21</v>
      </c>
      <c r="B82" s="24" t="s">
        <v>153</v>
      </c>
      <c r="C82" s="24">
        <v>1.0</v>
      </c>
      <c r="D82" s="24" t="s">
        <v>1154</v>
      </c>
      <c r="E82" s="24">
        <v>1.0</v>
      </c>
      <c r="F82" s="24" t="s">
        <v>1155</v>
      </c>
      <c r="G82" s="24" t="s">
        <v>1237</v>
      </c>
      <c r="H82" s="24" t="s">
        <v>1374</v>
      </c>
      <c r="I82" s="24" t="s">
        <v>1375</v>
      </c>
      <c r="J82" s="24" t="s">
        <v>1376</v>
      </c>
      <c r="K82" s="24" t="s">
        <v>1377</v>
      </c>
      <c r="L82" s="24" t="s">
        <v>1378</v>
      </c>
      <c r="M82" s="25" t="s">
        <v>1379</v>
      </c>
      <c r="N82" s="25" t="s">
        <v>1163</v>
      </c>
      <c r="O82" s="25" t="s">
        <v>1380</v>
      </c>
      <c r="P82" s="28" t="s">
        <v>1353</v>
      </c>
      <c r="Q82" s="25" t="s">
        <v>1354</v>
      </c>
      <c r="R82" s="25" t="s">
        <v>1355</v>
      </c>
    </row>
    <row r="83">
      <c r="A83" s="24" t="s">
        <v>21</v>
      </c>
      <c r="B83" s="24" t="s">
        <v>153</v>
      </c>
      <c r="C83" s="24">
        <v>1.0</v>
      </c>
      <c r="D83" s="24" t="s">
        <v>1154</v>
      </c>
      <c r="E83" s="24">
        <v>2.0</v>
      </c>
      <c r="F83" s="24" t="s">
        <v>1168</v>
      </c>
      <c r="G83" s="24" t="s">
        <v>1237</v>
      </c>
      <c r="H83" s="24" t="s">
        <v>1374</v>
      </c>
      <c r="I83" s="24" t="s">
        <v>1375</v>
      </c>
      <c r="J83" s="24" t="s">
        <v>1376</v>
      </c>
      <c r="K83" s="24" t="s">
        <v>1377</v>
      </c>
      <c r="L83" s="24" t="s">
        <v>1378</v>
      </c>
      <c r="M83" s="25" t="s">
        <v>1381</v>
      </c>
      <c r="N83" s="25" t="s">
        <v>1214</v>
      </c>
      <c r="O83" s="25" t="s">
        <v>1382</v>
      </c>
      <c r="P83" s="25" t="s">
        <v>1383</v>
      </c>
      <c r="Q83" s="25" t="s">
        <v>1384</v>
      </c>
      <c r="R83" s="25" t="s">
        <v>1385</v>
      </c>
    </row>
    <row r="84">
      <c r="A84" s="24" t="s">
        <v>21</v>
      </c>
      <c r="B84" s="24" t="s">
        <v>153</v>
      </c>
      <c r="C84" s="24">
        <v>2.0</v>
      </c>
      <c r="D84" s="24" t="s">
        <v>1174</v>
      </c>
      <c r="E84" s="24">
        <v>3.0</v>
      </c>
      <c r="F84" s="24" t="s">
        <v>1155</v>
      </c>
      <c r="G84" s="24" t="s">
        <v>1237</v>
      </c>
      <c r="H84" s="24" t="s">
        <v>1374</v>
      </c>
      <c r="I84" s="24" t="s">
        <v>1375</v>
      </c>
      <c r="J84" s="24" t="s">
        <v>1376</v>
      </c>
      <c r="K84" s="24" t="s">
        <v>1377</v>
      </c>
      <c r="L84" s="24" t="s">
        <v>1378</v>
      </c>
      <c r="M84" s="25" t="s">
        <v>1386</v>
      </c>
      <c r="N84" s="25" t="s">
        <v>1163</v>
      </c>
      <c r="O84" s="25" t="s">
        <v>1387</v>
      </c>
      <c r="P84" s="28" t="s">
        <v>1353</v>
      </c>
      <c r="Q84" s="25" t="s">
        <v>1354</v>
      </c>
      <c r="R84" s="25" t="s">
        <v>1355</v>
      </c>
    </row>
    <row r="85">
      <c r="A85" s="24" t="s">
        <v>21</v>
      </c>
      <c r="B85" s="24" t="s">
        <v>153</v>
      </c>
      <c r="C85" s="24">
        <v>2.0</v>
      </c>
      <c r="D85" s="24" t="s">
        <v>1174</v>
      </c>
      <c r="E85" s="24">
        <v>4.0</v>
      </c>
      <c r="F85" s="24" t="s">
        <v>1168</v>
      </c>
      <c r="G85" s="24" t="s">
        <v>1237</v>
      </c>
      <c r="H85" s="24" t="s">
        <v>1374</v>
      </c>
      <c r="I85" s="24" t="s">
        <v>1375</v>
      </c>
      <c r="J85" s="24" t="s">
        <v>1376</v>
      </c>
      <c r="K85" s="24" t="s">
        <v>1377</v>
      </c>
      <c r="L85" s="24" t="s">
        <v>1378</v>
      </c>
      <c r="M85" s="25" t="s">
        <v>1388</v>
      </c>
      <c r="N85" s="25" t="s">
        <v>1214</v>
      </c>
      <c r="O85" s="25" t="s">
        <v>1389</v>
      </c>
      <c r="P85" s="25" t="s">
        <v>1383</v>
      </c>
      <c r="Q85" s="25" t="s">
        <v>1384</v>
      </c>
      <c r="R85" s="25" t="s">
        <v>1385</v>
      </c>
    </row>
    <row r="86">
      <c r="A86" s="24" t="s">
        <v>21</v>
      </c>
      <c r="B86" s="24" t="s">
        <v>153</v>
      </c>
      <c r="C86" s="24">
        <v>3.0</v>
      </c>
      <c r="D86" s="24" t="s">
        <v>1185</v>
      </c>
      <c r="E86" s="24">
        <v>5.0</v>
      </c>
      <c r="F86" s="24" t="s">
        <v>1155</v>
      </c>
      <c r="G86" s="24" t="s">
        <v>1237</v>
      </c>
      <c r="H86" s="24" t="s">
        <v>1374</v>
      </c>
      <c r="I86" s="24" t="s">
        <v>1375</v>
      </c>
      <c r="J86" s="24" t="s">
        <v>1376</v>
      </c>
      <c r="K86" s="24" t="s">
        <v>1377</v>
      </c>
      <c r="L86" s="24" t="s">
        <v>1378</v>
      </c>
      <c r="M86" s="25" t="s">
        <v>1390</v>
      </c>
      <c r="N86" s="25" t="s">
        <v>1163</v>
      </c>
      <c r="O86" s="25" t="s">
        <v>1391</v>
      </c>
      <c r="P86" s="28" t="s">
        <v>1353</v>
      </c>
      <c r="Q86" s="25" t="s">
        <v>1354</v>
      </c>
      <c r="R86" s="25" t="s">
        <v>1355</v>
      </c>
    </row>
    <row r="87">
      <c r="A87" s="24" t="s">
        <v>21</v>
      </c>
      <c r="B87" s="24" t="s">
        <v>153</v>
      </c>
      <c r="C87" s="24">
        <v>3.0</v>
      </c>
      <c r="D87" s="24" t="s">
        <v>1185</v>
      </c>
      <c r="E87" s="24">
        <v>6.0</v>
      </c>
      <c r="F87" s="24" t="s">
        <v>1168</v>
      </c>
      <c r="G87" s="24" t="s">
        <v>1237</v>
      </c>
      <c r="H87" s="24" t="s">
        <v>1374</v>
      </c>
      <c r="I87" s="24" t="s">
        <v>1375</v>
      </c>
      <c r="J87" s="24" t="s">
        <v>1376</v>
      </c>
      <c r="K87" s="24" t="s">
        <v>1377</v>
      </c>
      <c r="L87" s="24" t="s">
        <v>1378</v>
      </c>
      <c r="M87" s="27" t="s">
        <v>1191</v>
      </c>
      <c r="N87" s="25" t="s">
        <v>1192</v>
      </c>
      <c r="O87" s="25" t="s">
        <v>1392</v>
      </c>
      <c r="P87" s="25" t="s">
        <v>1393</v>
      </c>
      <c r="Q87" s="25" t="s">
        <v>1394</v>
      </c>
      <c r="R87" s="25" t="s">
        <v>1395</v>
      </c>
    </row>
    <row r="88">
      <c r="A88" s="24" t="s">
        <v>21</v>
      </c>
      <c r="B88" s="24" t="s">
        <v>153</v>
      </c>
      <c r="C88" s="24">
        <v>4.0</v>
      </c>
      <c r="D88" s="24" t="s">
        <v>1356</v>
      </c>
      <c r="E88" s="24">
        <v>7.0</v>
      </c>
      <c r="F88" s="24" t="s">
        <v>1155</v>
      </c>
      <c r="G88" s="24" t="s">
        <v>1237</v>
      </c>
      <c r="H88" s="24" t="s">
        <v>1374</v>
      </c>
      <c r="I88" s="24" t="s">
        <v>1375</v>
      </c>
      <c r="J88" s="24" t="s">
        <v>1376</v>
      </c>
      <c r="K88" s="24" t="s">
        <v>1377</v>
      </c>
      <c r="L88" s="24" t="s">
        <v>1378</v>
      </c>
      <c r="M88" s="25" t="s">
        <v>1396</v>
      </c>
      <c r="N88" s="25" t="s">
        <v>1163</v>
      </c>
      <c r="O88" s="25" t="s">
        <v>1397</v>
      </c>
      <c r="P88" s="28" t="s">
        <v>1353</v>
      </c>
      <c r="Q88" s="25" t="s">
        <v>1354</v>
      </c>
      <c r="R88" s="25" t="s">
        <v>1355</v>
      </c>
    </row>
    <row r="89">
      <c r="A89" s="24" t="s">
        <v>21</v>
      </c>
      <c r="B89" s="24" t="s">
        <v>153</v>
      </c>
      <c r="C89" s="24">
        <v>4.0</v>
      </c>
      <c r="D89" s="24" t="s">
        <v>1356</v>
      </c>
      <c r="E89" s="24">
        <v>8.0</v>
      </c>
      <c r="F89" s="24" t="s">
        <v>1168</v>
      </c>
      <c r="G89" s="24" t="s">
        <v>1237</v>
      </c>
      <c r="H89" s="24" t="s">
        <v>1374</v>
      </c>
      <c r="I89" s="24" t="s">
        <v>1375</v>
      </c>
      <c r="J89" s="24" t="s">
        <v>1376</v>
      </c>
      <c r="K89" s="24" t="s">
        <v>1377</v>
      </c>
      <c r="L89" s="24" t="s">
        <v>1378</v>
      </c>
      <c r="M89" s="25" t="s">
        <v>1203</v>
      </c>
      <c r="N89" s="25" t="s">
        <v>1192</v>
      </c>
      <c r="O89" s="25" t="s">
        <v>1204</v>
      </c>
      <c r="P89" s="27" t="s">
        <v>1216</v>
      </c>
      <c r="Q89" s="25" t="s">
        <v>1206</v>
      </c>
      <c r="R89" s="25" t="s">
        <v>1207</v>
      </c>
    </row>
    <row r="90">
      <c r="A90" s="24" t="s">
        <v>21</v>
      </c>
      <c r="B90" s="24" t="s">
        <v>153</v>
      </c>
      <c r="C90" s="24">
        <v>5.0</v>
      </c>
      <c r="D90" s="24" t="s">
        <v>1208</v>
      </c>
      <c r="E90" s="24">
        <v>9.0</v>
      </c>
      <c r="F90" s="24" t="s">
        <v>1155</v>
      </c>
      <c r="G90" s="24" t="s">
        <v>1261</v>
      </c>
      <c r="H90" s="24" t="s">
        <v>1398</v>
      </c>
      <c r="I90" s="24" t="s">
        <v>1375</v>
      </c>
      <c r="J90" s="24" t="s">
        <v>1376</v>
      </c>
      <c r="K90" s="24" t="s">
        <v>1377</v>
      </c>
      <c r="L90" s="24" t="s">
        <v>1378</v>
      </c>
      <c r="M90" s="25" t="s">
        <v>1399</v>
      </c>
      <c r="N90" s="25" t="s">
        <v>1163</v>
      </c>
      <c r="O90" s="25" t="s">
        <v>1400</v>
      </c>
      <c r="P90" s="25" t="s">
        <v>1353</v>
      </c>
      <c r="Q90" s="25" t="s">
        <v>1354</v>
      </c>
      <c r="R90" s="25" t="s">
        <v>1355</v>
      </c>
    </row>
    <row r="91">
      <c r="A91" s="24" t="s">
        <v>21</v>
      </c>
      <c r="B91" s="24" t="s">
        <v>153</v>
      </c>
      <c r="C91" s="24">
        <v>5.0</v>
      </c>
      <c r="D91" s="24" t="s">
        <v>1208</v>
      </c>
      <c r="E91" s="24">
        <v>10.0</v>
      </c>
      <c r="F91" s="24" t="s">
        <v>1168</v>
      </c>
      <c r="G91" s="24" t="s">
        <v>1261</v>
      </c>
      <c r="H91" s="24" t="s">
        <v>1398</v>
      </c>
      <c r="I91" s="24" t="s">
        <v>1375</v>
      </c>
      <c r="J91" s="24" t="s">
        <v>1376</v>
      </c>
      <c r="K91" s="24" t="s">
        <v>1377</v>
      </c>
      <c r="L91" s="24" t="s">
        <v>1378</v>
      </c>
      <c r="M91" s="25" t="s">
        <v>1401</v>
      </c>
      <c r="N91" s="25" t="s">
        <v>1214</v>
      </c>
      <c r="O91" s="25" t="s">
        <v>1369</v>
      </c>
      <c r="P91" s="27" t="s">
        <v>1402</v>
      </c>
      <c r="Q91" s="25" t="s">
        <v>1403</v>
      </c>
      <c r="R91" s="25" t="s">
        <v>1404</v>
      </c>
    </row>
    <row r="92">
      <c r="A92" s="24" t="s">
        <v>21</v>
      </c>
      <c r="B92" s="24" t="s">
        <v>153</v>
      </c>
      <c r="C92" s="24">
        <v>6.0</v>
      </c>
      <c r="D92" s="24" t="s">
        <v>1174</v>
      </c>
      <c r="E92" s="24">
        <v>11.0</v>
      </c>
      <c r="F92" s="24" t="s">
        <v>1155</v>
      </c>
      <c r="G92" s="24" t="s">
        <v>1261</v>
      </c>
      <c r="H92" s="24" t="s">
        <v>1398</v>
      </c>
      <c r="I92" s="24" t="s">
        <v>1375</v>
      </c>
      <c r="J92" s="24" t="s">
        <v>1376</v>
      </c>
      <c r="K92" s="24" t="s">
        <v>1377</v>
      </c>
      <c r="L92" s="24" t="s">
        <v>1378</v>
      </c>
      <c r="M92" s="25" t="s">
        <v>1405</v>
      </c>
      <c r="N92" s="25" t="s">
        <v>1163</v>
      </c>
      <c r="O92" s="25" t="s">
        <v>1406</v>
      </c>
      <c r="P92" s="25" t="s">
        <v>1353</v>
      </c>
      <c r="Q92" s="25" t="s">
        <v>1354</v>
      </c>
      <c r="R92" s="25" t="s">
        <v>1355</v>
      </c>
    </row>
    <row r="93">
      <c r="A93" s="24" t="s">
        <v>21</v>
      </c>
      <c r="B93" s="24" t="s">
        <v>153</v>
      </c>
      <c r="C93" s="24">
        <v>6.0</v>
      </c>
      <c r="D93" s="24" t="s">
        <v>1174</v>
      </c>
      <c r="E93" s="24">
        <v>12.0</v>
      </c>
      <c r="F93" s="24" t="s">
        <v>1168</v>
      </c>
      <c r="G93" s="24" t="s">
        <v>1261</v>
      </c>
      <c r="H93" s="24" t="s">
        <v>1398</v>
      </c>
      <c r="I93" s="24" t="s">
        <v>1375</v>
      </c>
      <c r="J93" s="24" t="s">
        <v>1376</v>
      </c>
      <c r="K93" s="24" t="s">
        <v>1377</v>
      </c>
      <c r="L93" s="24" t="s">
        <v>1378</v>
      </c>
      <c r="M93" s="25" t="s">
        <v>1407</v>
      </c>
      <c r="N93" s="25" t="s">
        <v>1214</v>
      </c>
      <c r="O93" s="25" t="s">
        <v>1408</v>
      </c>
      <c r="P93" s="27" t="s">
        <v>1409</v>
      </c>
      <c r="Q93" s="25" t="s">
        <v>1410</v>
      </c>
      <c r="R93" s="25" t="s">
        <v>1411</v>
      </c>
    </row>
    <row r="94">
      <c r="A94" s="24" t="s">
        <v>21</v>
      </c>
      <c r="B94" s="24" t="s">
        <v>153</v>
      </c>
      <c r="C94" s="24">
        <v>7.0</v>
      </c>
      <c r="D94" s="24" t="s">
        <v>1227</v>
      </c>
      <c r="E94" s="24">
        <v>13.0</v>
      </c>
      <c r="F94" s="24" t="s">
        <v>1155</v>
      </c>
      <c r="G94" s="24" t="s">
        <v>1261</v>
      </c>
      <c r="H94" s="24" t="s">
        <v>1398</v>
      </c>
      <c r="I94" s="24" t="s">
        <v>1375</v>
      </c>
      <c r="J94" s="24" t="s">
        <v>1376</v>
      </c>
      <c r="K94" s="24" t="s">
        <v>1377</v>
      </c>
      <c r="L94" s="24" t="s">
        <v>1378</v>
      </c>
      <c r="M94" s="25" t="s">
        <v>1405</v>
      </c>
      <c r="N94" s="25" t="s">
        <v>1163</v>
      </c>
      <c r="O94" s="25" t="s">
        <v>1412</v>
      </c>
      <c r="P94" s="25" t="s">
        <v>1353</v>
      </c>
      <c r="Q94" s="25" t="s">
        <v>1354</v>
      </c>
      <c r="R94" s="25" t="s">
        <v>1355</v>
      </c>
    </row>
    <row r="95">
      <c r="A95" s="24" t="s">
        <v>21</v>
      </c>
      <c r="B95" s="24" t="s">
        <v>153</v>
      </c>
      <c r="C95" s="24">
        <v>7.0</v>
      </c>
      <c r="D95" s="24" t="s">
        <v>1227</v>
      </c>
      <c r="E95" s="24">
        <v>14.0</v>
      </c>
      <c r="F95" s="24" t="s">
        <v>1168</v>
      </c>
      <c r="G95" s="24" t="s">
        <v>1261</v>
      </c>
      <c r="H95" s="24" t="s">
        <v>1398</v>
      </c>
      <c r="I95" s="24" t="s">
        <v>1375</v>
      </c>
      <c r="J95" s="24" t="s">
        <v>1376</v>
      </c>
      <c r="K95" s="24" t="s">
        <v>1377</v>
      </c>
      <c r="L95" s="24" t="s">
        <v>1378</v>
      </c>
      <c r="M95" s="27" t="s">
        <v>1191</v>
      </c>
      <c r="N95" s="25" t="s">
        <v>1192</v>
      </c>
      <c r="O95" s="25" t="s">
        <v>1304</v>
      </c>
      <c r="P95" s="27" t="s">
        <v>1409</v>
      </c>
      <c r="Q95" s="25" t="s">
        <v>1410</v>
      </c>
      <c r="R95" s="25" t="s">
        <v>1413</v>
      </c>
    </row>
    <row r="96">
      <c r="A96" s="24" t="s">
        <v>21</v>
      </c>
      <c r="B96" s="24" t="s">
        <v>153</v>
      </c>
      <c r="C96" s="24">
        <v>8.0</v>
      </c>
      <c r="D96" s="24" t="s">
        <v>1231</v>
      </c>
      <c r="E96" s="24">
        <v>15.0</v>
      </c>
      <c r="F96" s="24" t="s">
        <v>1155</v>
      </c>
      <c r="G96" s="24" t="s">
        <v>1261</v>
      </c>
      <c r="H96" s="24" t="s">
        <v>1398</v>
      </c>
      <c r="I96" s="24" t="s">
        <v>1375</v>
      </c>
      <c r="J96" s="24" t="s">
        <v>1376</v>
      </c>
      <c r="K96" s="24" t="s">
        <v>1377</v>
      </c>
      <c r="L96" s="24" t="s">
        <v>1378</v>
      </c>
      <c r="M96" s="25" t="s">
        <v>1372</v>
      </c>
      <c r="N96" s="25" t="s">
        <v>1163</v>
      </c>
      <c r="O96" s="25" t="s">
        <v>1414</v>
      </c>
      <c r="P96" s="25" t="s">
        <v>1353</v>
      </c>
      <c r="Q96" s="25" t="s">
        <v>1354</v>
      </c>
      <c r="R96" s="25" t="s">
        <v>1355</v>
      </c>
    </row>
    <row r="97">
      <c r="A97" s="24" t="s">
        <v>21</v>
      </c>
      <c r="B97" s="24" t="s">
        <v>153</v>
      </c>
      <c r="C97" s="24">
        <v>8.0</v>
      </c>
      <c r="D97" s="24" t="s">
        <v>1231</v>
      </c>
      <c r="E97" s="24">
        <v>16.0</v>
      </c>
      <c r="F97" s="24" t="s">
        <v>1168</v>
      </c>
      <c r="G97" s="24" t="s">
        <v>1261</v>
      </c>
      <c r="H97" s="24" t="s">
        <v>1398</v>
      </c>
      <c r="I97" s="24" t="s">
        <v>1375</v>
      </c>
      <c r="J97" s="24" t="s">
        <v>1376</v>
      </c>
      <c r="K97" s="24" t="s">
        <v>1377</v>
      </c>
      <c r="L97" s="24" t="s">
        <v>1378</v>
      </c>
      <c r="M97" s="25" t="s">
        <v>1203</v>
      </c>
      <c r="N97" s="25" t="s">
        <v>1192</v>
      </c>
      <c r="O97" s="25" t="s">
        <v>1204</v>
      </c>
      <c r="P97" s="27" t="s">
        <v>1409</v>
      </c>
      <c r="Q97" s="25" t="s">
        <v>1410</v>
      </c>
      <c r="R97" s="25" t="s">
        <v>1413</v>
      </c>
    </row>
    <row r="98">
      <c r="A98" s="24" t="s">
        <v>21</v>
      </c>
      <c r="B98" s="24" t="s">
        <v>264</v>
      </c>
      <c r="C98" s="24">
        <v>1.0</v>
      </c>
      <c r="D98" s="24" t="s">
        <v>1154</v>
      </c>
      <c r="E98" s="24">
        <v>1.0</v>
      </c>
      <c r="F98" s="24" t="s">
        <v>1155</v>
      </c>
      <c r="G98" s="24" t="s">
        <v>1273</v>
      </c>
      <c r="H98" s="24" t="s">
        <v>1415</v>
      </c>
      <c r="I98" s="24" t="s">
        <v>1416</v>
      </c>
      <c r="J98" s="24" t="s">
        <v>1417</v>
      </c>
      <c r="K98" s="24" t="s">
        <v>1418</v>
      </c>
      <c r="L98" s="24" t="s">
        <v>1419</v>
      </c>
      <c r="M98" s="25" t="s">
        <v>1420</v>
      </c>
      <c r="N98" s="25" t="s">
        <v>1163</v>
      </c>
      <c r="O98" s="25" t="s">
        <v>1421</v>
      </c>
      <c r="P98" s="28" t="s">
        <v>1353</v>
      </c>
      <c r="Q98" s="25" t="s">
        <v>1354</v>
      </c>
      <c r="R98" s="25" t="s">
        <v>1355</v>
      </c>
    </row>
    <row r="99">
      <c r="A99" s="24" t="s">
        <v>21</v>
      </c>
      <c r="B99" s="24" t="s">
        <v>264</v>
      </c>
      <c r="C99" s="24">
        <v>1.0</v>
      </c>
      <c r="D99" s="24" t="s">
        <v>1154</v>
      </c>
      <c r="E99" s="24">
        <v>2.0</v>
      </c>
      <c r="F99" s="24" t="s">
        <v>1168</v>
      </c>
      <c r="G99" s="24" t="s">
        <v>1273</v>
      </c>
      <c r="H99" s="24" t="s">
        <v>1415</v>
      </c>
      <c r="I99" s="24" t="s">
        <v>1416</v>
      </c>
      <c r="J99" s="24" t="s">
        <v>1417</v>
      </c>
      <c r="K99" s="24" t="s">
        <v>1418</v>
      </c>
      <c r="L99" s="24" t="s">
        <v>1419</v>
      </c>
      <c r="M99" s="25" t="s">
        <v>1422</v>
      </c>
      <c r="N99" s="25" t="s">
        <v>1214</v>
      </c>
      <c r="O99" s="25" t="s">
        <v>1423</v>
      </c>
      <c r="P99" s="25" t="s">
        <v>1216</v>
      </c>
      <c r="Q99" s="25" t="s">
        <v>1217</v>
      </c>
      <c r="R99" s="25" t="s">
        <v>1218</v>
      </c>
    </row>
    <row r="100">
      <c r="A100" s="24" t="s">
        <v>21</v>
      </c>
      <c r="B100" s="24" t="s">
        <v>264</v>
      </c>
      <c r="C100" s="24">
        <v>2.0</v>
      </c>
      <c r="D100" s="24" t="s">
        <v>1174</v>
      </c>
      <c r="E100" s="24">
        <v>3.0</v>
      </c>
      <c r="F100" s="24" t="s">
        <v>1155</v>
      </c>
      <c r="G100" s="24" t="s">
        <v>1273</v>
      </c>
      <c r="H100" s="24" t="s">
        <v>1415</v>
      </c>
      <c r="I100" s="24" t="s">
        <v>1416</v>
      </c>
      <c r="J100" s="24" t="s">
        <v>1417</v>
      </c>
      <c r="K100" s="24" t="s">
        <v>1418</v>
      </c>
      <c r="L100" s="24" t="s">
        <v>1419</v>
      </c>
      <c r="M100" s="25" t="s">
        <v>1424</v>
      </c>
      <c r="N100" s="25" t="s">
        <v>1163</v>
      </c>
      <c r="O100" s="25" t="s">
        <v>1425</v>
      </c>
      <c r="P100" s="28" t="s">
        <v>1353</v>
      </c>
      <c r="Q100" s="25" t="s">
        <v>1354</v>
      </c>
      <c r="R100" s="25" t="s">
        <v>1355</v>
      </c>
    </row>
    <row r="101">
      <c r="A101" s="24" t="s">
        <v>21</v>
      </c>
      <c r="B101" s="24" t="s">
        <v>264</v>
      </c>
      <c r="C101" s="24">
        <v>2.0</v>
      </c>
      <c r="D101" s="24" t="s">
        <v>1174</v>
      </c>
      <c r="E101" s="24">
        <v>4.0</v>
      </c>
      <c r="F101" s="24" t="s">
        <v>1168</v>
      </c>
      <c r="G101" s="24" t="s">
        <v>1273</v>
      </c>
      <c r="H101" s="24" t="s">
        <v>1415</v>
      </c>
      <c r="I101" s="24" t="s">
        <v>1416</v>
      </c>
      <c r="J101" s="24" t="s">
        <v>1417</v>
      </c>
      <c r="K101" s="24" t="s">
        <v>1418</v>
      </c>
      <c r="L101" s="24" t="s">
        <v>1419</v>
      </c>
      <c r="M101" s="25" t="s">
        <v>1426</v>
      </c>
      <c r="N101" s="25" t="s">
        <v>1214</v>
      </c>
      <c r="O101" s="25" t="s">
        <v>1427</v>
      </c>
      <c r="P101" s="25" t="s">
        <v>1216</v>
      </c>
      <c r="Q101" s="25" t="s">
        <v>1217</v>
      </c>
      <c r="R101" s="25" t="s">
        <v>1218</v>
      </c>
    </row>
    <row r="102">
      <c r="A102" s="24" t="s">
        <v>21</v>
      </c>
      <c r="B102" s="24" t="s">
        <v>264</v>
      </c>
      <c r="C102" s="24">
        <v>3.0</v>
      </c>
      <c r="D102" s="24" t="s">
        <v>1185</v>
      </c>
      <c r="E102" s="24">
        <v>5.0</v>
      </c>
      <c r="F102" s="24" t="s">
        <v>1155</v>
      </c>
      <c r="G102" s="24" t="s">
        <v>1273</v>
      </c>
      <c r="H102" s="24" t="s">
        <v>1415</v>
      </c>
      <c r="I102" s="24" t="s">
        <v>1416</v>
      </c>
      <c r="J102" s="24" t="s">
        <v>1417</v>
      </c>
      <c r="K102" s="24" t="s">
        <v>1418</v>
      </c>
      <c r="L102" s="24" t="s">
        <v>1419</v>
      </c>
      <c r="M102" s="25" t="s">
        <v>1428</v>
      </c>
      <c r="N102" s="25" t="s">
        <v>1163</v>
      </c>
      <c r="O102" s="25" t="s">
        <v>1429</v>
      </c>
      <c r="P102" s="28" t="s">
        <v>1353</v>
      </c>
      <c r="Q102" s="25" t="s">
        <v>1354</v>
      </c>
      <c r="R102" s="25" t="s">
        <v>1355</v>
      </c>
    </row>
    <row r="103">
      <c r="A103" s="24" t="s">
        <v>21</v>
      </c>
      <c r="B103" s="24" t="s">
        <v>264</v>
      </c>
      <c r="C103" s="24">
        <v>3.0</v>
      </c>
      <c r="D103" s="24" t="s">
        <v>1185</v>
      </c>
      <c r="E103" s="24">
        <v>6.0</v>
      </c>
      <c r="F103" s="24" t="s">
        <v>1168</v>
      </c>
      <c r="G103" s="24" t="s">
        <v>1273</v>
      </c>
      <c r="H103" s="24" t="s">
        <v>1415</v>
      </c>
      <c r="I103" s="24" t="s">
        <v>1416</v>
      </c>
      <c r="J103" s="24" t="s">
        <v>1417</v>
      </c>
      <c r="K103" s="24" t="s">
        <v>1418</v>
      </c>
      <c r="L103" s="24" t="s">
        <v>1419</v>
      </c>
      <c r="M103" s="27" t="s">
        <v>1191</v>
      </c>
      <c r="N103" s="25" t="s">
        <v>1192</v>
      </c>
      <c r="O103" s="25" t="s">
        <v>1256</v>
      </c>
      <c r="P103" s="25" t="s">
        <v>1216</v>
      </c>
      <c r="Q103" s="25" t="s">
        <v>1217</v>
      </c>
      <c r="R103" s="25" t="s">
        <v>1218</v>
      </c>
    </row>
    <row r="104">
      <c r="A104" s="24" t="s">
        <v>21</v>
      </c>
      <c r="B104" s="24" t="s">
        <v>264</v>
      </c>
      <c r="C104" s="24">
        <v>4.0</v>
      </c>
      <c r="D104" s="24" t="s">
        <v>1356</v>
      </c>
      <c r="E104" s="24">
        <v>7.0</v>
      </c>
      <c r="F104" s="24" t="s">
        <v>1155</v>
      </c>
      <c r="G104" s="24" t="s">
        <v>1273</v>
      </c>
      <c r="H104" s="24" t="s">
        <v>1415</v>
      </c>
      <c r="I104" s="24" t="s">
        <v>1416</v>
      </c>
      <c r="J104" s="24" t="s">
        <v>1417</v>
      </c>
      <c r="K104" s="24" t="s">
        <v>1418</v>
      </c>
      <c r="L104" s="24" t="s">
        <v>1419</v>
      </c>
      <c r="M104" s="25" t="s">
        <v>1430</v>
      </c>
      <c r="N104" s="25" t="s">
        <v>1163</v>
      </c>
      <c r="O104" s="25" t="s">
        <v>1431</v>
      </c>
      <c r="P104" s="28" t="s">
        <v>1353</v>
      </c>
      <c r="Q104" s="25" t="s">
        <v>1354</v>
      </c>
      <c r="R104" s="25" t="s">
        <v>1355</v>
      </c>
    </row>
    <row r="105">
      <c r="A105" s="24" t="s">
        <v>21</v>
      </c>
      <c r="B105" s="24" t="s">
        <v>264</v>
      </c>
      <c r="C105" s="24">
        <v>4.0</v>
      </c>
      <c r="D105" s="24" t="s">
        <v>1356</v>
      </c>
      <c r="E105" s="24">
        <v>8.0</v>
      </c>
      <c r="F105" s="24" t="s">
        <v>1168</v>
      </c>
      <c r="G105" s="24" t="s">
        <v>1273</v>
      </c>
      <c r="H105" s="24" t="s">
        <v>1415</v>
      </c>
      <c r="I105" s="24" t="s">
        <v>1416</v>
      </c>
      <c r="J105" s="24" t="s">
        <v>1417</v>
      </c>
      <c r="K105" s="24" t="s">
        <v>1418</v>
      </c>
      <c r="L105" s="24" t="s">
        <v>1419</v>
      </c>
      <c r="M105" s="25" t="s">
        <v>1203</v>
      </c>
      <c r="N105" s="25" t="s">
        <v>1192</v>
      </c>
      <c r="O105" s="25" t="s">
        <v>1204</v>
      </c>
      <c r="P105" s="27" t="s">
        <v>1216</v>
      </c>
      <c r="Q105" s="25" t="s">
        <v>1217</v>
      </c>
      <c r="R105" s="25" t="s">
        <v>1218</v>
      </c>
    </row>
    <row r="106">
      <c r="A106" s="24" t="s">
        <v>21</v>
      </c>
      <c r="B106" s="24" t="s">
        <v>264</v>
      </c>
      <c r="C106" s="24">
        <v>5.0</v>
      </c>
      <c r="D106" s="24" t="s">
        <v>1208</v>
      </c>
      <c r="E106" s="24">
        <v>9.0</v>
      </c>
      <c r="F106" s="24" t="s">
        <v>1155</v>
      </c>
      <c r="G106" s="24" t="s">
        <v>1295</v>
      </c>
      <c r="H106" s="24" t="s">
        <v>1432</v>
      </c>
      <c r="I106" s="24" t="s">
        <v>1416</v>
      </c>
      <c r="J106" s="24" t="s">
        <v>1417</v>
      </c>
      <c r="K106" s="24" t="s">
        <v>1418</v>
      </c>
      <c r="L106" s="24" t="s">
        <v>1419</v>
      </c>
      <c r="M106" s="25" t="s">
        <v>1433</v>
      </c>
      <c r="N106" s="25" t="s">
        <v>1163</v>
      </c>
      <c r="O106" s="25" t="s">
        <v>1434</v>
      </c>
      <c r="P106" s="28" t="s">
        <v>1353</v>
      </c>
      <c r="Q106" s="25" t="s">
        <v>1354</v>
      </c>
      <c r="R106" s="25" t="s">
        <v>1355</v>
      </c>
    </row>
    <row r="107">
      <c r="A107" s="24" t="s">
        <v>21</v>
      </c>
      <c r="B107" s="24" t="s">
        <v>264</v>
      </c>
      <c r="C107" s="24">
        <v>5.0</v>
      </c>
      <c r="D107" s="24" t="s">
        <v>1208</v>
      </c>
      <c r="E107" s="24">
        <v>10.0</v>
      </c>
      <c r="F107" s="24" t="s">
        <v>1168</v>
      </c>
      <c r="G107" s="24" t="s">
        <v>1295</v>
      </c>
      <c r="H107" s="24" t="s">
        <v>1432</v>
      </c>
      <c r="I107" s="24" t="s">
        <v>1416</v>
      </c>
      <c r="J107" s="24" t="s">
        <v>1417</v>
      </c>
      <c r="K107" s="24" t="s">
        <v>1418</v>
      </c>
      <c r="L107" s="24" t="s">
        <v>1419</v>
      </c>
      <c r="M107" s="25" t="s">
        <v>1435</v>
      </c>
      <c r="N107" s="25" t="s">
        <v>1214</v>
      </c>
      <c r="O107" s="25" t="s">
        <v>1436</v>
      </c>
      <c r="P107" s="25" t="s">
        <v>1437</v>
      </c>
      <c r="Q107" s="25" t="s">
        <v>1438</v>
      </c>
      <c r="R107" s="25" t="s">
        <v>1439</v>
      </c>
    </row>
    <row r="108">
      <c r="A108" s="24" t="s">
        <v>21</v>
      </c>
      <c r="B108" s="24" t="s">
        <v>264</v>
      </c>
      <c r="C108" s="24">
        <v>6.0</v>
      </c>
      <c r="D108" s="24" t="s">
        <v>1174</v>
      </c>
      <c r="E108" s="24">
        <v>11.0</v>
      </c>
      <c r="F108" s="24" t="s">
        <v>1155</v>
      </c>
      <c r="G108" s="24" t="s">
        <v>1295</v>
      </c>
      <c r="H108" s="24" t="s">
        <v>1432</v>
      </c>
      <c r="I108" s="24" t="s">
        <v>1416</v>
      </c>
      <c r="J108" s="24" t="s">
        <v>1417</v>
      </c>
      <c r="K108" s="24" t="s">
        <v>1418</v>
      </c>
      <c r="L108" s="24" t="s">
        <v>1419</v>
      </c>
      <c r="M108" s="25" t="s">
        <v>1405</v>
      </c>
      <c r="N108" s="25" t="s">
        <v>1163</v>
      </c>
      <c r="O108" s="25" t="s">
        <v>1440</v>
      </c>
      <c r="P108" s="28" t="s">
        <v>1353</v>
      </c>
      <c r="Q108" s="25" t="s">
        <v>1354</v>
      </c>
      <c r="R108" s="25" t="s">
        <v>1355</v>
      </c>
    </row>
    <row r="109">
      <c r="A109" s="24" t="s">
        <v>21</v>
      </c>
      <c r="B109" s="24" t="s">
        <v>264</v>
      </c>
      <c r="C109" s="24">
        <v>6.0</v>
      </c>
      <c r="D109" s="24" t="s">
        <v>1174</v>
      </c>
      <c r="E109" s="24">
        <v>12.0</v>
      </c>
      <c r="F109" s="24" t="s">
        <v>1168</v>
      </c>
      <c r="G109" s="24" t="s">
        <v>1295</v>
      </c>
      <c r="H109" s="24" t="s">
        <v>1432</v>
      </c>
      <c r="I109" s="24" t="s">
        <v>1416</v>
      </c>
      <c r="J109" s="24" t="s">
        <v>1417</v>
      </c>
      <c r="K109" s="24" t="s">
        <v>1418</v>
      </c>
      <c r="L109" s="24" t="s">
        <v>1419</v>
      </c>
      <c r="M109" s="25" t="s">
        <v>1441</v>
      </c>
      <c r="N109" s="25" t="s">
        <v>1214</v>
      </c>
      <c r="O109" s="25" t="s">
        <v>1442</v>
      </c>
      <c r="P109" s="25" t="s">
        <v>1443</v>
      </c>
      <c r="Q109" s="25" t="s">
        <v>1444</v>
      </c>
      <c r="R109" s="25" t="s">
        <v>1445</v>
      </c>
    </row>
    <row r="110">
      <c r="A110" s="24" t="s">
        <v>21</v>
      </c>
      <c r="B110" s="24" t="s">
        <v>264</v>
      </c>
      <c r="C110" s="24">
        <v>7.0</v>
      </c>
      <c r="D110" s="24" t="s">
        <v>1227</v>
      </c>
      <c r="E110" s="24">
        <v>13.0</v>
      </c>
      <c r="F110" s="24" t="s">
        <v>1155</v>
      </c>
      <c r="G110" s="24" t="s">
        <v>1295</v>
      </c>
      <c r="H110" s="24" t="s">
        <v>1432</v>
      </c>
      <c r="I110" s="24" t="s">
        <v>1416</v>
      </c>
      <c r="J110" s="24" t="s">
        <v>1417</v>
      </c>
      <c r="K110" s="24" t="s">
        <v>1418</v>
      </c>
      <c r="L110" s="24" t="s">
        <v>1419</v>
      </c>
      <c r="M110" s="25" t="s">
        <v>1405</v>
      </c>
      <c r="N110" s="25" t="s">
        <v>1163</v>
      </c>
      <c r="O110" s="25" t="s">
        <v>1446</v>
      </c>
      <c r="P110" s="28" t="s">
        <v>1353</v>
      </c>
      <c r="Q110" s="25" t="s">
        <v>1354</v>
      </c>
      <c r="R110" s="25" t="s">
        <v>1355</v>
      </c>
    </row>
    <row r="111">
      <c r="A111" s="24" t="s">
        <v>21</v>
      </c>
      <c r="B111" s="24" t="s">
        <v>264</v>
      </c>
      <c r="C111" s="24">
        <v>7.0</v>
      </c>
      <c r="D111" s="24" t="s">
        <v>1227</v>
      </c>
      <c r="E111" s="24">
        <v>14.0</v>
      </c>
      <c r="F111" s="24" t="s">
        <v>1168</v>
      </c>
      <c r="G111" s="24" t="s">
        <v>1295</v>
      </c>
      <c r="H111" s="24" t="s">
        <v>1432</v>
      </c>
      <c r="I111" s="24" t="s">
        <v>1416</v>
      </c>
      <c r="J111" s="24" t="s">
        <v>1417</v>
      </c>
      <c r="K111" s="24" t="s">
        <v>1418</v>
      </c>
      <c r="L111" s="24" t="s">
        <v>1419</v>
      </c>
      <c r="M111" s="27" t="s">
        <v>1191</v>
      </c>
      <c r="N111" s="25" t="s">
        <v>1192</v>
      </c>
      <c r="O111" s="25" t="s">
        <v>1447</v>
      </c>
      <c r="P111" s="25" t="s">
        <v>1443</v>
      </c>
      <c r="Q111" s="25" t="s">
        <v>1448</v>
      </c>
      <c r="R111" s="25" t="s">
        <v>1449</v>
      </c>
    </row>
    <row r="112">
      <c r="A112" s="24" t="s">
        <v>21</v>
      </c>
      <c r="B112" s="24" t="s">
        <v>264</v>
      </c>
      <c r="C112" s="24">
        <v>8.0</v>
      </c>
      <c r="D112" s="24" t="s">
        <v>1231</v>
      </c>
      <c r="E112" s="24">
        <v>15.0</v>
      </c>
      <c r="F112" s="24" t="s">
        <v>1155</v>
      </c>
      <c r="G112" s="24" t="s">
        <v>1295</v>
      </c>
      <c r="H112" s="24" t="s">
        <v>1432</v>
      </c>
      <c r="I112" s="24" t="s">
        <v>1416</v>
      </c>
      <c r="J112" s="24" t="s">
        <v>1417</v>
      </c>
      <c r="K112" s="24" t="s">
        <v>1418</v>
      </c>
      <c r="L112" s="24" t="s">
        <v>1419</v>
      </c>
      <c r="M112" s="25" t="s">
        <v>1372</v>
      </c>
      <c r="N112" s="25" t="s">
        <v>1163</v>
      </c>
      <c r="O112" s="25" t="s">
        <v>1450</v>
      </c>
      <c r="P112" s="28" t="s">
        <v>1353</v>
      </c>
      <c r="Q112" s="25" t="s">
        <v>1354</v>
      </c>
      <c r="R112" s="25" t="s">
        <v>1355</v>
      </c>
    </row>
    <row r="113">
      <c r="A113" s="24" t="s">
        <v>21</v>
      </c>
      <c r="B113" s="24" t="s">
        <v>264</v>
      </c>
      <c r="C113" s="24">
        <v>8.0</v>
      </c>
      <c r="D113" s="24" t="s">
        <v>1231</v>
      </c>
      <c r="E113" s="24">
        <v>16.0</v>
      </c>
      <c r="F113" s="24" t="s">
        <v>1168</v>
      </c>
      <c r="G113" s="24" t="s">
        <v>1295</v>
      </c>
      <c r="H113" s="24" t="s">
        <v>1432</v>
      </c>
      <c r="I113" s="24" t="s">
        <v>1416</v>
      </c>
      <c r="J113" s="24" t="s">
        <v>1417</v>
      </c>
      <c r="K113" s="24" t="s">
        <v>1418</v>
      </c>
      <c r="L113" s="24" t="s">
        <v>1419</v>
      </c>
      <c r="M113" s="25" t="s">
        <v>1203</v>
      </c>
      <c r="N113" s="25" t="s">
        <v>1192</v>
      </c>
      <c r="O113" s="25" t="s">
        <v>1204</v>
      </c>
      <c r="P113" s="27" t="s">
        <v>1216</v>
      </c>
      <c r="Q113" s="25" t="s">
        <v>1206</v>
      </c>
      <c r="R113" s="25" t="s">
        <v>1207</v>
      </c>
    </row>
    <row r="114">
      <c r="A114" s="24" t="s">
        <v>21</v>
      </c>
      <c r="B114" s="24" t="s">
        <v>313</v>
      </c>
      <c r="C114" s="24">
        <v>1.0</v>
      </c>
      <c r="D114" s="24" t="s">
        <v>1154</v>
      </c>
      <c r="E114" s="24">
        <v>1.0</v>
      </c>
      <c r="F114" s="24" t="s">
        <v>1155</v>
      </c>
      <c r="G114" s="24" t="s">
        <v>1305</v>
      </c>
      <c r="H114" s="24" t="s">
        <v>1451</v>
      </c>
      <c r="I114" s="24" t="s">
        <v>1452</v>
      </c>
      <c r="J114" s="24" t="s">
        <v>1453</v>
      </c>
      <c r="K114" s="24" t="s">
        <v>1454</v>
      </c>
      <c r="L114" s="24" t="s">
        <v>1455</v>
      </c>
      <c r="M114" s="25" t="s">
        <v>1456</v>
      </c>
      <c r="N114" s="25" t="s">
        <v>1163</v>
      </c>
      <c r="O114" s="25" t="s">
        <v>1457</v>
      </c>
      <c r="P114" s="28" t="s">
        <v>1353</v>
      </c>
      <c r="Q114" s="25" t="s">
        <v>1354</v>
      </c>
      <c r="R114" s="25" t="s">
        <v>1355</v>
      </c>
    </row>
    <row r="115">
      <c r="A115" s="24" t="s">
        <v>21</v>
      </c>
      <c r="B115" s="24" t="s">
        <v>313</v>
      </c>
      <c r="C115" s="24">
        <v>1.0</v>
      </c>
      <c r="D115" s="24" t="s">
        <v>1154</v>
      </c>
      <c r="E115" s="24">
        <v>2.0</v>
      </c>
      <c r="F115" s="24" t="s">
        <v>1168</v>
      </c>
      <c r="G115" s="24" t="s">
        <v>1305</v>
      </c>
      <c r="H115" s="24" t="s">
        <v>1451</v>
      </c>
      <c r="I115" s="24" t="s">
        <v>1452</v>
      </c>
      <c r="J115" s="24" t="s">
        <v>1453</v>
      </c>
      <c r="K115" s="24" t="s">
        <v>1454</v>
      </c>
      <c r="L115" s="24" t="s">
        <v>1455</v>
      </c>
      <c r="M115" s="25" t="s">
        <v>1458</v>
      </c>
      <c r="N115" s="25" t="s">
        <v>1214</v>
      </c>
      <c r="O115" s="25" t="s">
        <v>1459</v>
      </c>
      <c r="P115" s="27" t="s">
        <v>1216</v>
      </c>
      <c r="Q115" s="25" t="s">
        <v>1217</v>
      </c>
      <c r="R115" s="25" t="s">
        <v>1218</v>
      </c>
    </row>
    <row r="116">
      <c r="A116" s="24" t="s">
        <v>21</v>
      </c>
      <c r="B116" s="24" t="s">
        <v>313</v>
      </c>
      <c r="C116" s="24">
        <v>2.0</v>
      </c>
      <c r="D116" s="24" t="s">
        <v>1174</v>
      </c>
      <c r="E116" s="24">
        <v>3.0</v>
      </c>
      <c r="F116" s="24" t="s">
        <v>1155</v>
      </c>
      <c r="G116" s="24" t="s">
        <v>1305</v>
      </c>
      <c r="H116" s="24" t="s">
        <v>1451</v>
      </c>
      <c r="I116" s="24" t="s">
        <v>1452</v>
      </c>
      <c r="J116" s="24" t="s">
        <v>1453</v>
      </c>
      <c r="K116" s="24" t="s">
        <v>1454</v>
      </c>
      <c r="L116" s="24" t="s">
        <v>1455</v>
      </c>
      <c r="M116" s="27" t="s">
        <v>1228</v>
      </c>
      <c r="N116" s="25" t="s">
        <v>1163</v>
      </c>
      <c r="O116" s="25" t="s">
        <v>1460</v>
      </c>
      <c r="P116" s="28" t="s">
        <v>1353</v>
      </c>
      <c r="Q116" s="25" t="s">
        <v>1354</v>
      </c>
      <c r="R116" s="25" t="s">
        <v>1355</v>
      </c>
    </row>
    <row r="117">
      <c r="A117" s="24" t="s">
        <v>21</v>
      </c>
      <c r="B117" s="24" t="s">
        <v>313</v>
      </c>
      <c r="C117" s="24">
        <v>2.0</v>
      </c>
      <c r="D117" s="24" t="s">
        <v>1174</v>
      </c>
      <c r="E117" s="24">
        <v>4.0</v>
      </c>
      <c r="F117" s="24" t="s">
        <v>1168</v>
      </c>
      <c r="G117" s="24" t="s">
        <v>1305</v>
      </c>
      <c r="H117" s="24" t="s">
        <v>1451</v>
      </c>
      <c r="I117" s="24" t="s">
        <v>1452</v>
      </c>
      <c r="J117" s="24" t="s">
        <v>1453</v>
      </c>
      <c r="K117" s="24" t="s">
        <v>1454</v>
      </c>
      <c r="L117" s="24" t="s">
        <v>1455</v>
      </c>
      <c r="M117" s="27" t="s">
        <v>1461</v>
      </c>
      <c r="N117" s="25" t="s">
        <v>1214</v>
      </c>
      <c r="O117" s="25" t="s">
        <v>1462</v>
      </c>
      <c r="P117" s="25" t="s">
        <v>1216</v>
      </c>
      <c r="Q117" s="25" t="s">
        <v>1217</v>
      </c>
      <c r="R117" s="25" t="s">
        <v>1218</v>
      </c>
    </row>
    <row r="118">
      <c r="A118" s="24" t="s">
        <v>21</v>
      </c>
      <c r="B118" s="24" t="s">
        <v>313</v>
      </c>
      <c r="C118" s="24">
        <v>3.0</v>
      </c>
      <c r="D118" s="24" t="s">
        <v>1185</v>
      </c>
      <c r="E118" s="24">
        <v>5.0</v>
      </c>
      <c r="F118" s="24" t="s">
        <v>1155</v>
      </c>
      <c r="G118" s="24" t="s">
        <v>1305</v>
      </c>
      <c r="H118" s="24" t="s">
        <v>1451</v>
      </c>
      <c r="I118" s="24" t="s">
        <v>1452</v>
      </c>
      <c r="J118" s="24" t="s">
        <v>1453</v>
      </c>
      <c r="K118" s="24" t="s">
        <v>1454</v>
      </c>
      <c r="L118" s="24" t="s">
        <v>1455</v>
      </c>
      <c r="M118" s="25" t="s">
        <v>1463</v>
      </c>
      <c r="N118" s="25" t="s">
        <v>1163</v>
      </c>
      <c r="O118" s="25" t="s">
        <v>1464</v>
      </c>
      <c r="P118" s="28" t="s">
        <v>1353</v>
      </c>
      <c r="Q118" s="25" t="s">
        <v>1354</v>
      </c>
      <c r="R118" s="25" t="s">
        <v>1355</v>
      </c>
    </row>
    <row r="119">
      <c r="A119" s="24" t="s">
        <v>21</v>
      </c>
      <c r="B119" s="24" t="s">
        <v>313</v>
      </c>
      <c r="C119" s="24">
        <v>3.0</v>
      </c>
      <c r="D119" s="24" t="s">
        <v>1185</v>
      </c>
      <c r="E119" s="24">
        <v>6.0</v>
      </c>
      <c r="F119" s="24" t="s">
        <v>1168</v>
      </c>
      <c r="G119" s="24" t="s">
        <v>1305</v>
      </c>
      <c r="H119" s="24" t="s">
        <v>1451</v>
      </c>
      <c r="I119" s="24" t="s">
        <v>1452</v>
      </c>
      <c r="J119" s="24" t="s">
        <v>1453</v>
      </c>
      <c r="K119" s="24" t="s">
        <v>1454</v>
      </c>
      <c r="L119" s="24" t="s">
        <v>1455</v>
      </c>
      <c r="M119" s="27" t="s">
        <v>1191</v>
      </c>
      <c r="N119" s="25" t="s">
        <v>1192</v>
      </c>
      <c r="O119" s="25" t="s">
        <v>1256</v>
      </c>
      <c r="P119" s="25" t="s">
        <v>1216</v>
      </c>
      <c r="Q119" s="25" t="s">
        <v>1217</v>
      </c>
      <c r="R119" s="25" t="s">
        <v>1218</v>
      </c>
    </row>
    <row r="120">
      <c r="A120" s="24" t="s">
        <v>21</v>
      </c>
      <c r="B120" s="24" t="s">
        <v>313</v>
      </c>
      <c r="C120" s="24">
        <v>4.0</v>
      </c>
      <c r="D120" s="24" t="s">
        <v>1356</v>
      </c>
      <c r="E120" s="24">
        <v>7.0</v>
      </c>
      <c r="F120" s="24" t="s">
        <v>1155</v>
      </c>
      <c r="G120" s="24" t="s">
        <v>1305</v>
      </c>
      <c r="H120" s="24" t="s">
        <v>1451</v>
      </c>
      <c r="I120" s="24" t="s">
        <v>1452</v>
      </c>
      <c r="J120" s="24" t="s">
        <v>1453</v>
      </c>
      <c r="K120" s="24" t="s">
        <v>1454</v>
      </c>
      <c r="L120" s="24" t="s">
        <v>1455</v>
      </c>
      <c r="M120" s="25" t="s">
        <v>1228</v>
      </c>
      <c r="N120" s="25" t="s">
        <v>1163</v>
      </c>
      <c r="O120" s="25" t="s">
        <v>1465</v>
      </c>
      <c r="P120" s="28" t="s">
        <v>1353</v>
      </c>
      <c r="Q120" s="25" t="s">
        <v>1354</v>
      </c>
      <c r="R120" s="25" t="s">
        <v>1355</v>
      </c>
    </row>
    <row r="121">
      <c r="A121" s="24" t="s">
        <v>21</v>
      </c>
      <c r="B121" s="24" t="s">
        <v>313</v>
      </c>
      <c r="C121" s="24">
        <v>4.0</v>
      </c>
      <c r="D121" s="24" t="s">
        <v>1356</v>
      </c>
      <c r="E121" s="24">
        <v>8.0</v>
      </c>
      <c r="F121" s="24" t="s">
        <v>1168</v>
      </c>
      <c r="G121" s="24" t="s">
        <v>1305</v>
      </c>
      <c r="H121" s="24" t="s">
        <v>1451</v>
      </c>
      <c r="I121" s="24" t="s">
        <v>1452</v>
      </c>
      <c r="J121" s="24" t="s">
        <v>1453</v>
      </c>
      <c r="K121" s="24" t="s">
        <v>1454</v>
      </c>
      <c r="L121" s="24" t="s">
        <v>1455</v>
      </c>
      <c r="M121" s="25" t="s">
        <v>1203</v>
      </c>
      <c r="N121" s="25" t="s">
        <v>1192</v>
      </c>
      <c r="O121" s="25" t="s">
        <v>1204</v>
      </c>
      <c r="P121" s="27" t="s">
        <v>1216</v>
      </c>
      <c r="Q121" s="25" t="s">
        <v>1217</v>
      </c>
      <c r="R121" s="25" t="s">
        <v>1218</v>
      </c>
    </row>
    <row r="122">
      <c r="A122" s="24" t="s">
        <v>21</v>
      </c>
      <c r="B122" s="24" t="s">
        <v>313</v>
      </c>
      <c r="C122" s="24">
        <v>5.0</v>
      </c>
      <c r="D122" s="24" t="s">
        <v>1208</v>
      </c>
      <c r="E122" s="24">
        <v>9.0</v>
      </c>
      <c r="F122" s="24" t="s">
        <v>1155</v>
      </c>
      <c r="G122" s="24" t="s">
        <v>1322</v>
      </c>
      <c r="H122" s="24" t="s">
        <v>1466</v>
      </c>
      <c r="I122" s="24" t="s">
        <v>1452</v>
      </c>
      <c r="J122" s="24" t="s">
        <v>1453</v>
      </c>
      <c r="K122" s="24" t="s">
        <v>1454</v>
      </c>
      <c r="L122" s="24" t="s">
        <v>1455</v>
      </c>
      <c r="M122" s="25" t="s">
        <v>1467</v>
      </c>
      <c r="N122" s="25" t="s">
        <v>1163</v>
      </c>
      <c r="O122" s="25" t="s">
        <v>1244</v>
      </c>
      <c r="P122" s="28" t="s">
        <v>1165</v>
      </c>
      <c r="Q122" s="25" t="s">
        <v>1166</v>
      </c>
      <c r="R122" s="25" t="s">
        <v>1167</v>
      </c>
    </row>
    <row r="123">
      <c r="A123" s="24" t="s">
        <v>21</v>
      </c>
      <c r="B123" s="24" t="s">
        <v>313</v>
      </c>
      <c r="C123" s="24">
        <v>5.0</v>
      </c>
      <c r="D123" s="24" t="s">
        <v>1208</v>
      </c>
      <c r="E123" s="24">
        <v>10.0</v>
      </c>
      <c r="F123" s="24" t="s">
        <v>1168</v>
      </c>
      <c r="G123" s="24" t="s">
        <v>1322</v>
      </c>
      <c r="H123" s="24" t="s">
        <v>1466</v>
      </c>
      <c r="I123" s="24" t="s">
        <v>1452</v>
      </c>
      <c r="J123" s="24" t="s">
        <v>1453</v>
      </c>
      <c r="K123" s="24" t="s">
        <v>1454</v>
      </c>
      <c r="L123" s="24" t="s">
        <v>1455</v>
      </c>
      <c r="M123" s="25" t="s">
        <v>1381</v>
      </c>
      <c r="N123" s="25" t="s">
        <v>1214</v>
      </c>
      <c r="O123" s="25" t="s">
        <v>1246</v>
      </c>
      <c r="P123" s="25" t="s">
        <v>1216</v>
      </c>
      <c r="Q123" s="25" t="s">
        <v>1217</v>
      </c>
      <c r="R123" s="25" t="s">
        <v>1218</v>
      </c>
    </row>
    <row r="124">
      <c r="A124" s="24" t="s">
        <v>21</v>
      </c>
      <c r="B124" s="24" t="s">
        <v>313</v>
      </c>
      <c r="C124" s="24">
        <v>6.0</v>
      </c>
      <c r="D124" s="24" t="s">
        <v>1174</v>
      </c>
      <c r="E124" s="24">
        <v>11.0</v>
      </c>
      <c r="F124" s="24" t="s">
        <v>1155</v>
      </c>
      <c r="G124" s="24" t="s">
        <v>1322</v>
      </c>
      <c r="H124" s="24" t="s">
        <v>1466</v>
      </c>
      <c r="I124" s="24" t="s">
        <v>1452</v>
      </c>
      <c r="J124" s="24" t="s">
        <v>1453</v>
      </c>
      <c r="K124" s="24" t="s">
        <v>1454</v>
      </c>
      <c r="L124" s="24" t="s">
        <v>1455</v>
      </c>
      <c r="M124" s="27" t="s">
        <v>1228</v>
      </c>
      <c r="N124" s="25" t="s">
        <v>1163</v>
      </c>
      <c r="O124" s="25" t="s">
        <v>1248</v>
      </c>
      <c r="P124" s="28" t="s">
        <v>1222</v>
      </c>
      <c r="Q124" s="25" t="s">
        <v>1223</v>
      </c>
      <c r="R124" s="25" t="s">
        <v>1224</v>
      </c>
    </row>
    <row r="125">
      <c r="A125" s="24" t="s">
        <v>21</v>
      </c>
      <c r="B125" s="24" t="s">
        <v>313</v>
      </c>
      <c r="C125" s="24">
        <v>6.0</v>
      </c>
      <c r="D125" s="24" t="s">
        <v>1174</v>
      </c>
      <c r="E125" s="24">
        <v>12.0</v>
      </c>
      <c r="F125" s="24" t="s">
        <v>1168</v>
      </c>
      <c r="G125" s="24" t="s">
        <v>1322</v>
      </c>
      <c r="H125" s="24" t="s">
        <v>1466</v>
      </c>
      <c r="I125" s="24" t="s">
        <v>1452</v>
      </c>
      <c r="J125" s="24" t="s">
        <v>1453</v>
      </c>
      <c r="K125" s="24" t="s">
        <v>1454</v>
      </c>
      <c r="L125" s="24" t="s">
        <v>1455</v>
      </c>
      <c r="M125" s="27" t="s">
        <v>1461</v>
      </c>
      <c r="N125" s="25" t="s">
        <v>1214</v>
      </c>
      <c r="O125" s="25" t="s">
        <v>1468</v>
      </c>
      <c r="P125" s="25" t="s">
        <v>1251</v>
      </c>
      <c r="Q125" s="25" t="s">
        <v>1252</v>
      </c>
      <c r="R125" s="25" t="s">
        <v>1253</v>
      </c>
    </row>
    <row r="126">
      <c r="A126" s="24" t="s">
        <v>21</v>
      </c>
      <c r="B126" s="24" t="s">
        <v>313</v>
      </c>
      <c r="C126" s="24">
        <v>7.0</v>
      </c>
      <c r="D126" s="24" t="s">
        <v>1227</v>
      </c>
      <c r="E126" s="24">
        <v>13.0</v>
      </c>
      <c r="F126" s="24" t="s">
        <v>1155</v>
      </c>
      <c r="G126" s="24" t="s">
        <v>1322</v>
      </c>
      <c r="H126" s="24" t="s">
        <v>1466</v>
      </c>
      <c r="I126" s="24" t="s">
        <v>1452</v>
      </c>
      <c r="J126" s="24" t="s">
        <v>1453</v>
      </c>
      <c r="K126" s="24" t="s">
        <v>1454</v>
      </c>
      <c r="L126" s="24" t="s">
        <v>1455</v>
      </c>
      <c r="M126" s="25" t="s">
        <v>1463</v>
      </c>
      <c r="N126" s="25" t="s">
        <v>1163</v>
      </c>
      <c r="O126" s="25" t="s">
        <v>1255</v>
      </c>
      <c r="P126" s="28" t="s">
        <v>1222</v>
      </c>
      <c r="Q126" s="25" t="s">
        <v>1223</v>
      </c>
      <c r="R126" s="25" t="s">
        <v>1224</v>
      </c>
    </row>
    <row r="127">
      <c r="A127" s="24" t="s">
        <v>21</v>
      </c>
      <c r="B127" s="24" t="s">
        <v>313</v>
      </c>
      <c r="C127" s="24">
        <v>7.0</v>
      </c>
      <c r="D127" s="24" t="s">
        <v>1227</v>
      </c>
      <c r="E127" s="24">
        <v>14.0</v>
      </c>
      <c r="F127" s="24" t="s">
        <v>1168</v>
      </c>
      <c r="G127" s="24" t="s">
        <v>1322</v>
      </c>
      <c r="H127" s="24" t="s">
        <v>1466</v>
      </c>
      <c r="I127" s="24" t="s">
        <v>1452</v>
      </c>
      <c r="J127" s="24" t="s">
        <v>1453</v>
      </c>
      <c r="K127" s="24" t="s">
        <v>1454</v>
      </c>
      <c r="L127" s="24" t="s">
        <v>1455</v>
      </c>
      <c r="M127" s="27" t="s">
        <v>1191</v>
      </c>
      <c r="N127" s="25" t="s">
        <v>1192</v>
      </c>
      <c r="O127" s="25" t="s">
        <v>1256</v>
      </c>
      <c r="P127" s="25" t="s">
        <v>1469</v>
      </c>
      <c r="Q127" s="25" t="s">
        <v>1258</v>
      </c>
      <c r="R127" s="25" t="s">
        <v>1259</v>
      </c>
    </row>
    <row r="128">
      <c r="A128" s="24" t="s">
        <v>21</v>
      </c>
      <c r="B128" s="24" t="s">
        <v>313</v>
      </c>
      <c r="C128" s="24">
        <v>8.0</v>
      </c>
      <c r="D128" s="24" t="s">
        <v>1231</v>
      </c>
      <c r="E128" s="24">
        <v>15.0</v>
      </c>
      <c r="F128" s="24" t="s">
        <v>1168</v>
      </c>
      <c r="G128" s="24" t="s">
        <v>1322</v>
      </c>
      <c r="H128" s="24" t="s">
        <v>1466</v>
      </c>
      <c r="I128" s="24" t="s">
        <v>1452</v>
      </c>
      <c r="J128" s="24" t="s">
        <v>1453</v>
      </c>
      <c r="K128" s="24" t="s">
        <v>1454</v>
      </c>
      <c r="L128" s="24" t="s">
        <v>1455</v>
      </c>
      <c r="M128" s="25" t="s">
        <v>1228</v>
      </c>
      <c r="N128" s="25" t="s">
        <v>1192</v>
      </c>
      <c r="O128" s="25" t="s">
        <v>1255</v>
      </c>
      <c r="P128" s="27" t="s">
        <v>1222</v>
      </c>
      <c r="Q128" s="25" t="s">
        <v>1223</v>
      </c>
      <c r="R128" s="25" t="s">
        <v>1224</v>
      </c>
    </row>
    <row r="129">
      <c r="A129" s="24" t="s">
        <v>21</v>
      </c>
      <c r="B129" s="24" t="s">
        <v>313</v>
      </c>
      <c r="C129" s="24">
        <v>8.0</v>
      </c>
      <c r="D129" s="24" t="s">
        <v>1231</v>
      </c>
      <c r="E129" s="24">
        <v>16.0</v>
      </c>
      <c r="F129" s="24" t="s">
        <v>1155</v>
      </c>
      <c r="G129" s="24" t="s">
        <v>1322</v>
      </c>
      <c r="H129" s="24" t="s">
        <v>1466</v>
      </c>
      <c r="I129" s="24" t="s">
        <v>1452</v>
      </c>
      <c r="J129" s="24" t="s">
        <v>1453</v>
      </c>
      <c r="K129" s="24" t="s">
        <v>1454</v>
      </c>
      <c r="L129" s="24" t="s">
        <v>1455</v>
      </c>
      <c r="M129" s="25" t="s">
        <v>1203</v>
      </c>
      <c r="N129" s="25" t="s">
        <v>1214</v>
      </c>
      <c r="O129" s="25" t="s">
        <v>1204</v>
      </c>
      <c r="P129" s="25" t="s">
        <v>1216</v>
      </c>
      <c r="Q129" s="25" t="s">
        <v>1217</v>
      </c>
      <c r="R129" s="25" t="s">
        <v>1218</v>
      </c>
    </row>
    <row r="130">
      <c r="A130" s="24" t="s">
        <v>82</v>
      </c>
      <c r="B130" s="24" t="s">
        <v>22</v>
      </c>
      <c r="C130" s="24">
        <v>1.0</v>
      </c>
      <c r="D130" s="24" t="s">
        <v>1154</v>
      </c>
      <c r="E130" s="24">
        <v>1.0</v>
      </c>
      <c r="F130" s="24" t="s">
        <v>1155</v>
      </c>
      <c r="G130" s="24" t="s">
        <v>1156</v>
      </c>
      <c r="H130" s="24" t="s">
        <v>1470</v>
      </c>
      <c r="I130" s="24" t="s">
        <v>1471</v>
      </c>
      <c r="J130" s="24" t="s">
        <v>1472</v>
      </c>
      <c r="K130" s="24" t="s">
        <v>1473</v>
      </c>
      <c r="L130" s="24" t="s">
        <v>1474</v>
      </c>
      <c r="M130" s="25" t="s">
        <v>1475</v>
      </c>
      <c r="N130" s="25" t="s">
        <v>1163</v>
      </c>
      <c r="O130" s="25" t="s">
        <v>1476</v>
      </c>
      <c r="P130" s="25" t="s">
        <v>1353</v>
      </c>
      <c r="Q130" s="25" t="s">
        <v>1354</v>
      </c>
      <c r="R130" s="25" t="s">
        <v>1355</v>
      </c>
    </row>
    <row r="131">
      <c r="A131" s="24" t="s">
        <v>82</v>
      </c>
      <c r="B131" s="24" t="s">
        <v>22</v>
      </c>
      <c r="C131" s="24">
        <v>1.0</v>
      </c>
      <c r="D131" s="24" t="s">
        <v>1154</v>
      </c>
      <c r="E131" s="24">
        <v>2.0</v>
      </c>
      <c r="F131" s="24" t="s">
        <v>1168</v>
      </c>
      <c r="G131" s="24" t="s">
        <v>1156</v>
      </c>
      <c r="H131" s="24" t="s">
        <v>1470</v>
      </c>
      <c r="I131" s="24" t="s">
        <v>1471</v>
      </c>
      <c r="J131" s="24" t="s">
        <v>1472</v>
      </c>
      <c r="K131" s="24" t="s">
        <v>1473</v>
      </c>
      <c r="L131" s="24" t="s">
        <v>1474</v>
      </c>
      <c r="M131" s="25" t="s">
        <v>1477</v>
      </c>
      <c r="N131" s="25" t="s">
        <v>1163</v>
      </c>
      <c r="O131" s="25" t="s">
        <v>1478</v>
      </c>
      <c r="P131" s="25" t="s">
        <v>1479</v>
      </c>
      <c r="Q131" s="25" t="s">
        <v>1480</v>
      </c>
      <c r="R131" s="25" t="s">
        <v>1481</v>
      </c>
    </row>
    <row r="132">
      <c r="A132" s="24" t="s">
        <v>82</v>
      </c>
      <c r="B132" s="24" t="s">
        <v>22</v>
      </c>
      <c r="C132" s="24">
        <v>2.0</v>
      </c>
      <c r="D132" s="24" t="s">
        <v>1174</v>
      </c>
      <c r="E132" s="24">
        <v>3.0</v>
      </c>
      <c r="F132" s="24" t="s">
        <v>1155</v>
      </c>
      <c r="G132" s="24" t="s">
        <v>1156</v>
      </c>
      <c r="H132" s="24" t="s">
        <v>1470</v>
      </c>
      <c r="I132" s="24" t="s">
        <v>1471</v>
      </c>
      <c r="J132" s="24" t="s">
        <v>1472</v>
      </c>
      <c r="K132" s="24" t="s">
        <v>1473</v>
      </c>
      <c r="L132" s="24" t="s">
        <v>1474</v>
      </c>
      <c r="M132" s="25" t="s">
        <v>1482</v>
      </c>
      <c r="N132" s="25" t="s">
        <v>1163</v>
      </c>
      <c r="O132" s="25" t="s">
        <v>1483</v>
      </c>
      <c r="P132" s="25" t="s">
        <v>1479</v>
      </c>
      <c r="Q132" s="25" t="s">
        <v>1480</v>
      </c>
      <c r="R132" s="25" t="s">
        <v>1481</v>
      </c>
    </row>
    <row r="133">
      <c r="A133" s="24" t="s">
        <v>82</v>
      </c>
      <c r="B133" s="24" t="s">
        <v>22</v>
      </c>
      <c r="C133" s="24">
        <v>2.0</v>
      </c>
      <c r="D133" s="24" t="s">
        <v>1174</v>
      </c>
      <c r="E133" s="24">
        <v>4.0</v>
      </c>
      <c r="F133" s="24" t="s">
        <v>1168</v>
      </c>
      <c r="G133" s="24" t="s">
        <v>1156</v>
      </c>
      <c r="H133" s="24" t="s">
        <v>1470</v>
      </c>
      <c r="I133" s="24" t="s">
        <v>1471</v>
      </c>
      <c r="J133" s="24" t="s">
        <v>1472</v>
      </c>
      <c r="K133" s="24" t="s">
        <v>1473</v>
      </c>
      <c r="L133" s="24" t="s">
        <v>1474</v>
      </c>
      <c r="M133" s="25" t="s">
        <v>1484</v>
      </c>
      <c r="N133" s="25" t="s">
        <v>1214</v>
      </c>
      <c r="O133" s="25" t="s">
        <v>1485</v>
      </c>
      <c r="P133" s="25" t="s">
        <v>1479</v>
      </c>
      <c r="Q133" s="25" t="s">
        <v>1480</v>
      </c>
      <c r="R133" s="25" t="s">
        <v>1481</v>
      </c>
    </row>
    <row r="134">
      <c r="A134" s="24" t="s">
        <v>82</v>
      </c>
      <c r="B134" s="24" t="s">
        <v>22</v>
      </c>
      <c r="C134" s="24">
        <v>3.0</v>
      </c>
      <c r="D134" s="24" t="s">
        <v>1185</v>
      </c>
      <c r="E134" s="24">
        <v>5.0</v>
      </c>
      <c r="F134" s="24" t="s">
        <v>1155</v>
      </c>
      <c r="G134" s="26" t="s">
        <v>1156</v>
      </c>
      <c r="H134" s="24" t="s">
        <v>1470</v>
      </c>
      <c r="I134" s="24" t="s">
        <v>1471</v>
      </c>
      <c r="J134" s="24" t="s">
        <v>1472</v>
      </c>
      <c r="K134" s="24" t="s">
        <v>1473</v>
      </c>
      <c r="L134" s="24" t="s">
        <v>1474</v>
      </c>
      <c r="M134" s="27" t="s">
        <v>1486</v>
      </c>
      <c r="N134" s="25" t="s">
        <v>1163</v>
      </c>
      <c r="O134" s="25" t="s">
        <v>1487</v>
      </c>
      <c r="P134" s="28" t="s">
        <v>1479</v>
      </c>
      <c r="Q134" s="25" t="s">
        <v>1480</v>
      </c>
      <c r="R134" s="25" t="s">
        <v>1481</v>
      </c>
    </row>
    <row r="135">
      <c r="A135" s="24" t="s">
        <v>82</v>
      </c>
      <c r="B135" s="24" t="s">
        <v>22</v>
      </c>
      <c r="C135" s="24">
        <v>3.0</v>
      </c>
      <c r="D135" s="24" t="s">
        <v>1185</v>
      </c>
      <c r="E135" s="24">
        <v>6.0</v>
      </c>
      <c r="F135" s="24" t="s">
        <v>1168</v>
      </c>
      <c r="G135" s="26" t="s">
        <v>1156</v>
      </c>
      <c r="H135" s="24" t="s">
        <v>1470</v>
      </c>
      <c r="I135" s="24" t="s">
        <v>1471</v>
      </c>
      <c r="J135" s="24" t="s">
        <v>1472</v>
      </c>
      <c r="K135" s="24" t="s">
        <v>1473</v>
      </c>
      <c r="L135" s="24" t="s">
        <v>1474</v>
      </c>
      <c r="M135" s="27" t="s">
        <v>1191</v>
      </c>
      <c r="N135" s="25" t="s">
        <v>1192</v>
      </c>
      <c r="O135" s="25" t="s">
        <v>1488</v>
      </c>
      <c r="P135" s="27" t="s">
        <v>1489</v>
      </c>
      <c r="Q135" s="25" t="s">
        <v>1490</v>
      </c>
      <c r="R135" s="25" t="s">
        <v>1491</v>
      </c>
    </row>
    <row r="136">
      <c r="A136" s="24" t="s">
        <v>82</v>
      </c>
      <c r="B136" s="24" t="s">
        <v>22</v>
      </c>
      <c r="C136" s="24">
        <v>4.0</v>
      </c>
      <c r="D136" s="24" t="s">
        <v>1356</v>
      </c>
      <c r="E136" s="24">
        <v>7.0</v>
      </c>
      <c r="F136" s="24" t="s">
        <v>1155</v>
      </c>
      <c r="G136" s="24" t="s">
        <v>1156</v>
      </c>
      <c r="H136" s="24" t="s">
        <v>1470</v>
      </c>
      <c r="I136" s="24" t="s">
        <v>1471</v>
      </c>
      <c r="J136" s="24" t="s">
        <v>1472</v>
      </c>
      <c r="K136" s="24" t="s">
        <v>1473</v>
      </c>
      <c r="L136" s="24" t="s">
        <v>1474</v>
      </c>
      <c r="M136" s="25" t="s">
        <v>1492</v>
      </c>
      <c r="N136" s="25" t="s">
        <v>1163</v>
      </c>
      <c r="O136" s="25" t="s">
        <v>1493</v>
      </c>
      <c r="P136" s="28" t="s">
        <v>1479</v>
      </c>
      <c r="Q136" s="25" t="s">
        <v>1480</v>
      </c>
      <c r="R136" s="25" t="s">
        <v>1481</v>
      </c>
    </row>
    <row r="137">
      <c r="A137" s="24" t="s">
        <v>82</v>
      </c>
      <c r="B137" s="24" t="s">
        <v>22</v>
      </c>
      <c r="C137" s="24">
        <v>4.0</v>
      </c>
      <c r="D137" s="24" t="s">
        <v>1356</v>
      </c>
      <c r="E137" s="24">
        <v>8.0</v>
      </c>
      <c r="F137" s="24" t="s">
        <v>1168</v>
      </c>
      <c r="G137" s="24" t="s">
        <v>1156</v>
      </c>
      <c r="H137" s="24" t="s">
        <v>1470</v>
      </c>
      <c r="I137" s="24" t="s">
        <v>1471</v>
      </c>
      <c r="J137" s="24" t="s">
        <v>1472</v>
      </c>
      <c r="K137" s="24" t="s">
        <v>1473</v>
      </c>
      <c r="L137" s="24" t="s">
        <v>1474</v>
      </c>
      <c r="M137" s="25" t="s">
        <v>1203</v>
      </c>
      <c r="N137" s="25" t="s">
        <v>1192</v>
      </c>
      <c r="O137" s="25" t="s">
        <v>1204</v>
      </c>
      <c r="P137" s="27" t="s">
        <v>1494</v>
      </c>
      <c r="Q137" s="25" t="s">
        <v>1495</v>
      </c>
      <c r="R137" s="25" t="s">
        <v>1496</v>
      </c>
    </row>
    <row r="138">
      <c r="A138" s="24" t="s">
        <v>82</v>
      </c>
      <c r="B138" s="24" t="s">
        <v>22</v>
      </c>
      <c r="C138" s="24">
        <v>5.0</v>
      </c>
      <c r="D138" s="24" t="s">
        <v>1208</v>
      </c>
      <c r="E138" s="24">
        <v>9.0</v>
      </c>
      <c r="F138" s="24" t="s">
        <v>1155</v>
      </c>
      <c r="G138" s="24" t="s">
        <v>1209</v>
      </c>
      <c r="H138" s="24" t="s">
        <v>1497</v>
      </c>
      <c r="I138" s="24" t="s">
        <v>1471</v>
      </c>
      <c r="J138" s="24" t="s">
        <v>1472</v>
      </c>
      <c r="K138" s="24" t="s">
        <v>1473</v>
      </c>
      <c r="L138" s="24" t="s">
        <v>1474</v>
      </c>
      <c r="M138" s="25" t="s">
        <v>1498</v>
      </c>
      <c r="N138" s="25" t="s">
        <v>1163</v>
      </c>
      <c r="O138" s="25" t="s">
        <v>1499</v>
      </c>
      <c r="P138" s="28" t="s">
        <v>1165</v>
      </c>
      <c r="Q138" s="25" t="s">
        <v>1166</v>
      </c>
      <c r="R138" s="25" t="s">
        <v>1167</v>
      </c>
    </row>
    <row r="139">
      <c r="A139" s="24" t="s">
        <v>82</v>
      </c>
      <c r="B139" s="24" t="s">
        <v>22</v>
      </c>
      <c r="C139" s="24">
        <v>5.0</v>
      </c>
      <c r="D139" s="24" t="s">
        <v>1208</v>
      </c>
      <c r="E139" s="24">
        <v>10.0</v>
      </c>
      <c r="F139" s="24" t="s">
        <v>1168</v>
      </c>
      <c r="G139" s="24" t="s">
        <v>1209</v>
      </c>
      <c r="H139" s="24" t="s">
        <v>1497</v>
      </c>
      <c r="I139" s="24" t="s">
        <v>1471</v>
      </c>
      <c r="J139" s="24" t="s">
        <v>1472</v>
      </c>
      <c r="K139" s="24" t="s">
        <v>1473</v>
      </c>
      <c r="L139" s="24" t="s">
        <v>1474</v>
      </c>
      <c r="M139" s="25" t="s">
        <v>1500</v>
      </c>
      <c r="N139" s="25" t="s">
        <v>1214</v>
      </c>
      <c r="O139" s="25" t="s">
        <v>1501</v>
      </c>
      <c r="P139" s="27" t="s">
        <v>1502</v>
      </c>
      <c r="Q139" s="25" t="s">
        <v>1503</v>
      </c>
      <c r="R139" s="25" t="s">
        <v>1504</v>
      </c>
    </row>
    <row r="140">
      <c r="A140" s="24" t="s">
        <v>82</v>
      </c>
      <c r="B140" s="24" t="s">
        <v>22</v>
      </c>
      <c r="C140" s="24">
        <v>6.0</v>
      </c>
      <c r="D140" s="24" t="s">
        <v>1174</v>
      </c>
      <c r="E140" s="24">
        <v>11.0</v>
      </c>
      <c r="F140" s="24" t="s">
        <v>1155</v>
      </c>
      <c r="G140" s="26" t="s">
        <v>1209</v>
      </c>
      <c r="H140" s="24" t="s">
        <v>1497</v>
      </c>
      <c r="I140" s="24" t="s">
        <v>1471</v>
      </c>
      <c r="J140" s="24" t="s">
        <v>1472</v>
      </c>
      <c r="K140" s="24" t="s">
        <v>1473</v>
      </c>
      <c r="L140" s="24" t="s">
        <v>1474</v>
      </c>
      <c r="M140" s="27" t="s">
        <v>1505</v>
      </c>
      <c r="N140" s="25" t="s">
        <v>1163</v>
      </c>
      <c r="O140" s="25" t="s">
        <v>1506</v>
      </c>
      <c r="P140" s="28" t="s">
        <v>1507</v>
      </c>
      <c r="Q140" s="25" t="s">
        <v>1508</v>
      </c>
      <c r="R140" s="25" t="s">
        <v>1509</v>
      </c>
    </row>
    <row r="141">
      <c r="A141" s="24" t="s">
        <v>82</v>
      </c>
      <c r="B141" s="24" t="s">
        <v>22</v>
      </c>
      <c r="C141" s="24">
        <v>6.0</v>
      </c>
      <c r="D141" s="24" t="s">
        <v>1174</v>
      </c>
      <c r="E141" s="24">
        <v>12.0</v>
      </c>
      <c r="F141" s="24" t="s">
        <v>1168</v>
      </c>
      <c r="G141" s="26" t="s">
        <v>1209</v>
      </c>
      <c r="H141" s="24" t="s">
        <v>1497</v>
      </c>
      <c r="I141" s="24" t="s">
        <v>1471</v>
      </c>
      <c r="J141" s="24" t="s">
        <v>1472</v>
      </c>
      <c r="K141" s="24" t="s">
        <v>1473</v>
      </c>
      <c r="L141" s="24" t="s">
        <v>1474</v>
      </c>
      <c r="M141" s="27" t="s">
        <v>1388</v>
      </c>
      <c r="N141" s="25" t="s">
        <v>1214</v>
      </c>
      <c r="O141" s="25" t="s">
        <v>1389</v>
      </c>
      <c r="P141" s="27" t="s">
        <v>1502</v>
      </c>
      <c r="Q141" s="25" t="s">
        <v>1503</v>
      </c>
      <c r="R141" s="25" t="s">
        <v>1504</v>
      </c>
    </row>
    <row r="142">
      <c r="A142" s="24" t="s">
        <v>82</v>
      </c>
      <c r="B142" s="24" t="s">
        <v>22</v>
      </c>
      <c r="C142" s="24">
        <v>7.0</v>
      </c>
      <c r="D142" s="24" t="s">
        <v>1227</v>
      </c>
      <c r="E142" s="24">
        <v>13.0</v>
      </c>
      <c r="F142" s="24" t="s">
        <v>1155</v>
      </c>
      <c r="G142" s="24" t="s">
        <v>1209</v>
      </c>
      <c r="H142" s="24" t="s">
        <v>1497</v>
      </c>
      <c r="I142" s="24" t="s">
        <v>1471</v>
      </c>
      <c r="J142" s="24" t="s">
        <v>1472</v>
      </c>
      <c r="K142" s="24" t="s">
        <v>1473</v>
      </c>
      <c r="L142" s="24" t="s">
        <v>1474</v>
      </c>
      <c r="M142" s="25" t="s">
        <v>1510</v>
      </c>
      <c r="N142" s="25" t="s">
        <v>1163</v>
      </c>
      <c r="O142" s="25" t="s">
        <v>1511</v>
      </c>
      <c r="P142" s="28" t="s">
        <v>1507</v>
      </c>
      <c r="Q142" s="25" t="s">
        <v>1508</v>
      </c>
      <c r="R142" s="25" t="s">
        <v>1509</v>
      </c>
    </row>
    <row r="143">
      <c r="A143" s="24" t="s">
        <v>82</v>
      </c>
      <c r="B143" s="24" t="s">
        <v>22</v>
      </c>
      <c r="C143" s="24">
        <v>7.0</v>
      </c>
      <c r="D143" s="24" t="s">
        <v>1227</v>
      </c>
      <c r="E143" s="24">
        <v>14.0</v>
      </c>
      <c r="F143" s="24" t="s">
        <v>1168</v>
      </c>
      <c r="G143" s="24" t="s">
        <v>1209</v>
      </c>
      <c r="H143" s="24" t="s">
        <v>1497</v>
      </c>
      <c r="I143" s="24" t="s">
        <v>1471</v>
      </c>
      <c r="J143" s="24" t="s">
        <v>1472</v>
      </c>
      <c r="K143" s="24" t="s">
        <v>1473</v>
      </c>
      <c r="L143" s="24" t="s">
        <v>1474</v>
      </c>
      <c r="M143" s="27" t="s">
        <v>1191</v>
      </c>
      <c r="N143" s="25" t="s">
        <v>1192</v>
      </c>
      <c r="O143" s="25" t="s">
        <v>1193</v>
      </c>
      <c r="P143" s="27" t="s">
        <v>1502</v>
      </c>
      <c r="Q143" s="25" t="s">
        <v>1503</v>
      </c>
      <c r="R143" s="25" t="s">
        <v>1504</v>
      </c>
    </row>
    <row r="144">
      <c r="A144" s="24" t="s">
        <v>82</v>
      </c>
      <c r="B144" s="24" t="s">
        <v>22</v>
      </c>
      <c r="C144" s="24">
        <v>8.0</v>
      </c>
      <c r="D144" s="24" t="s">
        <v>1231</v>
      </c>
      <c r="E144" s="24">
        <v>15.0</v>
      </c>
      <c r="F144" s="24" t="s">
        <v>1155</v>
      </c>
      <c r="G144" s="24" t="s">
        <v>1209</v>
      </c>
      <c r="H144" s="24" t="s">
        <v>1497</v>
      </c>
      <c r="I144" s="24" t="s">
        <v>1471</v>
      </c>
      <c r="J144" s="24" t="s">
        <v>1472</v>
      </c>
      <c r="K144" s="24" t="s">
        <v>1473</v>
      </c>
      <c r="L144" s="24" t="s">
        <v>1474</v>
      </c>
      <c r="M144" s="25" t="s">
        <v>1512</v>
      </c>
      <c r="N144" s="25" t="s">
        <v>1163</v>
      </c>
      <c r="O144" s="25" t="s">
        <v>1513</v>
      </c>
      <c r="P144" s="28" t="s">
        <v>1514</v>
      </c>
      <c r="Q144" s="25" t="s">
        <v>1235</v>
      </c>
      <c r="R144" s="25" t="s">
        <v>1236</v>
      </c>
    </row>
    <row r="145">
      <c r="A145" s="24" t="s">
        <v>82</v>
      </c>
      <c r="B145" s="24" t="s">
        <v>22</v>
      </c>
      <c r="C145" s="24">
        <v>8.0</v>
      </c>
      <c r="D145" s="24" t="s">
        <v>1231</v>
      </c>
      <c r="E145" s="24">
        <v>16.0</v>
      </c>
      <c r="F145" s="24" t="s">
        <v>1168</v>
      </c>
      <c r="G145" s="24" t="s">
        <v>1209</v>
      </c>
      <c r="H145" s="24" t="s">
        <v>1497</v>
      </c>
      <c r="I145" s="24" t="s">
        <v>1471</v>
      </c>
      <c r="J145" s="24" t="s">
        <v>1472</v>
      </c>
      <c r="K145" s="24" t="s">
        <v>1473</v>
      </c>
      <c r="L145" s="24" t="s">
        <v>1474</v>
      </c>
      <c r="M145" s="25" t="s">
        <v>1203</v>
      </c>
      <c r="N145" s="25" t="s">
        <v>1192</v>
      </c>
      <c r="O145" s="25" t="s">
        <v>1204</v>
      </c>
      <c r="P145" s="27" t="s">
        <v>1502</v>
      </c>
      <c r="Q145" s="25" t="s">
        <v>1503</v>
      </c>
      <c r="R145" s="25" t="s">
        <v>1504</v>
      </c>
    </row>
    <row r="146">
      <c r="A146" s="24" t="s">
        <v>82</v>
      </c>
      <c r="B146" s="24" t="s">
        <v>153</v>
      </c>
      <c r="C146" s="24">
        <v>1.0</v>
      </c>
      <c r="D146" s="24" t="s">
        <v>1154</v>
      </c>
      <c r="E146" s="24">
        <v>1.0</v>
      </c>
      <c r="F146" s="24" t="s">
        <v>1155</v>
      </c>
      <c r="G146" s="24" t="s">
        <v>1237</v>
      </c>
      <c r="H146" s="24" t="s">
        <v>1515</v>
      </c>
      <c r="I146" s="24" t="s">
        <v>1516</v>
      </c>
      <c r="J146" s="24" t="s">
        <v>1517</v>
      </c>
      <c r="K146" s="24" t="s">
        <v>1518</v>
      </c>
      <c r="L146" s="24" t="s">
        <v>1519</v>
      </c>
      <c r="M146" s="25" t="s">
        <v>1520</v>
      </c>
      <c r="N146" s="25" t="s">
        <v>1163</v>
      </c>
      <c r="O146" s="25" t="s">
        <v>1521</v>
      </c>
      <c r="P146" s="25" t="s">
        <v>1353</v>
      </c>
      <c r="Q146" s="25" t="s">
        <v>1354</v>
      </c>
      <c r="R146" s="25" t="s">
        <v>1355</v>
      </c>
    </row>
    <row r="147">
      <c r="A147" s="24" t="s">
        <v>82</v>
      </c>
      <c r="B147" s="24" t="s">
        <v>153</v>
      </c>
      <c r="C147" s="24">
        <v>1.0</v>
      </c>
      <c r="D147" s="24" t="s">
        <v>1154</v>
      </c>
      <c r="E147" s="24">
        <v>2.0</v>
      </c>
      <c r="F147" s="24" t="s">
        <v>1168</v>
      </c>
      <c r="G147" s="24" t="s">
        <v>1237</v>
      </c>
      <c r="H147" s="24" t="s">
        <v>1515</v>
      </c>
      <c r="I147" s="24" t="s">
        <v>1516</v>
      </c>
      <c r="J147" s="24" t="s">
        <v>1517</v>
      </c>
      <c r="K147" s="24" t="s">
        <v>1518</v>
      </c>
      <c r="L147" s="24" t="s">
        <v>1519</v>
      </c>
      <c r="M147" s="25" t="s">
        <v>1458</v>
      </c>
      <c r="N147" s="25" t="s">
        <v>1163</v>
      </c>
      <c r="O147" s="25" t="s">
        <v>1522</v>
      </c>
      <c r="P147" s="25" t="s">
        <v>1502</v>
      </c>
      <c r="Q147" s="25" t="s">
        <v>1503</v>
      </c>
      <c r="R147" s="25" t="s">
        <v>1504</v>
      </c>
    </row>
    <row r="148">
      <c r="A148" s="24" t="s">
        <v>82</v>
      </c>
      <c r="B148" s="24" t="s">
        <v>153</v>
      </c>
      <c r="C148" s="24">
        <v>2.0</v>
      </c>
      <c r="D148" s="24" t="s">
        <v>1174</v>
      </c>
      <c r="E148" s="24">
        <v>3.0</v>
      </c>
      <c r="F148" s="24" t="s">
        <v>1155</v>
      </c>
      <c r="G148" s="24" t="s">
        <v>1237</v>
      </c>
      <c r="H148" s="24" t="s">
        <v>1515</v>
      </c>
      <c r="I148" s="24" t="s">
        <v>1516</v>
      </c>
      <c r="J148" s="24" t="s">
        <v>1517</v>
      </c>
      <c r="K148" s="24" t="s">
        <v>1518</v>
      </c>
      <c r="L148" s="24" t="s">
        <v>1519</v>
      </c>
      <c r="M148" s="25" t="s">
        <v>1228</v>
      </c>
      <c r="N148" s="25" t="s">
        <v>1163</v>
      </c>
      <c r="O148" s="25" t="s">
        <v>1523</v>
      </c>
      <c r="P148" s="25" t="s">
        <v>1479</v>
      </c>
      <c r="Q148" s="25" t="s">
        <v>1480</v>
      </c>
      <c r="R148" s="25" t="s">
        <v>1481</v>
      </c>
    </row>
    <row r="149">
      <c r="A149" s="24" t="s">
        <v>82</v>
      </c>
      <c r="B149" s="24" t="s">
        <v>153</v>
      </c>
      <c r="C149" s="24">
        <v>2.0</v>
      </c>
      <c r="D149" s="24" t="s">
        <v>1174</v>
      </c>
      <c r="E149" s="24">
        <v>4.0</v>
      </c>
      <c r="F149" s="24" t="s">
        <v>1168</v>
      </c>
      <c r="G149" s="24" t="s">
        <v>1237</v>
      </c>
      <c r="H149" s="24" t="s">
        <v>1515</v>
      </c>
      <c r="I149" s="24" t="s">
        <v>1516</v>
      </c>
      <c r="J149" s="24" t="s">
        <v>1517</v>
      </c>
      <c r="K149" s="24" t="s">
        <v>1518</v>
      </c>
      <c r="L149" s="24" t="s">
        <v>1519</v>
      </c>
      <c r="M149" s="25" t="s">
        <v>1461</v>
      </c>
      <c r="N149" s="25" t="s">
        <v>1163</v>
      </c>
      <c r="O149" s="25" t="s">
        <v>1524</v>
      </c>
      <c r="P149" s="25" t="s">
        <v>1502</v>
      </c>
      <c r="Q149" s="25" t="s">
        <v>1503</v>
      </c>
      <c r="R149" s="25" t="s">
        <v>1504</v>
      </c>
    </row>
    <row r="150">
      <c r="A150" s="24" t="s">
        <v>82</v>
      </c>
      <c r="B150" s="24" t="s">
        <v>153</v>
      </c>
      <c r="C150" s="24">
        <v>3.0</v>
      </c>
      <c r="D150" s="24" t="s">
        <v>1185</v>
      </c>
      <c r="E150" s="24">
        <v>5.0</v>
      </c>
      <c r="F150" s="24" t="s">
        <v>1155</v>
      </c>
      <c r="G150" s="24" t="s">
        <v>1237</v>
      </c>
      <c r="H150" s="24" t="s">
        <v>1515</v>
      </c>
      <c r="I150" s="24" t="s">
        <v>1516</v>
      </c>
      <c r="J150" s="24" t="s">
        <v>1517</v>
      </c>
      <c r="K150" s="24" t="s">
        <v>1518</v>
      </c>
      <c r="L150" s="24" t="s">
        <v>1519</v>
      </c>
      <c r="M150" s="25" t="s">
        <v>1463</v>
      </c>
      <c r="N150" s="25" t="s">
        <v>1163</v>
      </c>
      <c r="O150" s="25" t="s">
        <v>1525</v>
      </c>
      <c r="P150" s="25" t="s">
        <v>1479</v>
      </c>
      <c r="Q150" s="25" t="s">
        <v>1480</v>
      </c>
      <c r="R150" s="25" t="s">
        <v>1481</v>
      </c>
    </row>
    <row r="151">
      <c r="A151" s="24" t="s">
        <v>82</v>
      </c>
      <c r="B151" s="24" t="s">
        <v>153</v>
      </c>
      <c r="C151" s="24">
        <v>3.0</v>
      </c>
      <c r="D151" s="24" t="s">
        <v>1185</v>
      </c>
      <c r="E151" s="24">
        <v>6.0</v>
      </c>
      <c r="F151" s="24" t="s">
        <v>1168</v>
      </c>
      <c r="G151" s="24" t="s">
        <v>1237</v>
      </c>
      <c r="H151" s="24" t="s">
        <v>1515</v>
      </c>
      <c r="I151" s="24" t="s">
        <v>1516</v>
      </c>
      <c r="J151" s="24" t="s">
        <v>1517</v>
      </c>
      <c r="K151" s="24" t="s">
        <v>1518</v>
      </c>
      <c r="L151" s="24" t="s">
        <v>1519</v>
      </c>
      <c r="M151" s="27" t="s">
        <v>1191</v>
      </c>
      <c r="N151" s="25" t="s">
        <v>1192</v>
      </c>
      <c r="O151" s="25" t="s">
        <v>1193</v>
      </c>
      <c r="P151" s="25" t="s">
        <v>1502</v>
      </c>
      <c r="Q151" s="25" t="s">
        <v>1503</v>
      </c>
      <c r="R151" s="25" t="s">
        <v>1504</v>
      </c>
    </row>
    <row r="152">
      <c r="A152" s="24" t="s">
        <v>82</v>
      </c>
      <c r="B152" s="24" t="s">
        <v>153</v>
      </c>
      <c r="C152" s="24">
        <v>4.0</v>
      </c>
      <c r="D152" s="24" t="s">
        <v>1356</v>
      </c>
      <c r="E152" s="24">
        <v>7.0</v>
      </c>
      <c r="F152" s="24" t="s">
        <v>1155</v>
      </c>
      <c r="G152" s="24" t="s">
        <v>1237</v>
      </c>
      <c r="H152" s="24" t="s">
        <v>1515</v>
      </c>
      <c r="I152" s="24" t="s">
        <v>1516</v>
      </c>
      <c r="J152" s="24" t="s">
        <v>1517</v>
      </c>
      <c r="K152" s="24" t="s">
        <v>1518</v>
      </c>
      <c r="L152" s="24" t="s">
        <v>1519</v>
      </c>
      <c r="M152" s="25" t="s">
        <v>1228</v>
      </c>
      <c r="N152" s="25" t="s">
        <v>1163</v>
      </c>
      <c r="O152" s="25" t="s">
        <v>1526</v>
      </c>
      <c r="P152" s="25" t="s">
        <v>1479</v>
      </c>
      <c r="Q152" s="25" t="s">
        <v>1480</v>
      </c>
      <c r="R152" s="25" t="s">
        <v>1481</v>
      </c>
    </row>
    <row r="153">
      <c r="A153" s="24" t="s">
        <v>82</v>
      </c>
      <c r="B153" s="24" t="s">
        <v>153</v>
      </c>
      <c r="C153" s="24">
        <v>4.0</v>
      </c>
      <c r="D153" s="24" t="s">
        <v>1356</v>
      </c>
      <c r="E153" s="24">
        <v>8.0</v>
      </c>
      <c r="F153" s="24" t="s">
        <v>1168</v>
      </c>
      <c r="G153" s="24" t="s">
        <v>1237</v>
      </c>
      <c r="H153" s="24" t="s">
        <v>1515</v>
      </c>
      <c r="I153" s="24" t="s">
        <v>1516</v>
      </c>
      <c r="J153" s="24" t="s">
        <v>1517</v>
      </c>
      <c r="K153" s="24" t="s">
        <v>1518</v>
      </c>
      <c r="L153" s="24" t="s">
        <v>1519</v>
      </c>
      <c r="M153" s="25" t="s">
        <v>1203</v>
      </c>
      <c r="N153" s="25" t="s">
        <v>1192</v>
      </c>
      <c r="O153" s="25" t="s">
        <v>1204</v>
      </c>
      <c r="P153" s="27" t="s">
        <v>1502</v>
      </c>
      <c r="Q153" s="25" t="s">
        <v>1503</v>
      </c>
      <c r="R153" s="25" t="s">
        <v>1504</v>
      </c>
    </row>
    <row r="154">
      <c r="A154" s="24" t="s">
        <v>82</v>
      </c>
      <c r="B154" s="24" t="s">
        <v>153</v>
      </c>
      <c r="C154" s="24">
        <v>5.0</v>
      </c>
      <c r="D154" s="24" t="s">
        <v>1208</v>
      </c>
      <c r="E154" s="24">
        <v>9.0</v>
      </c>
      <c r="F154" s="24" t="s">
        <v>1155</v>
      </c>
      <c r="G154" s="24" t="s">
        <v>1261</v>
      </c>
      <c r="H154" s="24" t="s">
        <v>1398</v>
      </c>
      <c r="I154" s="24" t="s">
        <v>1516</v>
      </c>
      <c r="J154" s="24" t="s">
        <v>1517</v>
      </c>
      <c r="K154" s="24" t="s">
        <v>1518</v>
      </c>
      <c r="L154" s="24" t="s">
        <v>1519</v>
      </c>
      <c r="M154" s="25" t="s">
        <v>1399</v>
      </c>
      <c r="N154" s="25" t="s">
        <v>1163</v>
      </c>
      <c r="O154" s="25" t="s">
        <v>1400</v>
      </c>
      <c r="P154" s="25" t="s">
        <v>1353</v>
      </c>
      <c r="Q154" s="25" t="s">
        <v>1354</v>
      </c>
      <c r="R154" s="25" t="s">
        <v>1355</v>
      </c>
    </row>
    <row r="155">
      <c r="A155" s="24" t="s">
        <v>82</v>
      </c>
      <c r="B155" s="24" t="s">
        <v>153</v>
      </c>
      <c r="C155" s="24">
        <v>5.0</v>
      </c>
      <c r="D155" s="24" t="s">
        <v>1208</v>
      </c>
      <c r="E155" s="24">
        <v>10.0</v>
      </c>
      <c r="F155" s="24" t="s">
        <v>1168</v>
      </c>
      <c r="G155" s="24" t="s">
        <v>1261</v>
      </c>
      <c r="H155" s="24" t="s">
        <v>1398</v>
      </c>
      <c r="I155" s="24" t="s">
        <v>1516</v>
      </c>
      <c r="J155" s="24" t="s">
        <v>1517</v>
      </c>
      <c r="K155" s="24" t="s">
        <v>1518</v>
      </c>
      <c r="L155" s="24" t="s">
        <v>1519</v>
      </c>
      <c r="M155" s="25" t="s">
        <v>1401</v>
      </c>
      <c r="N155" s="25" t="s">
        <v>1214</v>
      </c>
      <c r="O155" s="25" t="s">
        <v>1369</v>
      </c>
      <c r="P155" s="27" t="s">
        <v>1527</v>
      </c>
      <c r="Q155" s="25" t="s">
        <v>1528</v>
      </c>
      <c r="R155" s="25" t="s">
        <v>1529</v>
      </c>
    </row>
    <row r="156">
      <c r="A156" s="24" t="s">
        <v>82</v>
      </c>
      <c r="B156" s="24" t="s">
        <v>153</v>
      </c>
      <c r="C156" s="24">
        <v>6.0</v>
      </c>
      <c r="D156" s="24" t="s">
        <v>1174</v>
      </c>
      <c r="E156" s="24">
        <v>11.0</v>
      </c>
      <c r="F156" s="24" t="s">
        <v>1155</v>
      </c>
      <c r="G156" s="24" t="s">
        <v>1261</v>
      </c>
      <c r="H156" s="24" t="s">
        <v>1398</v>
      </c>
      <c r="I156" s="24" t="s">
        <v>1516</v>
      </c>
      <c r="J156" s="24" t="s">
        <v>1517</v>
      </c>
      <c r="K156" s="24" t="s">
        <v>1518</v>
      </c>
      <c r="L156" s="24" t="s">
        <v>1519</v>
      </c>
      <c r="M156" s="25" t="s">
        <v>1405</v>
      </c>
      <c r="N156" s="25" t="s">
        <v>1163</v>
      </c>
      <c r="O156" s="25" t="s">
        <v>1406</v>
      </c>
      <c r="P156" s="25" t="s">
        <v>1353</v>
      </c>
      <c r="Q156" s="25" t="s">
        <v>1354</v>
      </c>
      <c r="R156" s="25" t="s">
        <v>1355</v>
      </c>
    </row>
    <row r="157">
      <c r="A157" s="24" t="s">
        <v>82</v>
      </c>
      <c r="B157" s="24" t="s">
        <v>153</v>
      </c>
      <c r="C157" s="24">
        <v>6.0</v>
      </c>
      <c r="D157" s="24" t="s">
        <v>1174</v>
      </c>
      <c r="E157" s="24">
        <v>12.0</v>
      </c>
      <c r="F157" s="24" t="s">
        <v>1168</v>
      </c>
      <c r="G157" s="24" t="s">
        <v>1261</v>
      </c>
      <c r="H157" s="24" t="s">
        <v>1398</v>
      </c>
      <c r="I157" s="24" t="s">
        <v>1516</v>
      </c>
      <c r="J157" s="24" t="s">
        <v>1517</v>
      </c>
      <c r="K157" s="24" t="s">
        <v>1518</v>
      </c>
      <c r="L157" s="24" t="s">
        <v>1519</v>
      </c>
      <c r="M157" s="25" t="s">
        <v>1407</v>
      </c>
      <c r="N157" s="25" t="s">
        <v>1214</v>
      </c>
      <c r="O157" s="25" t="s">
        <v>1408</v>
      </c>
      <c r="P157" s="27" t="s">
        <v>1527</v>
      </c>
      <c r="Q157" s="25" t="s">
        <v>1528</v>
      </c>
      <c r="R157" s="25" t="s">
        <v>1529</v>
      </c>
    </row>
    <row r="158">
      <c r="A158" s="24" t="s">
        <v>82</v>
      </c>
      <c r="B158" s="24" t="s">
        <v>153</v>
      </c>
      <c r="C158" s="24">
        <v>7.0</v>
      </c>
      <c r="D158" s="24" t="s">
        <v>1227</v>
      </c>
      <c r="E158" s="24">
        <v>13.0</v>
      </c>
      <c r="F158" s="24" t="s">
        <v>1155</v>
      </c>
      <c r="G158" s="24" t="s">
        <v>1261</v>
      </c>
      <c r="H158" s="24" t="s">
        <v>1398</v>
      </c>
      <c r="I158" s="24" t="s">
        <v>1516</v>
      </c>
      <c r="J158" s="24" t="s">
        <v>1517</v>
      </c>
      <c r="K158" s="24" t="s">
        <v>1518</v>
      </c>
      <c r="L158" s="24" t="s">
        <v>1519</v>
      </c>
      <c r="M158" s="25" t="s">
        <v>1405</v>
      </c>
      <c r="N158" s="25" t="s">
        <v>1163</v>
      </c>
      <c r="O158" s="25" t="s">
        <v>1412</v>
      </c>
      <c r="P158" s="25" t="s">
        <v>1353</v>
      </c>
      <c r="Q158" s="25" t="s">
        <v>1354</v>
      </c>
      <c r="R158" s="25" t="s">
        <v>1355</v>
      </c>
    </row>
    <row r="159">
      <c r="A159" s="24" t="s">
        <v>82</v>
      </c>
      <c r="B159" s="24" t="s">
        <v>153</v>
      </c>
      <c r="C159" s="24">
        <v>7.0</v>
      </c>
      <c r="D159" s="24" t="s">
        <v>1227</v>
      </c>
      <c r="E159" s="24">
        <v>14.0</v>
      </c>
      <c r="F159" s="24" t="s">
        <v>1168</v>
      </c>
      <c r="G159" s="24" t="s">
        <v>1261</v>
      </c>
      <c r="H159" s="24" t="s">
        <v>1398</v>
      </c>
      <c r="I159" s="24" t="s">
        <v>1516</v>
      </c>
      <c r="J159" s="24" t="s">
        <v>1517</v>
      </c>
      <c r="K159" s="24" t="s">
        <v>1518</v>
      </c>
      <c r="L159" s="24" t="s">
        <v>1519</v>
      </c>
      <c r="M159" s="27" t="s">
        <v>1191</v>
      </c>
      <c r="N159" s="25" t="s">
        <v>1192</v>
      </c>
      <c r="O159" s="25" t="s">
        <v>1304</v>
      </c>
      <c r="P159" s="27" t="s">
        <v>1527</v>
      </c>
      <c r="Q159" s="25" t="s">
        <v>1528</v>
      </c>
      <c r="R159" s="25" t="s">
        <v>1529</v>
      </c>
    </row>
    <row r="160">
      <c r="A160" s="24" t="s">
        <v>82</v>
      </c>
      <c r="B160" s="24" t="s">
        <v>153</v>
      </c>
      <c r="C160" s="24">
        <v>8.0</v>
      </c>
      <c r="D160" s="24" t="s">
        <v>1231</v>
      </c>
      <c r="E160" s="24">
        <v>15.0</v>
      </c>
      <c r="F160" s="24" t="s">
        <v>1155</v>
      </c>
      <c r="G160" s="24" t="s">
        <v>1261</v>
      </c>
      <c r="H160" s="24" t="s">
        <v>1398</v>
      </c>
      <c r="I160" s="24" t="s">
        <v>1516</v>
      </c>
      <c r="J160" s="24" t="s">
        <v>1517</v>
      </c>
      <c r="K160" s="24" t="s">
        <v>1518</v>
      </c>
      <c r="L160" s="24" t="s">
        <v>1519</v>
      </c>
      <c r="M160" s="25" t="s">
        <v>1372</v>
      </c>
      <c r="N160" s="25" t="s">
        <v>1163</v>
      </c>
      <c r="O160" s="25" t="s">
        <v>1414</v>
      </c>
      <c r="P160" s="25" t="s">
        <v>1353</v>
      </c>
      <c r="Q160" s="25" t="s">
        <v>1354</v>
      </c>
      <c r="R160" s="25" t="s">
        <v>1355</v>
      </c>
    </row>
    <row r="161">
      <c r="A161" s="24" t="s">
        <v>82</v>
      </c>
      <c r="B161" s="24" t="s">
        <v>153</v>
      </c>
      <c r="C161" s="24">
        <v>8.0</v>
      </c>
      <c r="D161" s="24" t="s">
        <v>1231</v>
      </c>
      <c r="E161" s="24">
        <v>16.0</v>
      </c>
      <c r="F161" s="24" t="s">
        <v>1168</v>
      </c>
      <c r="G161" s="24" t="s">
        <v>1261</v>
      </c>
      <c r="H161" s="24" t="s">
        <v>1398</v>
      </c>
      <c r="I161" s="24" t="s">
        <v>1516</v>
      </c>
      <c r="J161" s="24" t="s">
        <v>1517</v>
      </c>
      <c r="K161" s="24" t="s">
        <v>1518</v>
      </c>
      <c r="L161" s="24" t="s">
        <v>1519</v>
      </c>
      <c r="M161" s="25" t="s">
        <v>1203</v>
      </c>
      <c r="N161" s="25" t="s">
        <v>1192</v>
      </c>
      <c r="O161" s="25" t="s">
        <v>1204</v>
      </c>
      <c r="P161" s="27" t="s">
        <v>1527</v>
      </c>
      <c r="Q161" s="25" t="s">
        <v>1528</v>
      </c>
      <c r="R161" s="25" t="s">
        <v>1529</v>
      </c>
    </row>
    <row r="162">
      <c r="A162" s="24" t="s">
        <v>82</v>
      </c>
      <c r="B162" s="24" t="s">
        <v>264</v>
      </c>
      <c r="C162" s="24">
        <v>1.0</v>
      </c>
      <c r="D162" s="24" t="s">
        <v>1154</v>
      </c>
      <c r="E162" s="24">
        <v>1.0</v>
      </c>
      <c r="F162" s="24" t="s">
        <v>1155</v>
      </c>
      <c r="G162" s="24" t="s">
        <v>1273</v>
      </c>
      <c r="H162" s="24" t="s">
        <v>1530</v>
      </c>
      <c r="I162" s="24" t="s">
        <v>1531</v>
      </c>
      <c r="J162" s="24" t="s">
        <v>1277</v>
      </c>
      <c r="K162" s="24" t="s">
        <v>1532</v>
      </c>
      <c r="L162" s="24" t="s">
        <v>1533</v>
      </c>
      <c r="M162" s="25" t="s">
        <v>1534</v>
      </c>
      <c r="N162" s="25" t="s">
        <v>1163</v>
      </c>
      <c r="O162" s="25" t="s">
        <v>1535</v>
      </c>
      <c r="P162" s="28" t="s">
        <v>1353</v>
      </c>
      <c r="Q162" s="25" t="s">
        <v>1354</v>
      </c>
      <c r="R162" s="25" t="s">
        <v>1355</v>
      </c>
    </row>
    <row r="163">
      <c r="A163" s="24" t="s">
        <v>82</v>
      </c>
      <c r="B163" s="24" t="s">
        <v>264</v>
      </c>
      <c r="C163" s="24">
        <v>1.0</v>
      </c>
      <c r="D163" s="24" t="s">
        <v>1154</v>
      </c>
      <c r="E163" s="24">
        <v>2.0</v>
      </c>
      <c r="F163" s="24" t="s">
        <v>1168</v>
      </c>
      <c r="G163" s="24" t="s">
        <v>1273</v>
      </c>
      <c r="H163" s="24" t="s">
        <v>1530</v>
      </c>
      <c r="I163" s="24" t="s">
        <v>1531</v>
      </c>
      <c r="J163" s="24" t="s">
        <v>1277</v>
      </c>
      <c r="K163" s="24" t="s">
        <v>1532</v>
      </c>
      <c r="L163" s="24" t="s">
        <v>1533</v>
      </c>
      <c r="M163" s="25" t="s">
        <v>1536</v>
      </c>
      <c r="N163" s="25" t="s">
        <v>1214</v>
      </c>
      <c r="O163" s="25" t="s">
        <v>1537</v>
      </c>
      <c r="P163" s="25" t="s">
        <v>1538</v>
      </c>
      <c r="Q163" s="25" t="s">
        <v>1539</v>
      </c>
      <c r="R163" s="25" t="s">
        <v>1540</v>
      </c>
    </row>
    <row r="164">
      <c r="A164" s="24" t="s">
        <v>82</v>
      </c>
      <c r="B164" s="24" t="s">
        <v>264</v>
      </c>
      <c r="C164" s="24">
        <v>2.0</v>
      </c>
      <c r="D164" s="24" t="s">
        <v>1174</v>
      </c>
      <c r="E164" s="24">
        <v>3.0</v>
      </c>
      <c r="F164" s="24" t="s">
        <v>1155</v>
      </c>
      <c r="G164" s="24" t="s">
        <v>1273</v>
      </c>
      <c r="H164" s="24" t="s">
        <v>1530</v>
      </c>
      <c r="I164" s="24" t="s">
        <v>1531</v>
      </c>
      <c r="J164" s="24" t="s">
        <v>1277</v>
      </c>
      <c r="K164" s="24" t="s">
        <v>1532</v>
      </c>
      <c r="L164" s="24" t="s">
        <v>1533</v>
      </c>
      <c r="M164" s="25" t="s">
        <v>1541</v>
      </c>
      <c r="N164" s="25" t="s">
        <v>1163</v>
      </c>
      <c r="O164" s="25" t="s">
        <v>1542</v>
      </c>
      <c r="P164" s="28" t="s">
        <v>1479</v>
      </c>
      <c r="Q164" s="25" t="s">
        <v>1480</v>
      </c>
      <c r="R164" s="25" t="s">
        <v>1481</v>
      </c>
    </row>
    <row r="165">
      <c r="A165" s="24" t="s">
        <v>82</v>
      </c>
      <c r="B165" s="24" t="s">
        <v>264</v>
      </c>
      <c r="C165" s="24">
        <v>2.0</v>
      </c>
      <c r="D165" s="24" t="s">
        <v>1174</v>
      </c>
      <c r="E165" s="24">
        <v>4.0</v>
      </c>
      <c r="F165" s="24" t="s">
        <v>1168</v>
      </c>
      <c r="G165" s="24" t="s">
        <v>1273</v>
      </c>
      <c r="H165" s="24" t="s">
        <v>1530</v>
      </c>
      <c r="I165" s="24" t="s">
        <v>1531</v>
      </c>
      <c r="J165" s="24" t="s">
        <v>1277</v>
      </c>
      <c r="K165" s="24" t="s">
        <v>1532</v>
      </c>
      <c r="L165" s="24" t="s">
        <v>1533</v>
      </c>
      <c r="M165" s="25" t="s">
        <v>1543</v>
      </c>
      <c r="N165" s="25" t="s">
        <v>1214</v>
      </c>
      <c r="O165" s="25" t="s">
        <v>1544</v>
      </c>
      <c r="P165" s="25" t="s">
        <v>1538</v>
      </c>
      <c r="Q165" s="25" t="s">
        <v>1539</v>
      </c>
      <c r="R165" s="25" t="s">
        <v>1540</v>
      </c>
    </row>
    <row r="166">
      <c r="A166" s="24" t="s">
        <v>82</v>
      </c>
      <c r="B166" s="24" t="s">
        <v>264</v>
      </c>
      <c r="C166" s="24">
        <v>3.0</v>
      </c>
      <c r="D166" s="24" t="s">
        <v>1185</v>
      </c>
      <c r="E166" s="24">
        <v>5.0</v>
      </c>
      <c r="F166" s="24" t="s">
        <v>1155</v>
      </c>
      <c r="G166" s="24" t="s">
        <v>1273</v>
      </c>
      <c r="H166" s="24" t="s">
        <v>1530</v>
      </c>
      <c r="I166" s="24" t="s">
        <v>1531</v>
      </c>
      <c r="J166" s="24" t="s">
        <v>1277</v>
      </c>
      <c r="K166" s="24" t="s">
        <v>1532</v>
      </c>
      <c r="L166" s="24" t="s">
        <v>1533</v>
      </c>
      <c r="M166" s="25" t="s">
        <v>1545</v>
      </c>
      <c r="N166" s="25" t="s">
        <v>1163</v>
      </c>
      <c r="O166" s="25" t="s">
        <v>1546</v>
      </c>
      <c r="P166" s="28" t="s">
        <v>1479</v>
      </c>
      <c r="Q166" s="25" t="s">
        <v>1480</v>
      </c>
      <c r="R166" s="25" t="s">
        <v>1481</v>
      </c>
    </row>
    <row r="167">
      <c r="A167" s="24" t="s">
        <v>82</v>
      </c>
      <c r="B167" s="24" t="s">
        <v>264</v>
      </c>
      <c r="C167" s="24">
        <v>3.0</v>
      </c>
      <c r="D167" s="24" t="s">
        <v>1185</v>
      </c>
      <c r="E167" s="24">
        <v>6.0</v>
      </c>
      <c r="F167" s="24" t="s">
        <v>1168</v>
      </c>
      <c r="G167" s="24" t="s">
        <v>1273</v>
      </c>
      <c r="H167" s="24" t="s">
        <v>1530</v>
      </c>
      <c r="I167" s="24" t="s">
        <v>1531</v>
      </c>
      <c r="J167" s="24" t="s">
        <v>1277</v>
      </c>
      <c r="K167" s="24" t="s">
        <v>1532</v>
      </c>
      <c r="L167" s="24" t="s">
        <v>1533</v>
      </c>
      <c r="M167" s="27" t="s">
        <v>1191</v>
      </c>
      <c r="N167" s="25" t="s">
        <v>1192</v>
      </c>
      <c r="O167" s="25" t="s">
        <v>1193</v>
      </c>
      <c r="P167" s="25" t="s">
        <v>1538</v>
      </c>
      <c r="Q167" s="25" t="s">
        <v>1539</v>
      </c>
      <c r="R167" s="25" t="s">
        <v>1540</v>
      </c>
    </row>
    <row r="168">
      <c r="A168" s="24" t="s">
        <v>82</v>
      </c>
      <c r="B168" s="24" t="s">
        <v>264</v>
      </c>
      <c r="C168" s="24">
        <v>4.0</v>
      </c>
      <c r="D168" s="24" t="s">
        <v>1356</v>
      </c>
      <c r="E168" s="24">
        <v>7.0</v>
      </c>
      <c r="F168" s="24" t="s">
        <v>1155</v>
      </c>
      <c r="G168" s="24" t="s">
        <v>1273</v>
      </c>
      <c r="H168" s="24" t="s">
        <v>1530</v>
      </c>
      <c r="I168" s="24" t="s">
        <v>1531</v>
      </c>
      <c r="J168" s="24" t="s">
        <v>1277</v>
      </c>
      <c r="K168" s="24" t="s">
        <v>1532</v>
      </c>
      <c r="L168" s="24" t="s">
        <v>1533</v>
      </c>
      <c r="M168" s="25" t="s">
        <v>1303</v>
      </c>
      <c r="N168" s="25" t="s">
        <v>1163</v>
      </c>
      <c r="O168" s="25" t="s">
        <v>1547</v>
      </c>
      <c r="P168" s="28" t="s">
        <v>1479</v>
      </c>
      <c r="Q168" s="25" t="s">
        <v>1480</v>
      </c>
      <c r="R168" s="25" t="s">
        <v>1481</v>
      </c>
    </row>
    <row r="169">
      <c r="A169" s="24" t="s">
        <v>82</v>
      </c>
      <c r="B169" s="24" t="s">
        <v>264</v>
      </c>
      <c r="C169" s="24">
        <v>4.0</v>
      </c>
      <c r="D169" s="24" t="s">
        <v>1356</v>
      </c>
      <c r="E169" s="24">
        <v>8.0</v>
      </c>
      <c r="F169" s="24" t="s">
        <v>1168</v>
      </c>
      <c r="G169" s="24" t="s">
        <v>1273</v>
      </c>
      <c r="H169" s="24" t="s">
        <v>1530</v>
      </c>
      <c r="I169" s="24" t="s">
        <v>1531</v>
      </c>
      <c r="J169" s="24" t="s">
        <v>1277</v>
      </c>
      <c r="K169" s="24" t="s">
        <v>1532</v>
      </c>
      <c r="L169" s="24" t="s">
        <v>1533</v>
      </c>
      <c r="M169" s="25" t="s">
        <v>1203</v>
      </c>
      <c r="N169" s="25" t="s">
        <v>1192</v>
      </c>
      <c r="O169" s="25" t="s">
        <v>1204</v>
      </c>
      <c r="P169" s="27" t="s">
        <v>1538</v>
      </c>
      <c r="Q169" s="25" t="s">
        <v>1539</v>
      </c>
      <c r="R169" s="25" t="s">
        <v>1540</v>
      </c>
    </row>
    <row r="170">
      <c r="A170" s="24" t="s">
        <v>82</v>
      </c>
      <c r="B170" s="24" t="s">
        <v>264</v>
      </c>
      <c r="C170" s="24">
        <v>5.0</v>
      </c>
      <c r="D170" s="24" t="s">
        <v>1208</v>
      </c>
      <c r="E170" s="24">
        <v>9.0</v>
      </c>
      <c r="F170" s="24" t="s">
        <v>1155</v>
      </c>
      <c r="G170" s="24" t="s">
        <v>1295</v>
      </c>
      <c r="H170" s="24" t="s">
        <v>1432</v>
      </c>
      <c r="I170" s="24" t="s">
        <v>1531</v>
      </c>
      <c r="J170" s="24" t="s">
        <v>1277</v>
      </c>
      <c r="K170" s="24" t="s">
        <v>1532</v>
      </c>
      <c r="L170" s="24" t="s">
        <v>1533</v>
      </c>
      <c r="M170" s="25" t="s">
        <v>1548</v>
      </c>
      <c r="N170" s="25" t="s">
        <v>1163</v>
      </c>
      <c r="O170" s="25" t="s">
        <v>1549</v>
      </c>
      <c r="P170" s="25" t="s">
        <v>1353</v>
      </c>
      <c r="Q170" s="25" t="s">
        <v>1354</v>
      </c>
      <c r="R170" s="25" t="s">
        <v>1355</v>
      </c>
    </row>
    <row r="171">
      <c r="A171" s="24" t="s">
        <v>82</v>
      </c>
      <c r="B171" s="24" t="s">
        <v>264</v>
      </c>
      <c r="C171" s="24">
        <v>5.0</v>
      </c>
      <c r="D171" s="24" t="s">
        <v>1208</v>
      </c>
      <c r="E171" s="24">
        <v>10.0</v>
      </c>
      <c r="F171" s="24" t="s">
        <v>1168</v>
      </c>
      <c r="G171" s="24" t="s">
        <v>1295</v>
      </c>
      <c r="H171" s="24" t="s">
        <v>1432</v>
      </c>
      <c r="I171" s="24" t="s">
        <v>1531</v>
      </c>
      <c r="J171" s="24" t="s">
        <v>1277</v>
      </c>
      <c r="K171" s="24" t="s">
        <v>1532</v>
      </c>
      <c r="L171" s="24" t="s">
        <v>1533</v>
      </c>
      <c r="M171" s="25" t="s">
        <v>1550</v>
      </c>
      <c r="N171" s="25" t="s">
        <v>1214</v>
      </c>
      <c r="O171" s="25" t="s">
        <v>1551</v>
      </c>
      <c r="P171" s="25" t="s">
        <v>1437</v>
      </c>
      <c r="Q171" s="25" t="s">
        <v>1438</v>
      </c>
      <c r="R171" s="25" t="s">
        <v>1439</v>
      </c>
    </row>
    <row r="172">
      <c r="A172" s="24" t="s">
        <v>82</v>
      </c>
      <c r="B172" s="24" t="s">
        <v>264</v>
      </c>
      <c r="C172" s="24">
        <v>6.0</v>
      </c>
      <c r="D172" s="24" t="s">
        <v>1174</v>
      </c>
      <c r="E172" s="24">
        <v>11.0</v>
      </c>
      <c r="F172" s="24" t="s">
        <v>1155</v>
      </c>
      <c r="G172" s="24" t="s">
        <v>1295</v>
      </c>
      <c r="H172" s="24" t="s">
        <v>1432</v>
      </c>
      <c r="I172" s="24" t="s">
        <v>1531</v>
      </c>
      <c r="J172" s="24" t="s">
        <v>1277</v>
      </c>
      <c r="K172" s="24" t="s">
        <v>1532</v>
      </c>
      <c r="L172" s="24" t="s">
        <v>1533</v>
      </c>
      <c r="M172" s="25" t="s">
        <v>1303</v>
      </c>
      <c r="N172" s="25" t="s">
        <v>1163</v>
      </c>
      <c r="O172" s="25" t="s">
        <v>1552</v>
      </c>
      <c r="P172" s="25" t="s">
        <v>1353</v>
      </c>
      <c r="Q172" s="25" t="s">
        <v>1354</v>
      </c>
      <c r="R172" s="25" t="s">
        <v>1355</v>
      </c>
    </row>
    <row r="173">
      <c r="A173" s="24" t="s">
        <v>82</v>
      </c>
      <c r="B173" s="24" t="s">
        <v>264</v>
      </c>
      <c r="C173" s="24">
        <v>6.0</v>
      </c>
      <c r="D173" s="24" t="s">
        <v>1174</v>
      </c>
      <c r="E173" s="24">
        <v>12.0</v>
      </c>
      <c r="F173" s="24" t="s">
        <v>1168</v>
      </c>
      <c r="G173" s="24" t="s">
        <v>1295</v>
      </c>
      <c r="H173" s="24" t="s">
        <v>1432</v>
      </c>
      <c r="I173" s="24" t="s">
        <v>1531</v>
      </c>
      <c r="J173" s="24" t="s">
        <v>1277</v>
      </c>
      <c r="K173" s="24" t="s">
        <v>1532</v>
      </c>
      <c r="L173" s="24" t="s">
        <v>1533</v>
      </c>
      <c r="M173" s="25" t="s">
        <v>1553</v>
      </c>
      <c r="N173" s="25" t="s">
        <v>1214</v>
      </c>
      <c r="O173" s="25" t="s">
        <v>1442</v>
      </c>
      <c r="P173" s="25" t="s">
        <v>1443</v>
      </c>
      <c r="Q173" s="25" t="s">
        <v>1444</v>
      </c>
      <c r="R173" s="25" t="s">
        <v>1445</v>
      </c>
    </row>
    <row r="174">
      <c r="A174" s="24" t="s">
        <v>82</v>
      </c>
      <c r="B174" s="24" t="s">
        <v>264</v>
      </c>
      <c r="C174" s="24">
        <v>7.0</v>
      </c>
      <c r="D174" s="24" t="s">
        <v>1227</v>
      </c>
      <c r="E174" s="24">
        <v>13.0</v>
      </c>
      <c r="F174" s="24" t="s">
        <v>1155</v>
      </c>
      <c r="G174" s="24" t="s">
        <v>1295</v>
      </c>
      <c r="H174" s="24" t="s">
        <v>1432</v>
      </c>
      <c r="I174" s="24" t="s">
        <v>1531</v>
      </c>
      <c r="J174" s="24" t="s">
        <v>1277</v>
      </c>
      <c r="K174" s="24" t="s">
        <v>1532</v>
      </c>
      <c r="L174" s="24" t="s">
        <v>1533</v>
      </c>
      <c r="M174" s="25" t="s">
        <v>1554</v>
      </c>
      <c r="N174" s="25" t="s">
        <v>1163</v>
      </c>
      <c r="O174" s="25" t="s">
        <v>1446</v>
      </c>
      <c r="P174" s="25" t="s">
        <v>1353</v>
      </c>
      <c r="Q174" s="25" t="s">
        <v>1354</v>
      </c>
      <c r="R174" s="25" t="s">
        <v>1355</v>
      </c>
    </row>
    <row r="175">
      <c r="A175" s="24" t="s">
        <v>82</v>
      </c>
      <c r="B175" s="24" t="s">
        <v>264</v>
      </c>
      <c r="C175" s="24">
        <v>7.0</v>
      </c>
      <c r="D175" s="24" t="s">
        <v>1227</v>
      </c>
      <c r="E175" s="24">
        <v>14.0</v>
      </c>
      <c r="F175" s="24" t="s">
        <v>1168</v>
      </c>
      <c r="G175" s="24" t="s">
        <v>1295</v>
      </c>
      <c r="H175" s="24" t="s">
        <v>1432</v>
      </c>
      <c r="I175" s="24" t="s">
        <v>1531</v>
      </c>
      <c r="J175" s="24" t="s">
        <v>1277</v>
      </c>
      <c r="K175" s="24" t="s">
        <v>1532</v>
      </c>
      <c r="L175" s="24" t="s">
        <v>1533</v>
      </c>
      <c r="M175" s="27" t="s">
        <v>1191</v>
      </c>
      <c r="N175" s="25" t="s">
        <v>1192</v>
      </c>
      <c r="O175" s="25" t="s">
        <v>1447</v>
      </c>
      <c r="P175" s="25" t="s">
        <v>1443</v>
      </c>
      <c r="Q175" s="25" t="s">
        <v>1448</v>
      </c>
      <c r="R175" s="25" t="s">
        <v>1449</v>
      </c>
    </row>
    <row r="176">
      <c r="A176" s="24" t="s">
        <v>82</v>
      </c>
      <c r="B176" s="24" t="s">
        <v>264</v>
      </c>
      <c r="C176" s="24">
        <v>8.0</v>
      </c>
      <c r="D176" s="24" t="s">
        <v>1231</v>
      </c>
      <c r="E176" s="24">
        <v>15.0</v>
      </c>
      <c r="F176" s="24" t="s">
        <v>1155</v>
      </c>
      <c r="G176" s="24" t="s">
        <v>1295</v>
      </c>
      <c r="H176" s="24" t="s">
        <v>1432</v>
      </c>
      <c r="I176" s="24" t="s">
        <v>1531</v>
      </c>
      <c r="J176" s="24" t="s">
        <v>1277</v>
      </c>
      <c r="K176" s="24" t="s">
        <v>1532</v>
      </c>
      <c r="L176" s="24" t="s">
        <v>1533</v>
      </c>
      <c r="M176" s="25" t="s">
        <v>1555</v>
      </c>
      <c r="N176" s="25" t="s">
        <v>1163</v>
      </c>
      <c r="O176" s="25" t="s">
        <v>1450</v>
      </c>
      <c r="P176" s="25" t="s">
        <v>1353</v>
      </c>
      <c r="Q176" s="25" t="s">
        <v>1354</v>
      </c>
      <c r="R176" s="25" t="s">
        <v>1355</v>
      </c>
    </row>
    <row r="177">
      <c r="A177" s="24" t="s">
        <v>82</v>
      </c>
      <c r="B177" s="24" t="s">
        <v>264</v>
      </c>
      <c r="C177" s="24">
        <v>8.0</v>
      </c>
      <c r="D177" s="24" t="s">
        <v>1231</v>
      </c>
      <c r="E177" s="24">
        <v>16.0</v>
      </c>
      <c r="F177" s="24" t="s">
        <v>1168</v>
      </c>
      <c r="G177" s="24" t="s">
        <v>1295</v>
      </c>
      <c r="H177" s="24" t="s">
        <v>1432</v>
      </c>
      <c r="I177" s="24" t="s">
        <v>1531</v>
      </c>
      <c r="J177" s="24" t="s">
        <v>1277</v>
      </c>
      <c r="K177" s="24" t="s">
        <v>1532</v>
      </c>
      <c r="L177" s="24" t="s">
        <v>1533</v>
      </c>
      <c r="M177" s="25" t="s">
        <v>1203</v>
      </c>
      <c r="N177" s="25" t="s">
        <v>1192</v>
      </c>
      <c r="O177" s="25" t="s">
        <v>1204</v>
      </c>
      <c r="P177" s="27" t="s">
        <v>1216</v>
      </c>
      <c r="Q177" s="25" t="s">
        <v>1206</v>
      </c>
      <c r="R177" s="25" t="s">
        <v>1207</v>
      </c>
    </row>
    <row r="178">
      <c r="A178" s="24" t="s">
        <v>82</v>
      </c>
      <c r="B178" s="24" t="s">
        <v>313</v>
      </c>
      <c r="C178" s="24">
        <v>1.0</v>
      </c>
      <c r="D178" s="24" t="s">
        <v>1154</v>
      </c>
      <c r="E178" s="24">
        <v>1.0</v>
      </c>
      <c r="F178" s="24" t="s">
        <v>1155</v>
      </c>
      <c r="G178" s="24" t="s">
        <v>1305</v>
      </c>
      <c r="H178" s="24" t="s">
        <v>1556</v>
      </c>
      <c r="I178" s="24" t="s">
        <v>1557</v>
      </c>
      <c r="J178" s="24" t="s">
        <v>1558</v>
      </c>
      <c r="K178" s="24" t="s">
        <v>1276</v>
      </c>
      <c r="L178" s="24" t="s">
        <v>1308</v>
      </c>
      <c r="M178" s="25" t="s">
        <v>1420</v>
      </c>
      <c r="N178" s="25" t="s">
        <v>1163</v>
      </c>
      <c r="O178" s="25" t="s">
        <v>1559</v>
      </c>
      <c r="P178" s="25" t="s">
        <v>1353</v>
      </c>
      <c r="Q178" s="25" t="s">
        <v>1354</v>
      </c>
      <c r="R178" s="25" t="s">
        <v>1355</v>
      </c>
    </row>
    <row r="179">
      <c r="A179" s="24" t="s">
        <v>82</v>
      </c>
      <c r="B179" s="24" t="s">
        <v>313</v>
      </c>
      <c r="C179" s="24">
        <v>1.0</v>
      </c>
      <c r="D179" s="24" t="s">
        <v>1154</v>
      </c>
      <c r="E179" s="24">
        <v>2.0</v>
      </c>
      <c r="F179" s="24" t="s">
        <v>1168</v>
      </c>
      <c r="G179" s="24" t="s">
        <v>1305</v>
      </c>
      <c r="H179" s="24" t="s">
        <v>1556</v>
      </c>
      <c r="I179" s="24" t="s">
        <v>1557</v>
      </c>
      <c r="J179" s="24" t="s">
        <v>1558</v>
      </c>
      <c r="K179" s="24" t="s">
        <v>1276</v>
      </c>
      <c r="L179" s="24" t="s">
        <v>1308</v>
      </c>
      <c r="M179" s="25" t="s">
        <v>1560</v>
      </c>
      <c r="N179" s="25" t="s">
        <v>1214</v>
      </c>
      <c r="O179" s="25" t="s">
        <v>1561</v>
      </c>
      <c r="P179" s="27" t="s">
        <v>1502</v>
      </c>
      <c r="Q179" s="25" t="s">
        <v>1503</v>
      </c>
      <c r="R179" s="25" t="s">
        <v>1504</v>
      </c>
    </row>
    <row r="180">
      <c r="A180" s="24" t="s">
        <v>82</v>
      </c>
      <c r="B180" s="24" t="s">
        <v>313</v>
      </c>
      <c r="C180" s="24">
        <v>2.0</v>
      </c>
      <c r="D180" s="24" t="s">
        <v>1174</v>
      </c>
      <c r="E180" s="24">
        <v>3.0</v>
      </c>
      <c r="F180" s="24" t="s">
        <v>1155</v>
      </c>
      <c r="G180" s="24" t="s">
        <v>1305</v>
      </c>
      <c r="H180" s="24" t="s">
        <v>1556</v>
      </c>
      <c r="I180" s="24" t="s">
        <v>1557</v>
      </c>
      <c r="J180" s="24" t="s">
        <v>1558</v>
      </c>
      <c r="K180" s="24" t="s">
        <v>1276</v>
      </c>
      <c r="L180" s="24" t="s">
        <v>1308</v>
      </c>
      <c r="M180" s="27" t="s">
        <v>1228</v>
      </c>
      <c r="N180" s="25" t="s">
        <v>1163</v>
      </c>
      <c r="O180" s="25" t="s">
        <v>1562</v>
      </c>
      <c r="P180" s="25" t="s">
        <v>1479</v>
      </c>
      <c r="Q180" s="25" t="s">
        <v>1480</v>
      </c>
      <c r="R180" s="25" t="s">
        <v>1481</v>
      </c>
    </row>
    <row r="181">
      <c r="A181" s="24" t="s">
        <v>82</v>
      </c>
      <c r="B181" s="24" t="s">
        <v>313</v>
      </c>
      <c r="C181" s="24">
        <v>2.0</v>
      </c>
      <c r="D181" s="24" t="s">
        <v>1174</v>
      </c>
      <c r="E181" s="24">
        <v>4.0</v>
      </c>
      <c r="F181" s="24" t="s">
        <v>1168</v>
      </c>
      <c r="G181" s="24" t="s">
        <v>1305</v>
      </c>
      <c r="H181" s="24" t="s">
        <v>1556</v>
      </c>
      <c r="I181" s="24" t="s">
        <v>1557</v>
      </c>
      <c r="J181" s="24" t="s">
        <v>1558</v>
      </c>
      <c r="K181" s="24" t="s">
        <v>1276</v>
      </c>
      <c r="L181" s="24" t="s">
        <v>1308</v>
      </c>
      <c r="M181" s="27" t="s">
        <v>1388</v>
      </c>
      <c r="N181" s="25" t="s">
        <v>1214</v>
      </c>
      <c r="O181" s="25" t="s">
        <v>1563</v>
      </c>
      <c r="P181" s="25" t="s">
        <v>1502</v>
      </c>
      <c r="Q181" s="25" t="s">
        <v>1503</v>
      </c>
      <c r="R181" s="25" t="s">
        <v>1504</v>
      </c>
    </row>
    <row r="182">
      <c r="A182" s="24" t="s">
        <v>82</v>
      </c>
      <c r="B182" s="24" t="s">
        <v>313</v>
      </c>
      <c r="C182" s="24">
        <v>3.0</v>
      </c>
      <c r="D182" s="24" t="s">
        <v>1185</v>
      </c>
      <c r="E182" s="24">
        <v>5.0</v>
      </c>
      <c r="F182" s="24" t="s">
        <v>1155</v>
      </c>
      <c r="G182" s="24" t="s">
        <v>1305</v>
      </c>
      <c r="H182" s="24" t="s">
        <v>1556</v>
      </c>
      <c r="I182" s="24" t="s">
        <v>1557</v>
      </c>
      <c r="J182" s="24" t="s">
        <v>1558</v>
      </c>
      <c r="K182" s="24" t="s">
        <v>1276</v>
      </c>
      <c r="L182" s="24" t="s">
        <v>1308</v>
      </c>
      <c r="M182" s="25" t="s">
        <v>1463</v>
      </c>
      <c r="N182" s="25" t="s">
        <v>1163</v>
      </c>
      <c r="O182" s="25" t="s">
        <v>1564</v>
      </c>
      <c r="P182" s="25" t="s">
        <v>1479</v>
      </c>
      <c r="Q182" s="25" t="s">
        <v>1480</v>
      </c>
      <c r="R182" s="25" t="s">
        <v>1481</v>
      </c>
    </row>
    <row r="183">
      <c r="A183" s="24" t="s">
        <v>82</v>
      </c>
      <c r="B183" s="24" t="s">
        <v>313</v>
      </c>
      <c r="C183" s="24">
        <v>3.0</v>
      </c>
      <c r="D183" s="24" t="s">
        <v>1185</v>
      </c>
      <c r="E183" s="24">
        <v>6.0</v>
      </c>
      <c r="F183" s="24" t="s">
        <v>1168</v>
      </c>
      <c r="G183" s="24" t="s">
        <v>1305</v>
      </c>
      <c r="H183" s="24" t="s">
        <v>1556</v>
      </c>
      <c r="I183" s="24" t="s">
        <v>1557</v>
      </c>
      <c r="J183" s="24" t="s">
        <v>1558</v>
      </c>
      <c r="K183" s="24" t="s">
        <v>1276</v>
      </c>
      <c r="L183" s="24" t="s">
        <v>1308</v>
      </c>
      <c r="M183" s="27" t="s">
        <v>1191</v>
      </c>
      <c r="N183" s="25" t="s">
        <v>1192</v>
      </c>
      <c r="O183" s="25" t="s">
        <v>1193</v>
      </c>
      <c r="P183" s="25" t="s">
        <v>1502</v>
      </c>
      <c r="Q183" s="25" t="s">
        <v>1503</v>
      </c>
      <c r="R183" s="25" t="s">
        <v>1504</v>
      </c>
    </row>
    <row r="184">
      <c r="A184" s="24" t="s">
        <v>82</v>
      </c>
      <c r="B184" s="24" t="s">
        <v>313</v>
      </c>
      <c r="C184" s="24">
        <v>4.0</v>
      </c>
      <c r="D184" s="24" t="s">
        <v>1356</v>
      </c>
      <c r="E184" s="24">
        <v>7.0</v>
      </c>
      <c r="F184" s="24" t="s">
        <v>1155</v>
      </c>
      <c r="G184" s="24" t="s">
        <v>1305</v>
      </c>
      <c r="H184" s="24" t="s">
        <v>1556</v>
      </c>
      <c r="I184" s="24" t="s">
        <v>1557</v>
      </c>
      <c r="J184" s="24" t="s">
        <v>1558</v>
      </c>
      <c r="K184" s="24" t="s">
        <v>1276</v>
      </c>
      <c r="L184" s="24" t="s">
        <v>1308</v>
      </c>
      <c r="M184" s="25" t="s">
        <v>1228</v>
      </c>
      <c r="N184" s="25" t="s">
        <v>1163</v>
      </c>
      <c r="O184" s="25" t="s">
        <v>1565</v>
      </c>
      <c r="P184" s="25" t="s">
        <v>1479</v>
      </c>
      <c r="Q184" s="25" t="s">
        <v>1480</v>
      </c>
      <c r="R184" s="25" t="s">
        <v>1481</v>
      </c>
    </row>
    <row r="185">
      <c r="A185" s="24" t="s">
        <v>82</v>
      </c>
      <c r="B185" s="24" t="s">
        <v>313</v>
      </c>
      <c r="C185" s="24">
        <v>4.0</v>
      </c>
      <c r="D185" s="24" t="s">
        <v>1356</v>
      </c>
      <c r="E185" s="24">
        <v>8.0</v>
      </c>
      <c r="F185" s="24" t="s">
        <v>1168</v>
      </c>
      <c r="G185" s="24" t="s">
        <v>1305</v>
      </c>
      <c r="H185" s="24" t="s">
        <v>1556</v>
      </c>
      <c r="I185" s="24" t="s">
        <v>1557</v>
      </c>
      <c r="J185" s="24" t="s">
        <v>1558</v>
      </c>
      <c r="K185" s="24" t="s">
        <v>1276</v>
      </c>
      <c r="L185" s="24" t="s">
        <v>1308</v>
      </c>
      <c r="M185" s="25" t="s">
        <v>1203</v>
      </c>
      <c r="N185" s="25" t="s">
        <v>1192</v>
      </c>
      <c r="O185" s="25" t="s">
        <v>1204</v>
      </c>
      <c r="P185" s="27" t="s">
        <v>1502</v>
      </c>
      <c r="Q185" s="25" t="s">
        <v>1503</v>
      </c>
      <c r="R185" s="25" t="s">
        <v>1504</v>
      </c>
    </row>
    <row r="186">
      <c r="A186" s="24" t="s">
        <v>82</v>
      </c>
      <c r="B186" s="24" t="s">
        <v>313</v>
      </c>
      <c r="C186" s="24">
        <v>5.0</v>
      </c>
      <c r="D186" s="24" t="s">
        <v>1208</v>
      </c>
      <c r="E186" s="24">
        <v>9.0</v>
      </c>
      <c r="F186" s="24" t="s">
        <v>1155</v>
      </c>
      <c r="G186" s="24" t="s">
        <v>1322</v>
      </c>
      <c r="H186" s="24" t="s">
        <v>1566</v>
      </c>
      <c r="I186" s="24" t="s">
        <v>1557</v>
      </c>
      <c r="J186" s="24" t="s">
        <v>1558</v>
      </c>
      <c r="K186" s="24" t="s">
        <v>1276</v>
      </c>
      <c r="L186" s="24" t="s">
        <v>1308</v>
      </c>
      <c r="M186" s="25" t="s">
        <v>1567</v>
      </c>
      <c r="N186" s="25" t="s">
        <v>1163</v>
      </c>
      <c r="O186" s="25" t="s">
        <v>1568</v>
      </c>
      <c r="P186" s="25" t="s">
        <v>1165</v>
      </c>
      <c r="Q186" s="25" t="s">
        <v>1166</v>
      </c>
      <c r="R186" s="25" t="s">
        <v>1167</v>
      </c>
    </row>
    <row r="187">
      <c r="A187" s="24" t="s">
        <v>82</v>
      </c>
      <c r="B187" s="24" t="s">
        <v>313</v>
      </c>
      <c r="C187" s="24">
        <v>5.0</v>
      </c>
      <c r="D187" s="24" t="s">
        <v>1208</v>
      </c>
      <c r="E187" s="24">
        <v>10.0</v>
      </c>
      <c r="F187" s="24" t="s">
        <v>1168</v>
      </c>
      <c r="G187" s="24" t="s">
        <v>1322</v>
      </c>
      <c r="H187" s="24" t="s">
        <v>1566</v>
      </c>
      <c r="I187" s="24" t="s">
        <v>1557</v>
      </c>
      <c r="J187" s="24" t="s">
        <v>1558</v>
      </c>
      <c r="K187" s="24" t="s">
        <v>1276</v>
      </c>
      <c r="L187" s="24" t="s">
        <v>1308</v>
      </c>
      <c r="M187" s="25" t="s">
        <v>1569</v>
      </c>
      <c r="N187" s="25" t="s">
        <v>1214</v>
      </c>
      <c r="O187" s="25" t="s">
        <v>1478</v>
      </c>
      <c r="P187" s="25" t="s">
        <v>1479</v>
      </c>
      <c r="Q187" s="25" t="s">
        <v>1480</v>
      </c>
      <c r="R187" s="25" t="s">
        <v>1481</v>
      </c>
    </row>
    <row r="188">
      <c r="A188" s="24" t="s">
        <v>82</v>
      </c>
      <c r="B188" s="24" t="s">
        <v>313</v>
      </c>
      <c r="C188" s="24">
        <v>6.0</v>
      </c>
      <c r="D188" s="24" t="s">
        <v>1174</v>
      </c>
      <c r="E188" s="24">
        <v>11.0</v>
      </c>
      <c r="F188" s="24" t="s">
        <v>1155</v>
      </c>
      <c r="G188" s="24" t="s">
        <v>1322</v>
      </c>
      <c r="H188" s="24" t="s">
        <v>1566</v>
      </c>
      <c r="I188" s="24" t="s">
        <v>1557</v>
      </c>
      <c r="J188" s="24" t="s">
        <v>1558</v>
      </c>
      <c r="K188" s="24" t="s">
        <v>1276</v>
      </c>
      <c r="L188" s="24" t="s">
        <v>1308</v>
      </c>
      <c r="M188" s="27" t="s">
        <v>1570</v>
      </c>
      <c r="N188" s="25" t="s">
        <v>1163</v>
      </c>
      <c r="O188" s="25" t="s">
        <v>1571</v>
      </c>
      <c r="P188" s="25" t="s">
        <v>1507</v>
      </c>
      <c r="Q188" s="25" t="s">
        <v>1508</v>
      </c>
      <c r="R188" s="25" t="s">
        <v>1572</v>
      </c>
    </row>
    <row r="189">
      <c r="A189" s="24" t="s">
        <v>82</v>
      </c>
      <c r="B189" s="24" t="s">
        <v>313</v>
      </c>
      <c r="C189" s="24">
        <v>6.0</v>
      </c>
      <c r="D189" s="24" t="s">
        <v>1174</v>
      </c>
      <c r="E189" s="24">
        <v>12.0</v>
      </c>
      <c r="F189" s="24" t="s">
        <v>1168</v>
      </c>
      <c r="G189" s="24" t="s">
        <v>1322</v>
      </c>
      <c r="H189" s="24" t="s">
        <v>1566</v>
      </c>
      <c r="I189" s="24" t="s">
        <v>1557</v>
      </c>
      <c r="J189" s="24" t="s">
        <v>1558</v>
      </c>
      <c r="K189" s="24" t="s">
        <v>1276</v>
      </c>
      <c r="L189" s="24" t="s">
        <v>1308</v>
      </c>
      <c r="M189" s="27" t="s">
        <v>1573</v>
      </c>
      <c r="N189" s="25" t="s">
        <v>1214</v>
      </c>
      <c r="O189" s="25" t="s">
        <v>1485</v>
      </c>
      <c r="P189" s="25" t="s">
        <v>1479</v>
      </c>
      <c r="Q189" s="25" t="s">
        <v>1480</v>
      </c>
      <c r="R189" s="25" t="s">
        <v>1481</v>
      </c>
    </row>
    <row r="190">
      <c r="A190" s="24" t="s">
        <v>82</v>
      </c>
      <c r="B190" s="24" t="s">
        <v>313</v>
      </c>
      <c r="C190" s="24">
        <v>7.0</v>
      </c>
      <c r="D190" s="24" t="s">
        <v>1227</v>
      </c>
      <c r="E190" s="24">
        <v>13.0</v>
      </c>
      <c r="F190" s="24" t="s">
        <v>1155</v>
      </c>
      <c r="G190" s="24" t="s">
        <v>1322</v>
      </c>
      <c r="H190" s="24" t="s">
        <v>1566</v>
      </c>
      <c r="I190" s="24" t="s">
        <v>1557</v>
      </c>
      <c r="J190" s="24" t="s">
        <v>1558</v>
      </c>
      <c r="K190" s="24" t="s">
        <v>1276</v>
      </c>
      <c r="L190" s="24" t="s">
        <v>1308</v>
      </c>
      <c r="M190" s="25" t="s">
        <v>1574</v>
      </c>
      <c r="N190" s="25" t="s">
        <v>1163</v>
      </c>
      <c r="O190" s="25" t="s">
        <v>1575</v>
      </c>
      <c r="P190" s="25" t="s">
        <v>1507</v>
      </c>
      <c r="Q190" s="25" t="s">
        <v>1508</v>
      </c>
      <c r="R190" s="25" t="s">
        <v>1572</v>
      </c>
    </row>
    <row r="191">
      <c r="A191" s="24" t="s">
        <v>82</v>
      </c>
      <c r="B191" s="24" t="s">
        <v>313</v>
      </c>
      <c r="C191" s="24">
        <v>7.0</v>
      </c>
      <c r="D191" s="24" t="s">
        <v>1227</v>
      </c>
      <c r="E191" s="24">
        <v>14.0</v>
      </c>
      <c r="F191" s="24" t="s">
        <v>1168</v>
      </c>
      <c r="G191" s="24" t="s">
        <v>1322</v>
      </c>
      <c r="H191" s="24" t="s">
        <v>1566</v>
      </c>
      <c r="I191" s="24" t="s">
        <v>1557</v>
      </c>
      <c r="J191" s="24" t="s">
        <v>1558</v>
      </c>
      <c r="K191" s="24" t="s">
        <v>1276</v>
      </c>
      <c r="L191" s="24" t="s">
        <v>1308</v>
      </c>
      <c r="M191" s="27" t="s">
        <v>1191</v>
      </c>
      <c r="N191" s="25" t="s">
        <v>1192</v>
      </c>
      <c r="O191" s="25" t="s">
        <v>1488</v>
      </c>
      <c r="P191" s="25" t="s">
        <v>1489</v>
      </c>
      <c r="Q191" s="25" t="s">
        <v>1490</v>
      </c>
      <c r="R191" s="25" t="s">
        <v>1491</v>
      </c>
    </row>
    <row r="192">
      <c r="A192" s="24" t="s">
        <v>82</v>
      </c>
      <c r="B192" s="24" t="s">
        <v>313</v>
      </c>
      <c r="C192" s="24">
        <v>8.0</v>
      </c>
      <c r="D192" s="24" t="s">
        <v>1231</v>
      </c>
      <c r="E192" s="24">
        <v>15.0</v>
      </c>
      <c r="F192" s="24" t="s">
        <v>1168</v>
      </c>
      <c r="G192" s="24" t="s">
        <v>1322</v>
      </c>
      <c r="H192" s="24" t="s">
        <v>1566</v>
      </c>
      <c r="I192" s="24" t="s">
        <v>1557</v>
      </c>
      <c r="J192" s="24" t="s">
        <v>1558</v>
      </c>
      <c r="K192" s="24" t="s">
        <v>1276</v>
      </c>
      <c r="L192" s="24" t="s">
        <v>1308</v>
      </c>
      <c r="M192" s="25" t="s">
        <v>1203</v>
      </c>
      <c r="N192" s="25" t="s">
        <v>1192</v>
      </c>
      <c r="O192" s="25" t="s">
        <v>1204</v>
      </c>
      <c r="P192" s="27" t="s">
        <v>1494</v>
      </c>
      <c r="Q192" s="25" t="s">
        <v>1495</v>
      </c>
      <c r="R192" s="25" t="s">
        <v>1496</v>
      </c>
    </row>
    <row r="193">
      <c r="A193" s="24" t="s">
        <v>82</v>
      </c>
      <c r="B193" s="24" t="s">
        <v>313</v>
      </c>
      <c r="C193" s="24">
        <v>8.0</v>
      </c>
      <c r="D193" s="24" t="s">
        <v>1231</v>
      </c>
      <c r="E193" s="24">
        <v>16.0</v>
      </c>
      <c r="F193" s="24" t="s">
        <v>1155</v>
      </c>
      <c r="G193" s="24" t="s">
        <v>1322</v>
      </c>
      <c r="H193" s="24" t="s">
        <v>1566</v>
      </c>
      <c r="I193" s="24" t="s">
        <v>1557</v>
      </c>
      <c r="J193" s="24" t="s">
        <v>1558</v>
      </c>
      <c r="K193" s="24" t="s">
        <v>1276</v>
      </c>
      <c r="L193" s="24" t="s">
        <v>1308</v>
      </c>
      <c r="M193" s="25" t="s">
        <v>1338</v>
      </c>
      <c r="N193" s="25" t="s">
        <v>1214</v>
      </c>
      <c r="O193" s="25" t="s">
        <v>1339</v>
      </c>
      <c r="P193" s="25" t="s">
        <v>1272</v>
      </c>
      <c r="Q193" s="25" t="s">
        <v>1235</v>
      </c>
      <c r="R193" s="25" t="s">
        <v>1236</v>
      </c>
    </row>
    <row r="194">
      <c r="A194" s="24" t="s">
        <v>549</v>
      </c>
      <c r="B194" s="24" t="s">
        <v>22</v>
      </c>
      <c r="C194" s="24">
        <v>1.0</v>
      </c>
      <c r="D194" s="24" t="s">
        <v>1154</v>
      </c>
      <c r="E194" s="24">
        <v>1.0</v>
      </c>
      <c r="F194" s="24" t="s">
        <v>1155</v>
      </c>
      <c r="G194" s="24" t="s">
        <v>1156</v>
      </c>
      <c r="H194" s="24" t="s">
        <v>1576</v>
      </c>
      <c r="I194" s="24" t="s">
        <v>1577</v>
      </c>
      <c r="J194" s="24" t="s">
        <v>1578</v>
      </c>
      <c r="K194" s="24" t="s">
        <v>1419</v>
      </c>
      <c r="L194" s="24" t="s">
        <v>1579</v>
      </c>
      <c r="M194" s="25" t="s">
        <v>1580</v>
      </c>
      <c r="N194" s="25" t="s">
        <v>1163</v>
      </c>
      <c r="O194" s="25" t="s">
        <v>1581</v>
      </c>
      <c r="P194" s="25" t="s">
        <v>1353</v>
      </c>
      <c r="Q194" s="25" t="s">
        <v>1354</v>
      </c>
      <c r="R194" s="25" t="s">
        <v>1355</v>
      </c>
    </row>
    <row r="195">
      <c r="A195" s="24" t="s">
        <v>549</v>
      </c>
      <c r="B195" s="24" t="s">
        <v>22</v>
      </c>
      <c r="C195" s="24">
        <v>1.0</v>
      </c>
      <c r="D195" s="24" t="s">
        <v>1154</v>
      </c>
      <c r="E195" s="24">
        <v>2.0</v>
      </c>
      <c r="F195" s="24" t="s">
        <v>1168</v>
      </c>
      <c r="G195" s="24" t="s">
        <v>1156</v>
      </c>
      <c r="H195" s="24" t="s">
        <v>1576</v>
      </c>
      <c r="I195" s="24" t="s">
        <v>1577</v>
      </c>
      <c r="J195" s="24" t="s">
        <v>1578</v>
      </c>
      <c r="K195" s="24" t="s">
        <v>1419</v>
      </c>
      <c r="L195" s="24" t="s">
        <v>1579</v>
      </c>
      <c r="M195" s="25" t="s">
        <v>1582</v>
      </c>
      <c r="N195" s="25" t="s">
        <v>1214</v>
      </c>
      <c r="O195" s="25" t="s">
        <v>1583</v>
      </c>
      <c r="P195" s="25" t="s">
        <v>1502</v>
      </c>
      <c r="Q195" s="25" t="s">
        <v>1503</v>
      </c>
      <c r="R195" s="25" t="s">
        <v>1504</v>
      </c>
    </row>
    <row r="196">
      <c r="A196" s="24" t="s">
        <v>549</v>
      </c>
      <c r="B196" s="24" t="s">
        <v>22</v>
      </c>
      <c r="C196" s="24">
        <v>2.0</v>
      </c>
      <c r="D196" s="24" t="s">
        <v>1174</v>
      </c>
      <c r="E196" s="24">
        <v>3.0</v>
      </c>
      <c r="F196" s="24" t="s">
        <v>1155</v>
      </c>
      <c r="G196" s="24" t="s">
        <v>1156</v>
      </c>
      <c r="H196" s="24" t="s">
        <v>1576</v>
      </c>
      <c r="I196" s="24" t="s">
        <v>1577</v>
      </c>
      <c r="J196" s="24" t="s">
        <v>1578</v>
      </c>
      <c r="K196" s="24" t="s">
        <v>1419</v>
      </c>
      <c r="L196" s="24" t="s">
        <v>1579</v>
      </c>
      <c r="M196" s="25" t="s">
        <v>1584</v>
      </c>
      <c r="N196" s="25" t="s">
        <v>1163</v>
      </c>
      <c r="O196" s="25" t="s">
        <v>1585</v>
      </c>
      <c r="P196" s="25" t="s">
        <v>1353</v>
      </c>
      <c r="Q196" s="25" t="s">
        <v>1354</v>
      </c>
      <c r="R196" s="25" t="s">
        <v>1355</v>
      </c>
    </row>
    <row r="197">
      <c r="A197" s="24" t="s">
        <v>549</v>
      </c>
      <c r="B197" s="24" t="s">
        <v>22</v>
      </c>
      <c r="C197" s="24">
        <v>2.0</v>
      </c>
      <c r="D197" s="24" t="s">
        <v>1174</v>
      </c>
      <c r="E197" s="24">
        <v>4.0</v>
      </c>
      <c r="F197" s="24" t="s">
        <v>1168</v>
      </c>
      <c r="G197" s="24" t="s">
        <v>1156</v>
      </c>
      <c r="H197" s="24" t="s">
        <v>1576</v>
      </c>
      <c r="I197" s="24" t="s">
        <v>1577</v>
      </c>
      <c r="J197" s="24" t="s">
        <v>1578</v>
      </c>
      <c r="K197" s="24" t="s">
        <v>1419</v>
      </c>
      <c r="L197" s="24" t="s">
        <v>1579</v>
      </c>
      <c r="M197" s="25" t="s">
        <v>1586</v>
      </c>
      <c r="N197" s="25" t="s">
        <v>1214</v>
      </c>
      <c r="O197" s="25" t="s">
        <v>1587</v>
      </c>
      <c r="P197" s="25" t="s">
        <v>1502</v>
      </c>
      <c r="Q197" s="25" t="s">
        <v>1503</v>
      </c>
      <c r="R197" s="25" t="s">
        <v>1504</v>
      </c>
    </row>
    <row r="198">
      <c r="A198" s="24" t="s">
        <v>549</v>
      </c>
      <c r="B198" s="24" t="s">
        <v>22</v>
      </c>
      <c r="C198" s="24">
        <v>3.0</v>
      </c>
      <c r="D198" s="24" t="s">
        <v>1185</v>
      </c>
      <c r="E198" s="24">
        <v>5.0</v>
      </c>
      <c r="F198" s="24" t="s">
        <v>1155</v>
      </c>
      <c r="G198" s="26" t="s">
        <v>1156</v>
      </c>
      <c r="H198" s="24" t="s">
        <v>1576</v>
      </c>
      <c r="I198" s="24" t="s">
        <v>1577</v>
      </c>
      <c r="J198" s="24" t="s">
        <v>1578</v>
      </c>
      <c r="K198" s="24" t="s">
        <v>1419</v>
      </c>
      <c r="L198" s="24" t="s">
        <v>1579</v>
      </c>
      <c r="M198" s="27" t="s">
        <v>1584</v>
      </c>
      <c r="N198" s="25" t="s">
        <v>1163</v>
      </c>
      <c r="O198" s="25" t="s">
        <v>1588</v>
      </c>
      <c r="P198" s="28" t="s">
        <v>1353</v>
      </c>
      <c r="Q198" s="25" t="s">
        <v>1354</v>
      </c>
      <c r="R198" s="25" t="s">
        <v>1355</v>
      </c>
    </row>
    <row r="199">
      <c r="A199" s="24" t="s">
        <v>549</v>
      </c>
      <c r="B199" s="24" t="s">
        <v>22</v>
      </c>
      <c r="C199" s="24">
        <v>3.0</v>
      </c>
      <c r="D199" s="24" t="s">
        <v>1185</v>
      </c>
      <c r="E199" s="24">
        <v>6.0</v>
      </c>
      <c r="F199" s="24" t="s">
        <v>1168</v>
      </c>
      <c r="G199" s="26" t="s">
        <v>1156</v>
      </c>
      <c r="H199" s="24" t="s">
        <v>1576</v>
      </c>
      <c r="I199" s="24" t="s">
        <v>1577</v>
      </c>
      <c r="J199" s="24" t="s">
        <v>1578</v>
      </c>
      <c r="K199" s="24" t="s">
        <v>1419</v>
      </c>
      <c r="L199" s="24" t="s">
        <v>1579</v>
      </c>
      <c r="M199" s="27" t="s">
        <v>1589</v>
      </c>
      <c r="N199" s="25" t="s">
        <v>1192</v>
      </c>
      <c r="O199" s="25" t="s">
        <v>1590</v>
      </c>
      <c r="P199" s="27" t="s">
        <v>1502</v>
      </c>
      <c r="Q199" s="25" t="s">
        <v>1503</v>
      </c>
      <c r="R199" s="25" t="s">
        <v>1504</v>
      </c>
    </row>
    <row r="200">
      <c r="A200" s="24" t="s">
        <v>549</v>
      </c>
      <c r="B200" s="24" t="s">
        <v>22</v>
      </c>
      <c r="C200" s="24">
        <v>4.0</v>
      </c>
      <c r="D200" s="24" t="s">
        <v>1356</v>
      </c>
      <c r="E200" s="24">
        <v>7.0</v>
      </c>
      <c r="F200" s="24" t="s">
        <v>1155</v>
      </c>
      <c r="G200" s="24" t="s">
        <v>1156</v>
      </c>
      <c r="H200" s="24" t="s">
        <v>1576</v>
      </c>
      <c r="I200" s="24" t="s">
        <v>1577</v>
      </c>
      <c r="J200" s="24" t="s">
        <v>1578</v>
      </c>
      <c r="K200" s="24" t="s">
        <v>1419</v>
      </c>
      <c r="L200" s="24" t="s">
        <v>1579</v>
      </c>
      <c r="M200" s="25" t="s">
        <v>1591</v>
      </c>
      <c r="N200" s="25" t="s">
        <v>1163</v>
      </c>
      <c r="O200" s="25" t="s">
        <v>1592</v>
      </c>
      <c r="P200" s="28" t="s">
        <v>1353</v>
      </c>
      <c r="Q200" s="25" t="s">
        <v>1354</v>
      </c>
      <c r="R200" s="25" t="s">
        <v>1355</v>
      </c>
    </row>
    <row r="201">
      <c r="A201" s="24" t="s">
        <v>549</v>
      </c>
      <c r="B201" s="24" t="s">
        <v>22</v>
      </c>
      <c r="C201" s="24">
        <v>4.0</v>
      </c>
      <c r="D201" s="24" t="s">
        <v>1356</v>
      </c>
      <c r="E201" s="24">
        <v>8.0</v>
      </c>
      <c r="F201" s="24" t="s">
        <v>1168</v>
      </c>
      <c r="G201" s="24" t="s">
        <v>1156</v>
      </c>
      <c r="H201" s="24" t="s">
        <v>1576</v>
      </c>
      <c r="I201" s="24" t="s">
        <v>1577</v>
      </c>
      <c r="J201" s="24" t="s">
        <v>1578</v>
      </c>
      <c r="K201" s="24" t="s">
        <v>1419</v>
      </c>
      <c r="L201" s="24" t="s">
        <v>1579</v>
      </c>
      <c r="M201" s="25" t="s">
        <v>1203</v>
      </c>
      <c r="N201" s="25" t="s">
        <v>1192</v>
      </c>
      <c r="O201" s="25" t="s">
        <v>1204</v>
      </c>
      <c r="P201" s="27" t="s">
        <v>1502</v>
      </c>
      <c r="Q201" s="25" t="s">
        <v>1503</v>
      </c>
      <c r="R201" s="25" t="s">
        <v>1504</v>
      </c>
    </row>
    <row r="202">
      <c r="A202" s="24" t="s">
        <v>549</v>
      </c>
      <c r="B202" s="24" t="s">
        <v>22</v>
      </c>
      <c r="C202" s="24">
        <v>5.0</v>
      </c>
      <c r="D202" s="24" t="s">
        <v>1208</v>
      </c>
      <c r="E202" s="24">
        <v>9.0</v>
      </c>
      <c r="F202" s="24" t="s">
        <v>1155</v>
      </c>
      <c r="G202" s="24" t="s">
        <v>1209</v>
      </c>
      <c r="H202" s="24" t="s">
        <v>1593</v>
      </c>
      <c r="I202" s="24" t="s">
        <v>1577</v>
      </c>
      <c r="J202" s="24" t="s">
        <v>1578</v>
      </c>
      <c r="K202" s="24" t="s">
        <v>1419</v>
      </c>
      <c r="L202" s="24" t="s">
        <v>1579</v>
      </c>
      <c r="M202" s="25" t="s">
        <v>1594</v>
      </c>
      <c r="N202" s="25" t="s">
        <v>1163</v>
      </c>
      <c r="O202" s="25" t="s">
        <v>1595</v>
      </c>
      <c r="P202" s="28" t="s">
        <v>1353</v>
      </c>
      <c r="Q202" s="25" t="s">
        <v>1354</v>
      </c>
      <c r="R202" s="25" t="s">
        <v>1355</v>
      </c>
    </row>
    <row r="203">
      <c r="A203" s="24" t="s">
        <v>549</v>
      </c>
      <c r="B203" s="24" t="s">
        <v>22</v>
      </c>
      <c r="C203" s="24">
        <v>5.0</v>
      </c>
      <c r="D203" s="24" t="s">
        <v>1208</v>
      </c>
      <c r="E203" s="24">
        <v>10.0</v>
      </c>
      <c r="F203" s="24" t="s">
        <v>1168</v>
      </c>
      <c r="G203" s="24" t="s">
        <v>1209</v>
      </c>
      <c r="H203" s="24" t="s">
        <v>1593</v>
      </c>
      <c r="I203" s="24" t="s">
        <v>1577</v>
      </c>
      <c r="J203" s="24" t="s">
        <v>1578</v>
      </c>
      <c r="K203" s="24" t="s">
        <v>1419</v>
      </c>
      <c r="L203" s="24" t="s">
        <v>1579</v>
      </c>
      <c r="M203" s="25" t="s">
        <v>1596</v>
      </c>
      <c r="N203" s="25" t="s">
        <v>1214</v>
      </c>
      <c r="O203" s="25" t="s">
        <v>1597</v>
      </c>
      <c r="P203" s="27" t="s">
        <v>1598</v>
      </c>
      <c r="Q203" s="25" t="s">
        <v>1599</v>
      </c>
      <c r="R203" s="25" t="s">
        <v>1600</v>
      </c>
    </row>
    <row r="204">
      <c r="A204" s="24" t="s">
        <v>549</v>
      </c>
      <c r="B204" s="24" t="s">
        <v>22</v>
      </c>
      <c r="C204" s="24">
        <v>6.0</v>
      </c>
      <c r="D204" s="24" t="s">
        <v>1174</v>
      </c>
      <c r="E204" s="24">
        <v>11.0</v>
      </c>
      <c r="F204" s="24" t="s">
        <v>1155</v>
      </c>
      <c r="G204" s="26" t="s">
        <v>1209</v>
      </c>
      <c r="H204" s="24" t="s">
        <v>1593</v>
      </c>
      <c r="I204" s="24" t="s">
        <v>1577</v>
      </c>
      <c r="J204" s="24" t="s">
        <v>1578</v>
      </c>
      <c r="K204" s="24" t="s">
        <v>1419</v>
      </c>
      <c r="L204" s="24" t="s">
        <v>1579</v>
      </c>
      <c r="M204" s="27" t="s">
        <v>1601</v>
      </c>
      <c r="N204" s="25" t="s">
        <v>1163</v>
      </c>
      <c r="O204" s="25" t="s">
        <v>1602</v>
      </c>
      <c r="P204" s="28" t="s">
        <v>1353</v>
      </c>
      <c r="Q204" s="25" t="s">
        <v>1354</v>
      </c>
      <c r="R204" s="25" t="s">
        <v>1355</v>
      </c>
    </row>
    <row r="205">
      <c r="A205" s="24" t="s">
        <v>549</v>
      </c>
      <c r="B205" s="24" t="s">
        <v>22</v>
      </c>
      <c r="C205" s="24">
        <v>6.0</v>
      </c>
      <c r="D205" s="24" t="s">
        <v>1174</v>
      </c>
      <c r="E205" s="24">
        <v>12.0</v>
      </c>
      <c r="F205" s="24" t="s">
        <v>1168</v>
      </c>
      <c r="G205" s="26" t="s">
        <v>1209</v>
      </c>
      <c r="H205" s="24" t="s">
        <v>1593</v>
      </c>
      <c r="I205" s="24" t="s">
        <v>1577</v>
      </c>
      <c r="J205" s="24" t="s">
        <v>1578</v>
      </c>
      <c r="K205" s="24" t="s">
        <v>1419</v>
      </c>
      <c r="L205" s="24" t="s">
        <v>1579</v>
      </c>
      <c r="M205" s="27" t="s">
        <v>1603</v>
      </c>
      <c r="N205" s="25" t="s">
        <v>1214</v>
      </c>
      <c r="O205" s="25" t="s">
        <v>1597</v>
      </c>
      <c r="P205" s="27" t="s">
        <v>1598</v>
      </c>
      <c r="Q205" s="25" t="s">
        <v>1604</v>
      </c>
      <c r="R205" s="25" t="s">
        <v>1600</v>
      </c>
    </row>
    <row r="206">
      <c r="A206" s="24" t="s">
        <v>549</v>
      </c>
      <c r="B206" s="24" t="s">
        <v>22</v>
      </c>
      <c r="C206" s="24">
        <v>7.0</v>
      </c>
      <c r="D206" s="24" t="s">
        <v>1227</v>
      </c>
      <c r="E206" s="24">
        <v>13.0</v>
      </c>
      <c r="F206" s="24" t="s">
        <v>1155</v>
      </c>
      <c r="G206" s="24" t="s">
        <v>1209</v>
      </c>
      <c r="H206" s="24" t="s">
        <v>1593</v>
      </c>
      <c r="I206" s="24" t="s">
        <v>1577</v>
      </c>
      <c r="J206" s="24" t="s">
        <v>1578</v>
      </c>
      <c r="K206" s="24" t="s">
        <v>1419</v>
      </c>
      <c r="L206" s="24" t="s">
        <v>1579</v>
      </c>
      <c r="M206" s="25" t="s">
        <v>1584</v>
      </c>
      <c r="N206" s="25" t="s">
        <v>1163</v>
      </c>
      <c r="O206" s="25" t="s">
        <v>1605</v>
      </c>
      <c r="P206" s="28" t="s">
        <v>1353</v>
      </c>
      <c r="Q206" s="25" t="s">
        <v>1354</v>
      </c>
      <c r="R206" s="25" t="s">
        <v>1355</v>
      </c>
    </row>
    <row r="207">
      <c r="A207" s="24" t="s">
        <v>549</v>
      </c>
      <c r="B207" s="24" t="s">
        <v>22</v>
      </c>
      <c r="C207" s="24">
        <v>7.0</v>
      </c>
      <c r="D207" s="24" t="s">
        <v>1227</v>
      </c>
      <c r="E207" s="24">
        <v>14.0</v>
      </c>
      <c r="F207" s="24" t="s">
        <v>1168</v>
      </c>
      <c r="G207" s="24" t="s">
        <v>1209</v>
      </c>
      <c r="H207" s="24" t="s">
        <v>1593</v>
      </c>
      <c r="I207" s="24" t="s">
        <v>1577</v>
      </c>
      <c r="J207" s="24" t="s">
        <v>1578</v>
      </c>
      <c r="K207" s="24" t="s">
        <v>1419</v>
      </c>
      <c r="L207" s="24" t="s">
        <v>1579</v>
      </c>
      <c r="M207" s="27" t="s">
        <v>1191</v>
      </c>
      <c r="N207" s="25" t="s">
        <v>1192</v>
      </c>
      <c r="O207" s="25" t="s">
        <v>1606</v>
      </c>
      <c r="P207" s="27" t="s">
        <v>1598</v>
      </c>
      <c r="Q207" s="25" t="s">
        <v>1599</v>
      </c>
      <c r="R207" s="25" t="s">
        <v>1600</v>
      </c>
    </row>
    <row r="208">
      <c r="A208" s="24" t="s">
        <v>549</v>
      </c>
      <c r="B208" s="24" t="s">
        <v>22</v>
      </c>
      <c r="C208" s="24">
        <v>8.0</v>
      </c>
      <c r="D208" s="24" t="s">
        <v>1231</v>
      </c>
      <c r="E208" s="24">
        <v>15.0</v>
      </c>
      <c r="F208" s="24" t="s">
        <v>1155</v>
      </c>
      <c r="G208" s="24" t="s">
        <v>1209</v>
      </c>
      <c r="H208" s="24" t="s">
        <v>1593</v>
      </c>
      <c r="I208" s="24" t="s">
        <v>1577</v>
      </c>
      <c r="J208" s="24" t="s">
        <v>1578</v>
      </c>
      <c r="K208" s="24" t="s">
        <v>1419</v>
      </c>
      <c r="L208" s="24" t="s">
        <v>1579</v>
      </c>
      <c r="M208" s="25" t="s">
        <v>1607</v>
      </c>
      <c r="N208" s="25" t="s">
        <v>1163</v>
      </c>
      <c r="O208" s="25" t="s">
        <v>1608</v>
      </c>
      <c r="P208" s="28" t="s">
        <v>1353</v>
      </c>
      <c r="Q208" s="25" t="s">
        <v>1354</v>
      </c>
      <c r="R208" s="25" t="s">
        <v>1355</v>
      </c>
    </row>
    <row r="209">
      <c r="A209" s="24" t="s">
        <v>549</v>
      </c>
      <c r="B209" s="24" t="s">
        <v>22</v>
      </c>
      <c r="C209" s="24">
        <v>8.0</v>
      </c>
      <c r="D209" s="24" t="s">
        <v>1231</v>
      </c>
      <c r="E209" s="24">
        <v>16.0</v>
      </c>
      <c r="F209" s="24" t="s">
        <v>1168</v>
      </c>
      <c r="G209" s="24" t="s">
        <v>1209</v>
      </c>
      <c r="H209" s="24" t="s">
        <v>1593</v>
      </c>
      <c r="I209" s="24" t="s">
        <v>1577</v>
      </c>
      <c r="J209" s="24" t="s">
        <v>1578</v>
      </c>
      <c r="K209" s="24" t="s">
        <v>1419</v>
      </c>
      <c r="L209" s="24" t="s">
        <v>1579</v>
      </c>
      <c r="M209" s="25" t="s">
        <v>1203</v>
      </c>
      <c r="N209" s="25" t="s">
        <v>1192</v>
      </c>
      <c r="O209" s="25" t="s">
        <v>1204</v>
      </c>
      <c r="P209" s="27" t="s">
        <v>1598</v>
      </c>
      <c r="Q209" s="25" t="s">
        <v>1599</v>
      </c>
      <c r="R209" s="25" t="s">
        <v>1600</v>
      </c>
    </row>
    <row r="210">
      <c r="A210" s="24" t="s">
        <v>549</v>
      </c>
      <c r="B210" s="24" t="s">
        <v>153</v>
      </c>
      <c r="C210" s="24">
        <v>1.0</v>
      </c>
      <c r="D210" s="24" t="s">
        <v>1154</v>
      </c>
      <c r="E210" s="24">
        <v>1.0</v>
      </c>
      <c r="F210" s="24" t="s">
        <v>1155</v>
      </c>
      <c r="G210" s="24" t="s">
        <v>1237</v>
      </c>
      <c r="H210" s="24" t="s">
        <v>1609</v>
      </c>
      <c r="I210" s="24" t="s">
        <v>1610</v>
      </c>
      <c r="J210" s="24" t="s">
        <v>1611</v>
      </c>
      <c r="K210" s="24" t="s">
        <v>1612</v>
      </c>
      <c r="L210" s="24" t="s">
        <v>1613</v>
      </c>
      <c r="M210" s="25" t="s">
        <v>1614</v>
      </c>
      <c r="N210" s="25" t="s">
        <v>1163</v>
      </c>
      <c r="O210" s="25" t="s">
        <v>1615</v>
      </c>
      <c r="P210" s="28" t="s">
        <v>1353</v>
      </c>
      <c r="Q210" s="25" t="s">
        <v>1354</v>
      </c>
      <c r="R210" s="25" t="s">
        <v>1355</v>
      </c>
    </row>
    <row r="211">
      <c r="A211" s="24" t="s">
        <v>549</v>
      </c>
      <c r="B211" s="24" t="s">
        <v>153</v>
      </c>
      <c r="C211" s="24">
        <v>1.0</v>
      </c>
      <c r="D211" s="24" t="s">
        <v>1154</v>
      </c>
      <c r="E211" s="24">
        <v>2.0</v>
      </c>
      <c r="F211" s="24" t="s">
        <v>1168</v>
      </c>
      <c r="G211" s="24" t="s">
        <v>1237</v>
      </c>
      <c r="H211" s="24" t="s">
        <v>1609</v>
      </c>
      <c r="I211" s="24" t="s">
        <v>1610</v>
      </c>
      <c r="J211" s="24" t="s">
        <v>1611</v>
      </c>
      <c r="K211" s="24" t="s">
        <v>1612</v>
      </c>
      <c r="L211" s="24" t="s">
        <v>1613</v>
      </c>
      <c r="M211" s="25" t="s">
        <v>1616</v>
      </c>
      <c r="N211" s="25" t="s">
        <v>1214</v>
      </c>
      <c r="O211" s="25" t="s">
        <v>1617</v>
      </c>
      <c r="P211" s="25" t="s">
        <v>1502</v>
      </c>
      <c r="Q211" s="25" t="s">
        <v>1503</v>
      </c>
      <c r="R211" s="25" t="s">
        <v>1504</v>
      </c>
    </row>
    <row r="212">
      <c r="A212" s="24" t="s">
        <v>549</v>
      </c>
      <c r="B212" s="24" t="s">
        <v>153</v>
      </c>
      <c r="C212" s="24">
        <v>2.0</v>
      </c>
      <c r="D212" s="24" t="s">
        <v>1174</v>
      </c>
      <c r="E212" s="24">
        <v>3.0</v>
      </c>
      <c r="F212" s="24" t="s">
        <v>1155</v>
      </c>
      <c r="G212" s="24" t="s">
        <v>1237</v>
      </c>
      <c r="H212" s="24" t="s">
        <v>1609</v>
      </c>
      <c r="I212" s="24" t="s">
        <v>1610</v>
      </c>
      <c r="J212" s="24" t="s">
        <v>1611</v>
      </c>
      <c r="K212" s="24" t="s">
        <v>1612</v>
      </c>
      <c r="L212" s="24" t="s">
        <v>1613</v>
      </c>
      <c r="M212" s="25" t="s">
        <v>1618</v>
      </c>
      <c r="N212" s="25" t="s">
        <v>1163</v>
      </c>
      <c r="O212" s="25" t="s">
        <v>1619</v>
      </c>
      <c r="P212" s="28" t="s">
        <v>1353</v>
      </c>
      <c r="Q212" s="25" t="s">
        <v>1354</v>
      </c>
      <c r="R212" s="25" t="s">
        <v>1355</v>
      </c>
    </row>
    <row r="213">
      <c r="A213" s="24" t="s">
        <v>549</v>
      </c>
      <c r="B213" s="24" t="s">
        <v>153</v>
      </c>
      <c r="C213" s="24">
        <v>2.0</v>
      </c>
      <c r="D213" s="24" t="s">
        <v>1174</v>
      </c>
      <c r="E213" s="24">
        <v>4.0</v>
      </c>
      <c r="F213" s="24" t="s">
        <v>1168</v>
      </c>
      <c r="G213" s="24" t="s">
        <v>1237</v>
      </c>
      <c r="H213" s="24" t="s">
        <v>1609</v>
      </c>
      <c r="I213" s="24" t="s">
        <v>1610</v>
      </c>
      <c r="J213" s="24" t="s">
        <v>1611</v>
      </c>
      <c r="K213" s="24" t="s">
        <v>1612</v>
      </c>
      <c r="L213" s="24" t="s">
        <v>1613</v>
      </c>
      <c r="M213" s="25" t="s">
        <v>1620</v>
      </c>
      <c r="N213" s="25" t="s">
        <v>1214</v>
      </c>
      <c r="O213" s="25" t="s">
        <v>1621</v>
      </c>
      <c r="P213" s="25" t="s">
        <v>1502</v>
      </c>
      <c r="Q213" s="25" t="s">
        <v>1503</v>
      </c>
      <c r="R213" s="25" t="s">
        <v>1504</v>
      </c>
    </row>
    <row r="214">
      <c r="A214" s="24" t="s">
        <v>549</v>
      </c>
      <c r="B214" s="24" t="s">
        <v>153</v>
      </c>
      <c r="C214" s="24">
        <v>3.0</v>
      </c>
      <c r="D214" s="24" t="s">
        <v>1185</v>
      </c>
      <c r="E214" s="24">
        <v>5.0</v>
      </c>
      <c r="F214" s="24" t="s">
        <v>1155</v>
      </c>
      <c r="G214" s="24" t="s">
        <v>1237</v>
      </c>
      <c r="H214" s="24" t="s">
        <v>1609</v>
      </c>
      <c r="I214" s="24" t="s">
        <v>1610</v>
      </c>
      <c r="J214" s="24" t="s">
        <v>1611</v>
      </c>
      <c r="K214" s="24" t="s">
        <v>1612</v>
      </c>
      <c r="L214" s="24" t="s">
        <v>1613</v>
      </c>
      <c r="M214" s="25" t="s">
        <v>1622</v>
      </c>
      <c r="N214" s="25" t="s">
        <v>1163</v>
      </c>
      <c r="O214" s="25" t="s">
        <v>1623</v>
      </c>
      <c r="P214" s="28" t="s">
        <v>1353</v>
      </c>
      <c r="Q214" s="25" t="s">
        <v>1354</v>
      </c>
      <c r="R214" s="25" t="s">
        <v>1355</v>
      </c>
    </row>
    <row r="215">
      <c r="A215" s="24" t="s">
        <v>549</v>
      </c>
      <c r="B215" s="24" t="s">
        <v>153</v>
      </c>
      <c r="C215" s="24">
        <v>3.0</v>
      </c>
      <c r="D215" s="24" t="s">
        <v>1185</v>
      </c>
      <c r="E215" s="24">
        <v>6.0</v>
      </c>
      <c r="F215" s="24" t="s">
        <v>1168</v>
      </c>
      <c r="G215" s="24" t="s">
        <v>1237</v>
      </c>
      <c r="H215" s="24" t="s">
        <v>1609</v>
      </c>
      <c r="I215" s="24" t="s">
        <v>1610</v>
      </c>
      <c r="J215" s="24" t="s">
        <v>1611</v>
      </c>
      <c r="K215" s="24" t="s">
        <v>1612</v>
      </c>
      <c r="L215" s="24" t="s">
        <v>1613</v>
      </c>
      <c r="M215" s="27" t="s">
        <v>1573</v>
      </c>
      <c r="N215" s="25" t="s">
        <v>1192</v>
      </c>
      <c r="O215" s="25" t="s">
        <v>1624</v>
      </c>
      <c r="P215" s="25" t="s">
        <v>1502</v>
      </c>
      <c r="Q215" s="25" t="s">
        <v>1503</v>
      </c>
      <c r="R215" s="25" t="s">
        <v>1504</v>
      </c>
    </row>
    <row r="216">
      <c r="A216" s="24" t="s">
        <v>549</v>
      </c>
      <c r="B216" s="24" t="s">
        <v>153</v>
      </c>
      <c r="C216" s="24">
        <v>4.0</v>
      </c>
      <c r="D216" s="24" t="s">
        <v>1356</v>
      </c>
      <c r="E216" s="24">
        <v>7.0</v>
      </c>
      <c r="F216" s="24" t="s">
        <v>1155</v>
      </c>
      <c r="G216" s="24" t="s">
        <v>1237</v>
      </c>
      <c r="H216" s="24" t="s">
        <v>1609</v>
      </c>
      <c r="I216" s="24" t="s">
        <v>1610</v>
      </c>
      <c r="J216" s="24" t="s">
        <v>1611</v>
      </c>
      <c r="K216" s="24" t="s">
        <v>1612</v>
      </c>
      <c r="L216" s="24" t="s">
        <v>1613</v>
      </c>
      <c r="M216" s="25" t="s">
        <v>1584</v>
      </c>
      <c r="N216" s="25" t="s">
        <v>1163</v>
      </c>
      <c r="O216" s="25" t="s">
        <v>1625</v>
      </c>
      <c r="P216" s="28" t="s">
        <v>1353</v>
      </c>
      <c r="Q216" s="25" t="s">
        <v>1354</v>
      </c>
      <c r="R216" s="25" t="s">
        <v>1355</v>
      </c>
    </row>
    <row r="217">
      <c r="A217" s="24" t="s">
        <v>549</v>
      </c>
      <c r="B217" s="24" t="s">
        <v>153</v>
      </c>
      <c r="C217" s="24">
        <v>4.0</v>
      </c>
      <c r="D217" s="24" t="s">
        <v>1356</v>
      </c>
      <c r="E217" s="24">
        <v>8.0</v>
      </c>
      <c r="F217" s="24" t="s">
        <v>1168</v>
      </c>
      <c r="G217" s="24" t="s">
        <v>1237</v>
      </c>
      <c r="H217" s="24" t="s">
        <v>1609</v>
      </c>
      <c r="I217" s="24" t="s">
        <v>1610</v>
      </c>
      <c r="J217" s="24" t="s">
        <v>1611</v>
      </c>
      <c r="K217" s="24" t="s">
        <v>1612</v>
      </c>
      <c r="L217" s="24" t="s">
        <v>1613</v>
      </c>
      <c r="M217" s="25" t="s">
        <v>1203</v>
      </c>
      <c r="N217" s="25" t="s">
        <v>1192</v>
      </c>
      <c r="O217" s="25" t="s">
        <v>1204</v>
      </c>
      <c r="P217" s="27" t="s">
        <v>1502</v>
      </c>
      <c r="Q217" s="25" t="s">
        <v>1503</v>
      </c>
      <c r="R217" s="25" t="s">
        <v>1504</v>
      </c>
    </row>
    <row r="218">
      <c r="A218" s="24" t="s">
        <v>549</v>
      </c>
      <c r="B218" s="24" t="s">
        <v>153</v>
      </c>
      <c r="C218" s="24">
        <v>5.0</v>
      </c>
      <c r="D218" s="24" t="s">
        <v>1208</v>
      </c>
      <c r="E218" s="24">
        <v>9.0</v>
      </c>
      <c r="F218" s="24" t="s">
        <v>1155</v>
      </c>
      <c r="G218" s="24" t="s">
        <v>1261</v>
      </c>
      <c r="H218" s="24" t="s">
        <v>1515</v>
      </c>
      <c r="I218" s="24" t="s">
        <v>1610</v>
      </c>
      <c r="J218" s="24" t="s">
        <v>1611</v>
      </c>
      <c r="K218" s="24" t="s">
        <v>1612</v>
      </c>
      <c r="L218" s="24" t="s">
        <v>1626</v>
      </c>
      <c r="M218" s="25" t="s">
        <v>1627</v>
      </c>
      <c r="N218" s="25" t="s">
        <v>1163</v>
      </c>
      <c r="O218" s="25" t="s">
        <v>1628</v>
      </c>
      <c r="P218" s="28" t="s">
        <v>1353</v>
      </c>
      <c r="Q218" s="25" t="s">
        <v>1354</v>
      </c>
      <c r="R218" s="25" t="s">
        <v>1355</v>
      </c>
    </row>
    <row r="219">
      <c r="A219" s="24" t="s">
        <v>549</v>
      </c>
      <c r="B219" s="24" t="s">
        <v>153</v>
      </c>
      <c r="C219" s="24">
        <v>5.0</v>
      </c>
      <c r="D219" s="24" t="s">
        <v>1208</v>
      </c>
      <c r="E219" s="24">
        <v>10.0</v>
      </c>
      <c r="F219" s="24" t="s">
        <v>1168</v>
      </c>
      <c r="G219" s="24" t="s">
        <v>1261</v>
      </c>
      <c r="H219" s="24" t="s">
        <v>1515</v>
      </c>
      <c r="I219" s="24" t="s">
        <v>1610</v>
      </c>
      <c r="J219" s="24" t="s">
        <v>1611</v>
      </c>
      <c r="K219" s="24" t="s">
        <v>1612</v>
      </c>
      <c r="L219" s="24" t="s">
        <v>1626</v>
      </c>
      <c r="M219" s="25" t="s">
        <v>1629</v>
      </c>
      <c r="N219" s="25" t="s">
        <v>1214</v>
      </c>
      <c r="O219" s="25" t="s">
        <v>1630</v>
      </c>
      <c r="P219" s="27" t="s">
        <v>1502</v>
      </c>
      <c r="Q219" s="25" t="s">
        <v>1503</v>
      </c>
      <c r="R219" s="25" t="s">
        <v>1504</v>
      </c>
    </row>
    <row r="220">
      <c r="A220" s="24" t="s">
        <v>549</v>
      </c>
      <c r="B220" s="24" t="s">
        <v>153</v>
      </c>
      <c r="C220" s="24">
        <v>6.0</v>
      </c>
      <c r="D220" s="24" t="s">
        <v>1174</v>
      </c>
      <c r="E220" s="24">
        <v>11.0</v>
      </c>
      <c r="F220" s="24" t="s">
        <v>1155</v>
      </c>
      <c r="G220" s="24" t="s">
        <v>1261</v>
      </c>
      <c r="H220" s="24" t="s">
        <v>1515</v>
      </c>
      <c r="I220" s="24" t="s">
        <v>1610</v>
      </c>
      <c r="J220" s="24" t="s">
        <v>1611</v>
      </c>
      <c r="K220" s="24" t="s">
        <v>1612</v>
      </c>
      <c r="L220" s="24" t="s">
        <v>1626</v>
      </c>
      <c r="M220" s="25" t="s">
        <v>1631</v>
      </c>
      <c r="N220" s="25" t="s">
        <v>1163</v>
      </c>
      <c r="O220" s="25" t="s">
        <v>1632</v>
      </c>
      <c r="P220" s="28" t="s">
        <v>1353</v>
      </c>
      <c r="Q220" s="25" t="s">
        <v>1354</v>
      </c>
      <c r="R220" s="25" t="s">
        <v>1355</v>
      </c>
    </row>
    <row r="221">
      <c r="A221" s="24" t="s">
        <v>549</v>
      </c>
      <c r="B221" s="24" t="s">
        <v>153</v>
      </c>
      <c r="C221" s="24">
        <v>6.0</v>
      </c>
      <c r="D221" s="24" t="s">
        <v>1174</v>
      </c>
      <c r="E221" s="24">
        <v>12.0</v>
      </c>
      <c r="F221" s="24" t="s">
        <v>1168</v>
      </c>
      <c r="G221" s="24" t="s">
        <v>1261</v>
      </c>
      <c r="H221" s="24" t="s">
        <v>1515</v>
      </c>
      <c r="I221" s="24" t="s">
        <v>1610</v>
      </c>
      <c r="J221" s="24" t="s">
        <v>1611</v>
      </c>
      <c r="K221" s="24" t="s">
        <v>1612</v>
      </c>
      <c r="L221" s="24" t="s">
        <v>1626</v>
      </c>
      <c r="M221" s="25" t="s">
        <v>1388</v>
      </c>
      <c r="N221" s="25" t="s">
        <v>1214</v>
      </c>
      <c r="O221" s="25" t="s">
        <v>1633</v>
      </c>
      <c r="P221" s="25" t="s">
        <v>1502</v>
      </c>
      <c r="Q221" s="25" t="s">
        <v>1503</v>
      </c>
      <c r="R221" s="25" t="s">
        <v>1504</v>
      </c>
    </row>
    <row r="222">
      <c r="A222" s="24" t="s">
        <v>549</v>
      </c>
      <c r="B222" s="24" t="s">
        <v>153</v>
      </c>
      <c r="C222" s="24">
        <v>7.0</v>
      </c>
      <c r="D222" s="24" t="s">
        <v>1227</v>
      </c>
      <c r="E222" s="24">
        <v>13.0</v>
      </c>
      <c r="F222" s="24" t="s">
        <v>1155</v>
      </c>
      <c r="G222" s="24" t="s">
        <v>1261</v>
      </c>
      <c r="H222" s="24" t="s">
        <v>1515</v>
      </c>
      <c r="I222" s="24" t="s">
        <v>1610</v>
      </c>
      <c r="J222" s="24" t="s">
        <v>1611</v>
      </c>
      <c r="K222" s="24" t="s">
        <v>1612</v>
      </c>
      <c r="L222" s="24" t="s">
        <v>1626</v>
      </c>
      <c r="M222" s="25" t="s">
        <v>1634</v>
      </c>
      <c r="N222" s="25" t="s">
        <v>1163</v>
      </c>
      <c r="O222" s="25" t="s">
        <v>1635</v>
      </c>
      <c r="P222" s="28" t="s">
        <v>1353</v>
      </c>
      <c r="Q222" s="25" t="s">
        <v>1354</v>
      </c>
      <c r="R222" s="25" t="s">
        <v>1355</v>
      </c>
    </row>
    <row r="223">
      <c r="A223" s="24" t="s">
        <v>549</v>
      </c>
      <c r="B223" s="24" t="s">
        <v>153</v>
      </c>
      <c r="C223" s="24">
        <v>7.0</v>
      </c>
      <c r="D223" s="24" t="s">
        <v>1227</v>
      </c>
      <c r="E223" s="24">
        <v>14.0</v>
      </c>
      <c r="F223" s="24" t="s">
        <v>1168</v>
      </c>
      <c r="G223" s="24" t="s">
        <v>1261</v>
      </c>
      <c r="H223" s="24" t="s">
        <v>1515</v>
      </c>
      <c r="I223" s="24" t="s">
        <v>1610</v>
      </c>
      <c r="J223" s="24" t="s">
        <v>1611</v>
      </c>
      <c r="K223" s="24" t="s">
        <v>1612</v>
      </c>
      <c r="L223" s="24" t="s">
        <v>1626</v>
      </c>
      <c r="M223" s="27" t="s">
        <v>1573</v>
      </c>
      <c r="N223" s="25" t="s">
        <v>1192</v>
      </c>
      <c r="O223" s="25" t="s">
        <v>1636</v>
      </c>
      <c r="P223" s="25" t="s">
        <v>1502</v>
      </c>
      <c r="Q223" s="25" t="s">
        <v>1503</v>
      </c>
      <c r="R223" s="25" t="s">
        <v>1504</v>
      </c>
    </row>
    <row r="224">
      <c r="A224" s="24" t="s">
        <v>549</v>
      </c>
      <c r="B224" s="24" t="s">
        <v>153</v>
      </c>
      <c r="C224" s="24">
        <v>8.0</v>
      </c>
      <c r="D224" s="24" t="s">
        <v>1231</v>
      </c>
      <c r="E224" s="24">
        <v>15.0</v>
      </c>
      <c r="F224" s="24" t="s">
        <v>1155</v>
      </c>
      <c r="G224" s="24" t="s">
        <v>1261</v>
      </c>
      <c r="H224" s="24" t="s">
        <v>1515</v>
      </c>
      <c r="I224" s="24" t="s">
        <v>1610</v>
      </c>
      <c r="J224" s="24" t="s">
        <v>1611</v>
      </c>
      <c r="K224" s="24" t="s">
        <v>1612</v>
      </c>
      <c r="L224" s="24" t="s">
        <v>1626</v>
      </c>
      <c r="M224" s="25" t="s">
        <v>1607</v>
      </c>
      <c r="N224" s="25" t="s">
        <v>1163</v>
      </c>
      <c r="O224" s="25" t="s">
        <v>1637</v>
      </c>
      <c r="P224" s="28" t="s">
        <v>1353</v>
      </c>
      <c r="Q224" s="25" t="s">
        <v>1354</v>
      </c>
      <c r="R224" s="25" t="s">
        <v>1355</v>
      </c>
    </row>
    <row r="225">
      <c r="A225" s="24" t="s">
        <v>549</v>
      </c>
      <c r="B225" s="24" t="s">
        <v>153</v>
      </c>
      <c r="C225" s="24">
        <v>8.0</v>
      </c>
      <c r="D225" s="24" t="s">
        <v>1231</v>
      </c>
      <c r="E225" s="24">
        <v>16.0</v>
      </c>
      <c r="F225" s="24" t="s">
        <v>1168</v>
      </c>
      <c r="G225" s="24" t="s">
        <v>1261</v>
      </c>
      <c r="H225" s="24" t="s">
        <v>1515</v>
      </c>
      <c r="I225" s="24" t="s">
        <v>1610</v>
      </c>
      <c r="J225" s="24" t="s">
        <v>1611</v>
      </c>
      <c r="K225" s="24" t="s">
        <v>1612</v>
      </c>
      <c r="L225" s="24" t="s">
        <v>1626</v>
      </c>
      <c r="M225" s="25" t="s">
        <v>1638</v>
      </c>
      <c r="N225" s="25" t="s">
        <v>1192</v>
      </c>
      <c r="O225" s="25" t="s">
        <v>1204</v>
      </c>
      <c r="P225" s="27" t="s">
        <v>1502</v>
      </c>
      <c r="Q225" s="25" t="s">
        <v>1503</v>
      </c>
      <c r="R225" s="25" t="s">
        <v>1504</v>
      </c>
    </row>
    <row r="226">
      <c r="A226" s="24" t="s">
        <v>549</v>
      </c>
      <c r="B226" s="24" t="s">
        <v>264</v>
      </c>
      <c r="C226" s="24">
        <v>1.0</v>
      </c>
      <c r="D226" s="24" t="s">
        <v>1154</v>
      </c>
      <c r="E226" s="24">
        <v>1.0</v>
      </c>
      <c r="F226" s="24" t="s">
        <v>1155</v>
      </c>
      <c r="G226" s="24" t="s">
        <v>1273</v>
      </c>
      <c r="H226" s="24" t="s">
        <v>1639</v>
      </c>
      <c r="I226" s="24" t="s">
        <v>1640</v>
      </c>
      <c r="J226" s="24" t="s">
        <v>1641</v>
      </c>
      <c r="K226" s="24" t="s">
        <v>1642</v>
      </c>
      <c r="L226" s="24" t="s">
        <v>1643</v>
      </c>
      <c r="M226" s="25" t="s">
        <v>1644</v>
      </c>
      <c r="N226" s="25" t="s">
        <v>1163</v>
      </c>
      <c r="O226" s="25" t="s">
        <v>1645</v>
      </c>
      <c r="P226" s="28" t="s">
        <v>1353</v>
      </c>
      <c r="Q226" s="25" t="s">
        <v>1354</v>
      </c>
      <c r="R226" s="25" t="s">
        <v>1355</v>
      </c>
    </row>
    <row r="227">
      <c r="A227" s="24" t="s">
        <v>549</v>
      </c>
      <c r="B227" s="24" t="s">
        <v>264</v>
      </c>
      <c r="C227" s="24">
        <v>1.0</v>
      </c>
      <c r="D227" s="24" t="s">
        <v>1154</v>
      </c>
      <c r="E227" s="24">
        <v>2.0</v>
      </c>
      <c r="F227" s="24" t="s">
        <v>1168</v>
      </c>
      <c r="G227" s="24" t="s">
        <v>1273</v>
      </c>
      <c r="H227" s="24" t="s">
        <v>1639</v>
      </c>
      <c r="I227" s="24" t="s">
        <v>1640</v>
      </c>
      <c r="J227" s="24" t="s">
        <v>1641</v>
      </c>
      <c r="K227" s="24" t="s">
        <v>1642</v>
      </c>
      <c r="L227" s="24" t="s">
        <v>1643</v>
      </c>
      <c r="M227" s="25" t="s">
        <v>1646</v>
      </c>
      <c r="N227" s="25" t="s">
        <v>1214</v>
      </c>
      <c r="O227" s="25" t="s">
        <v>1647</v>
      </c>
      <c r="P227" s="25" t="s">
        <v>1648</v>
      </c>
      <c r="Q227" s="25" t="s">
        <v>1649</v>
      </c>
      <c r="R227" s="25" t="s">
        <v>1650</v>
      </c>
    </row>
    <row r="228">
      <c r="A228" s="24" t="s">
        <v>549</v>
      </c>
      <c r="B228" s="24" t="s">
        <v>264</v>
      </c>
      <c r="C228" s="24">
        <v>2.0</v>
      </c>
      <c r="D228" s="24" t="s">
        <v>1174</v>
      </c>
      <c r="E228" s="24">
        <v>3.0</v>
      </c>
      <c r="F228" s="24" t="s">
        <v>1155</v>
      </c>
      <c r="G228" s="24" t="s">
        <v>1273</v>
      </c>
      <c r="H228" s="24" t="s">
        <v>1639</v>
      </c>
      <c r="I228" s="24" t="s">
        <v>1640</v>
      </c>
      <c r="J228" s="24" t="s">
        <v>1641</v>
      </c>
      <c r="K228" s="24" t="s">
        <v>1642</v>
      </c>
      <c r="L228" s="24" t="s">
        <v>1643</v>
      </c>
      <c r="M228" s="25" t="s">
        <v>1651</v>
      </c>
      <c r="N228" s="25" t="s">
        <v>1163</v>
      </c>
      <c r="O228" s="25" t="s">
        <v>1652</v>
      </c>
      <c r="P228" s="28" t="s">
        <v>1353</v>
      </c>
      <c r="Q228" s="25" t="s">
        <v>1354</v>
      </c>
      <c r="R228" s="25" t="s">
        <v>1355</v>
      </c>
    </row>
    <row r="229">
      <c r="A229" s="24" t="s">
        <v>549</v>
      </c>
      <c r="B229" s="24" t="s">
        <v>264</v>
      </c>
      <c r="C229" s="24">
        <v>2.0</v>
      </c>
      <c r="D229" s="24" t="s">
        <v>1174</v>
      </c>
      <c r="E229" s="24">
        <v>4.0</v>
      </c>
      <c r="F229" s="24" t="s">
        <v>1168</v>
      </c>
      <c r="G229" s="24" t="s">
        <v>1273</v>
      </c>
      <c r="H229" s="24" t="s">
        <v>1639</v>
      </c>
      <c r="I229" s="24" t="s">
        <v>1640</v>
      </c>
      <c r="J229" s="24" t="s">
        <v>1641</v>
      </c>
      <c r="K229" s="24" t="s">
        <v>1642</v>
      </c>
      <c r="L229" s="24" t="s">
        <v>1643</v>
      </c>
      <c r="M229" s="25" t="s">
        <v>1653</v>
      </c>
      <c r="N229" s="25" t="s">
        <v>1214</v>
      </c>
      <c r="O229" s="25" t="s">
        <v>1654</v>
      </c>
      <c r="P229" s="25" t="s">
        <v>1648</v>
      </c>
      <c r="Q229" s="25" t="s">
        <v>1649</v>
      </c>
      <c r="R229" s="25" t="s">
        <v>1650</v>
      </c>
    </row>
    <row r="230">
      <c r="A230" s="24" t="s">
        <v>549</v>
      </c>
      <c r="B230" s="24" t="s">
        <v>264</v>
      </c>
      <c r="C230" s="24">
        <v>3.0</v>
      </c>
      <c r="D230" s="24" t="s">
        <v>1185</v>
      </c>
      <c r="E230" s="24">
        <v>5.0</v>
      </c>
      <c r="F230" s="24" t="s">
        <v>1155</v>
      </c>
      <c r="G230" s="24" t="s">
        <v>1273</v>
      </c>
      <c r="H230" s="24" t="s">
        <v>1639</v>
      </c>
      <c r="I230" s="24" t="s">
        <v>1640</v>
      </c>
      <c r="J230" s="24" t="s">
        <v>1641</v>
      </c>
      <c r="K230" s="24" t="s">
        <v>1642</v>
      </c>
      <c r="L230" s="24" t="s">
        <v>1643</v>
      </c>
      <c r="M230" s="25" t="s">
        <v>1622</v>
      </c>
      <c r="N230" s="25" t="s">
        <v>1163</v>
      </c>
      <c r="O230" s="25" t="s">
        <v>1655</v>
      </c>
      <c r="P230" s="28" t="s">
        <v>1353</v>
      </c>
      <c r="Q230" s="25" t="s">
        <v>1354</v>
      </c>
      <c r="R230" s="25" t="s">
        <v>1355</v>
      </c>
    </row>
    <row r="231">
      <c r="A231" s="24" t="s">
        <v>549</v>
      </c>
      <c r="B231" s="24" t="s">
        <v>264</v>
      </c>
      <c r="C231" s="24">
        <v>3.0</v>
      </c>
      <c r="D231" s="24" t="s">
        <v>1185</v>
      </c>
      <c r="E231" s="24">
        <v>6.0</v>
      </c>
      <c r="F231" s="24" t="s">
        <v>1168</v>
      </c>
      <c r="G231" s="24" t="s">
        <v>1273</v>
      </c>
      <c r="H231" s="24" t="s">
        <v>1639</v>
      </c>
      <c r="I231" s="24" t="s">
        <v>1640</v>
      </c>
      <c r="J231" s="24" t="s">
        <v>1641</v>
      </c>
      <c r="K231" s="24" t="s">
        <v>1642</v>
      </c>
      <c r="L231" s="24" t="s">
        <v>1643</v>
      </c>
      <c r="M231" s="27" t="s">
        <v>1656</v>
      </c>
      <c r="N231" s="25" t="s">
        <v>1214</v>
      </c>
      <c r="O231" s="25" t="s">
        <v>1657</v>
      </c>
      <c r="P231" s="25" t="s">
        <v>1494</v>
      </c>
      <c r="Q231" s="25" t="s">
        <v>1658</v>
      </c>
      <c r="R231" s="25" t="s">
        <v>1659</v>
      </c>
    </row>
    <row r="232">
      <c r="A232" s="24" t="s">
        <v>549</v>
      </c>
      <c r="B232" s="24" t="s">
        <v>264</v>
      </c>
      <c r="C232" s="24">
        <v>4.0</v>
      </c>
      <c r="D232" s="24" t="s">
        <v>1356</v>
      </c>
      <c r="E232" s="24">
        <v>7.0</v>
      </c>
      <c r="F232" s="24" t="s">
        <v>1155</v>
      </c>
      <c r="G232" s="24" t="s">
        <v>1273</v>
      </c>
      <c r="H232" s="24" t="s">
        <v>1639</v>
      </c>
      <c r="I232" s="24" t="s">
        <v>1640</v>
      </c>
      <c r="J232" s="24" t="s">
        <v>1641</v>
      </c>
      <c r="K232" s="24" t="s">
        <v>1642</v>
      </c>
      <c r="L232" s="24" t="s">
        <v>1643</v>
      </c>
      <c r="M232" s="25" t="s">
        <v>1660</v>
      </c>
      <c r="N232" s="25" t="s">
        <v>1163</v>
      </c>
      <c r="O232" s="25" t="s">
        <v>1661</v>
      </c>
      <c r="P232" s="28" t="s">
        <v>1353</v>
      </c>
      <c r="Q232" s="25" t="s">
        <v>1354</v>
      </c>
      <c r="R232" s="25" t="s">
        <v>1355</v>
      </c>
    </row>
    <row r="233">
      <c r="A233" s="24" t="s">
        <v>549</v>
      </c>
      <c r="B233" s="24" t="s">
        <v>264</v>
      </c>
      <c r="C233" s="24">
        <v>4.0</v>
      </c>
      <c r="D233" s="24" t="s">
        <v>1356</v>
      </c>
      <c r="E233" s="24">
        <v>8.0</v>
      </c>
      <c r="F233" s="24" t="s">
        <v>1168</v>
      </c>
      <c r="G233" s="24" t="s">
        <v>1273</v>
      </c>
      <c r="H233" s="24" t="s">
        <v>1639</v>
      </c>
      <c r="I233" s="24" t="s">
        <v>1640</v>
      </c>
      <c r="J233" s="24" t="s">
        <v>1641</v>
      </c>
      <c r="K233" s="24" t="s">
        <v>1642</v>
      </c>
      <c r="L233" s="24" t="s">
        <v>1643</v>
      </c>
      <c r="M233" s="25" t="s">
        <v>1662</v>
      </c>
      <c r="N233" s="25" t="s">
        <v>1192</v>
      </c>
      <c r="O233" s="25" t="s">
        <v>1663</v>
      </c>
      <c r="P233" s="27" t="s">
        <v>1494</v>
      </c>
      <c r="Q233" s="25" t="s">
        <v>1658</v>
      </c>
      <c r="R233" s="25" t="s">
        <v>1659</v>
      </c>
    </row>
    <row r="234">
      <c r="A234" s="24" t="s">
        <v>549</v>
      </c>
      <c r="B234" s="24" t="s">
        <v>264</v>
      </c>
      <c r="C234" s="24">
        <v>5.0</v>
      </c>
      <c r="D234" s="24" t="s">
        <v>1208</v>
      </c>
      <c r="E234" s="24">
        <v>9.0</v>
      </c>
      <c r="F234" s="24" t="s">
        <v>1155</v>
      </c>
      <c r="G234" s="24" t="s">
        <v>1295</v>
      </c>
      <c r="H234" s="24" t="s">
        <v>1639</v>
      </c>
      <c r="I234" s="24" t="s">
        <v>1640</v>
      </c>
      <c r="J234" s="24" t="s">
        <v>1641</v>
      </c>
      <c r="K234" s="24" t="s">
        <v>1642</v>
      </c>
      <c r="L234" s="24" t="s">
        <v>1643</v>
      </c>
      <c r="M234" s="25" t="s">
        <v>1510</v>
      </c>
      <c r="N234" s="25" t="s">
        <v>1163</v>
      </c>
      <c r="O234" s="25" t="s">
        <v>1664</v>
      </c>
      <c r="P234" s="28" t="s">
        <v>1353</v>
      </c>
      <c r="Q234" s="25" t="s">
        <v>1354</v>
      </c>
      <c r="R234" s="25" t="s">
        <v>1355</v>
      </c>
    </row>
    <row r="235">
      <c r="A235" s="24" t="s">
        <v>549</v>
      </c>
      <c r="B235" s="24" t="s">
        <v>264</v>
      </c>
      <c r="C235" s="24">
        <v>5.0</v>
      </c>
      <c r="D235" s="24" t="s">
        <v>1208</v>
      </c>
      <c r="E235" s="24">
        <v>10.0</v>
      </c>
      <c r="F235" s="24" t="s">
        <v>1168</v>
      </c>
      <c r="G235" s="24" t="s">
        <v>1295</v>
      </c>
      <c r="H235" s="24" t="s">
        <v>1639</v>
      </c>
      <c r="I235" s="24" t="s">
        <v>1640</v>
      </c>
      <c r="J235" s="24" t="s">
        <v>1641</v>
      </c>
      <c r="K235" s="24" t="s">
        <v>1642</v>
      </c>
      <c r="L235" s="24" t="s">
        <v>1643</v>
      </c>
      <c r="M235" s="25" t="s">
        <v>1646</v>
      </c>
      <c r="N235" s="25" t="s">
        <v>1214</v>
      </c>
      <c r="O235" s="25" t="s">
        <v>1647</v>
      </c>
      <c r="P235" s="25" t="s">
        <v>1648</v>
      </c>
      <c r="Q235" s="25" t="s">
        <v>1649</v>
      </c>
      <c r="R235" s="25" t="s">
        <v>1650</v>
      </c>
    </row>
    <row r="236">
      <c r="A236" s="24" t="s">
        <v>549</v>
      </c>
      <c r="B236" s="24" t="s">
        <v>264</v>
      </c>
      <c r="C236" s="24">
        <v>6.0</v>
      </c>
      <c r="D236" s="24" t="s">
        <v>1174</v>
      </c>
      <c r="E236" s="24">
        <v>11.0</v>
      </c>
      <c r="F236" s="24" t="s">
        <v>1155</v>
      </c>
      <c r="G236" s="24" t="s">
        <v>1295</v>
      </c>
      <c r="H236" s="24" t="s">
        <v>1639</v>
      </c>
      <c r="I236" s="24" t="s">
        <v>1640</v>
      </c>
      <c r="J236" s="24" t="s">
        <v>1641</v>
      </c>
      <c r="K236" s="24" t="s">
        <v>1642</v>
      </c>
      <c r="L236" s="24" t="s">
        <v>1643</v>
      </c>
      <c r="M236" s="25" t="s">
        <v>1651</v>
      </c>
      <c r="N236" s="25" t="s">
        <v>1163</v>
      </c>
      <c r="O236" s="25" t="s">
        <v>1665</v>
      </c>
      <c r="P236" s="28" t="s">
        <v>1353</v>
      </c>
      <c r="Q236" s="25" t="s">
        <v>1354</v>
      </c>
      <c r="R236" s="25" t="s">
        <v>1355</v>
      </c>
    </row>
    <row r="237">
      <c r="A237" s="24" t="s">
        <v>549</v>
      </c>
      <c r="B237" s="24" t="s">
        <v>264</v>
      </c>
      <c r="C237" s="24">
        <v>6.0</v>
      </c>
      <c r="D237" s="24" t="s">
        <v>1174</v>
      </c>
      <c r="E237" s="24">
        <v>12.0</v>
      </c>
      <c r="F237" s="24" t="s">
        <v>1168</v>
      </c>
      <c r="G237" s="24" t="s">
        <v>1295</v>
      </c>
      <c r="H237" s="24" t="s">
        <v>1639</v>
      </c>
      <c r="I237" s="24" t="s">
        <v>1640</v>
      </c>
      <c r="J237" s="24" t="s">
        <v>1641</v>
      </c>
      <c r="K237" s="24" t="s">
        <v>1642</v>
      </c>
      <c r="L237" s="24" t="s">
        <v>1643</v>
      </c>
      <c r="M237" s="25" t="s">
        <v>1653</v>
      </c>
      <c r="N237" s="25" t="s">
        <v>1214</v>
      </c>
      <c r="O237" s="25" t="s">
        <v>1654</v>
      </c>
      <c r="P237" s="25" t="s">
        <v>1648</v>
      </c>
      <c r="Q237" s="25" t="s">
        <v>1649</v>
      </c>
      <c r="R237" s="25" t="s">
        <v>1650</v>
      </c>
    </row>
    <row r="238">
      <c r="A238" s="24" t="s">
        <v>549</v>
      </c>
      <c r="B238" s="24" t="s">
        <v>264</v>
      </c>
      <c r="C238" s="24">
        <v>7.0</v>
      </c>
      <c r="D238" s="24" t="s">
        <v>1227</v>
      </c>
      <c r="E238" s="24">
        <v>13.0</v>
      </c>
      <c r="F238" s="24" t="s">
        <v>1155</v>
      </c>
      <c r="G238" s="24" t="s">
        <v>1295</v>
      </c>
      <c r="H238" s="24" t="s">
        <v>1639</v>
      </c>
      <c r="I238" s="24" t="s">
        <v>1640</v>
      </c>
      <c r="J238" s="24" t="s">
        <v>1641</v>
      </c>
      <c r="K238" s="24" t="s">
        <v>1642</v>
      </c>
      <c r="L238" s="24" t="s">
        <v>1643</v>
      </c>
      <c r="M238" s="25" t="s">
        <v>1666</v>
      </c>
      <c r="N238" s="25" t="s">
        <v>1163</v>
      </c>
      <c r="O238" s="25" t="s">
        <v>1667</v>
      </c>
      <c r="P238" s="28" t="s">
        <v>1353</v>
      </c>
      <c r="Q238" s="25" t="s">
        <v>1354</v>
      </c>
      <c r="R238" s="25" t="s">
        <v>1355</v>
      </c>
    </row>
    <row r="239">
      <c r="A239" s="24" t="s">
        <v>549</v>
      </c>
      <c r="B239" s="24" t="s">
        <v>264</v>
      </c>
      <c r="C239" s="24">
        <v>7.0</v>
      </c>
      <c r="D239" s="24" t="s">
        <v>1227</v>
      </c>
      <c r="E239" s="24">
        <v>14.0</v>
      </c>
      <c r="F239" s="24" t="s">
        <v>1168</v>
      </c>
      <c r="G239" s="24" t="s">
        <v>1295</v>
      </c>
      <c r="H239" s="24" t="s">
        <v>1639</v>
      </c>
      <c r="I239" s="24" t="s">
        <v>1640</v>
      </c>
      <c r="J239" s="24" t="s">
        <v>1641</v>
      </c>
      <c r="K239" s="24" t="s">
        <v>1642</v>
      </c>
      <c r="L239" s="24" t="s">
        <v>1643</v>
      </c>
      <c r="M239" s="27" t="s">
        <v>1656</v>
      </c>
      <c r="N239" s="25" t="s">
        <v>1214</v>
      </c>
      <c r="O239" s="25" t="s">
        <v>1657</v>
      </c>
      <c r="P239" s="25" t="s">
        <v>1494</v>
      </c>
      <c r="Q239" s="25" t="s">
        <v>1658</v>
      </c>
      <c r="R239" s="25" t="s">
        <v>1659</v>
      </c>
    </row>
    <row r="240">
      <c r="A240" s="24" t="s">
        <v>549</v>
      </c>
      <c r="B240" s="24" t="s">
        <v>264</v>
      </c>
      <c r="C240" s="24">
        <v>8.0</v>
      </c>
      <c r="D240" s="24" t="s">
        <v>1231</v>
      </c>
      <c r="E240" s="24">
        <v>15.0</v>
      </c>
      <c r="F240" s="24" t="s">
        <v>1155</v>
      </c>
      <c r="G240" s="24" t="s">
        <v>1295</v>
      </c>
      <c r="H240" s="24" t="s">
        <v>1639</v>
      </c>
      <c r="I240" s="24" t="s">
        <v>1640</v>
      </c>
      <c r="J240" s="24" t="s">
        <v>1641</v>
      </c>
      <c r="K240" s="24" t="s">
        <v>1642</v>
      </c>
      <c r="L240" s="24" t="s">
        <v>1643</v>
      </c>
      <c r="M240" s="25" t="s">
        <v>1607</v>
      </c>
      <c r="N240" s="25" t="s">
        <v>1163</v>
      </c>
      <c r="O240" s="25" t="s">
        <v>1668</v>
      </c>
      <c r="P240" s="28" t="s">
        <v>1353</v>
      </c>
      <c r="Q240" s="25" t="s">
        <v>1354</v>
      </c>
      <c r="R240" s="25" t="s">
        <v>1355</v>
      </c>
    </row>
    <row r="241">
      <c r="A241" s="24" t="s">
        <v>549</v>
      </c>
      <c r="B241" s="24" t="s">
        <v>264</v>
      </c>
      <c r="C241" s="24">
        <v>8.0</v>
      </c>
      <c r="D241" s="24" t="s">
        <v>1231</v>
      </c>
      <c r="E241" s="24">
        <v>16.0</v>
      </c>
      <c r="F241" s="24" t="s">
        <v>1168</v>
      </c>
      <c r="G241" s="24" t="s">
        <v>1295</v>
      </c>
      <c r="H241" s="24" t="s">
        <v>1639</v>
      </c>
      <c r="I241" s="24" t="s">
        <v>1640</v>
      </c>
      <c r="J241" s="24" t="s">
        <v>1641</v>
      </c>
      <c r="K241" s="24" t="s">
        <v>1642</v>
      </c>
      <c r="L241" s="24" t="s">
        <v>1643</v>
      </c>
      <c r="M241" s="25" t="s">
        <v>1662</v>
      </c>
      <c r="N241" s="25" t="s">
        <v>1192</v>
      </c>
      <c r="O241" s="25" t="s">
        <v>1663</v>
      </c>
      <c r="P241" s="27" t="s">
        <v>1494</v>
      </c>
      <c r="Q241" s="25" t="s">
        <v>1658</v>
      </c>
      <c r="R241" s="25" t="s">
        <v>1659</v>
      </c>
    </row>
    <row r="242">
      <c r="A242" s="24" t="s">
        <v>549</v>
      </c>
      <c r="B242" s="24" t="s">
        <v>313</v>
      </c>
      <c r="C242" s="24">
        <v>1.0</v>
      </c>
      <c r="D242" s="24" t="s">
        <v>1154</v>
      </c>
      <c r="E242" s="24">
        <v>1.0</v>
      </c>
      <c r="F242" s="24" t="s">
        <v>1155</v>
      </c>
      <c r="G242" s="24" t="s">
        <v>1305</v>
      </c>
      <c r="H242" s="24" t="s">
        <v>1639</v>
      </c>
      <c r="I242" s="24" t="s">
        <v>1669</v>
      </c>
      <c r="J242" s="24" t="s">
        <v>1670</v>
      </c>
      <c r="K242" s="24" t="s">
        <v>1671</v>
      </c>
      <c r="L242" s="24" t="s">
        <v>1533</v>
      </c>
      <c r="M242" s="25" t="s">
        <v>1672</v>
      </c>
      <c r="N242" s="25" t="s">
        <v>1163</v>
      </c>
      <c r="O242" s="25" t="s">
        <v>1673</v>
      </c>
      <c r="P242" s="28" t="s">
        <v>1353</v>
      </c>
      <c r="Q242" s="25" t="s">
        <v>1354</v>
      </c>
      <c r="R242" s="25" t="s">
        <v>1355</v>
      </c>
    </row>
    <row r="243">
      <c r="A243" s="24" t="s">
        <v>549</v>
      </c>
      <c r="B243" s="24" t="s">
        <v>313</v>
      </c>
      <c r="C243" s="24">
        <v>1.0</v>
      </c>
      <c r="D243" s="24" t="s">
        <v>1154</v>
      </c>
      <c r="E243" s="24">
        <v>2.0</v>
      </c>
      <c r="F243" s="24" t="s">
        <v>1168</v>
      </c>
      <c r="G243" s="24" t="s">
        <v>1305</v>
      </c>
      <c r="H243" s="24" t="s">
        <v>1639</v>
      </c>
      <c r="I243" s="24" t="s">
        <v>1669</v>
      </c>
      <c r="J243" s="24" t="s">
        <v>1670</v>
      </c>
      <c r="K243" s="24" t="s">
        <v>1671</v>
      </c>
      <c r="L243" s="24" t="s">
        <v>1533</v>
      </c>
      <c r="M243" s="25" t="s">
        <v>1646</v>
      </c>
      <c r="N243" s="25" t="s">
        <v>1214</v>
      </c>
      <c r="O243" s="25" t="s">
        <v>1647</v>
      </c>
      <c r="P243" s="27" t="s">
        <v>1648</v>
      </c>
      <c r="Q243" s="25" t="s">
        <v>1649</v>
      </c>
      <c r="R243" s="25" t="s">
        <v>1650</v>
      </c>
    </row>
    <row r="244">
      <c r="A244" s="24" t="s">
        <v>549</v>
      </c>
      <c r="B244" s="24" t="s">
        <v>313</v>
      </c>
      <c r="C244" s="24">
        <v>2.0</v>
      </c>
      <c r="D244" s="24" t="s">
        <v>1174</v>
      </c>
      <c r="E244" s="24">
        <v>3.0</v>
      </c>
      <c r="F244" s="24" t="s">
        <v>1155</v>
      </c>
      <c r="G244" s="24" t="s">
        <v>1305</v>
      </c>
      <c r="H244" s="24" t="s">
        <v>1639</v>
      </c>
      <c r="I244" s="24" t="s">
        <v>1669</v>
      </c>
      <c r="J244" s="24" t="s">
        <v>1670</v>
      </c>
      <c r="K244" s="24" t="s">
        <v>1671</v>
      </c>
      <c r="L244" s="24" t="s">
        <v>1533</v>
      </c>
      <c r="M244" s="27" t="s">
        <v>1651</v>
      </c>
      <c r="N244" s="25" t="s">
        <v>1163</v>
      </c>
      <c r="O244" s="25" t="s">
        <v>1674</v>
      </c>
      <c r="P244" s="28" t="s">
        <v>1353</v>
      </c>
      <c r="Q244" s="25" t="s">
        <v>1354</v>
      </c>
      <c r="R244" s="25" t="s">
        <v>1355</v>
      </c>
    </row>
    <row r="245">
      <c r="A245" s="24" t="s">
        <v>549</v>
      </c>
      <c r="B245" s="24" t="s">
        <v>313</v>
      </c>
      <c r="C245" s="24">
        <v>2.0</v>
      </c>
      <c r="D245" s="24" t="s">
        <v>1174</v>
      </c>
      <c r="E245" s="24">
        <v>4.0</v>
      </c>
      <c r="F245" s="24" t="s">
        <v>1168</v>
      </c>
      <c r="G245" s="24" t="s">
        <v>1305</v>
      </c>
      <c r="H245" s="24" t="s">
        <v>1639</v>
      </c>
      <c r="I245" s="24" t="s">
        <v>1669</v>
      </c>
      <c r="J245" s="24" t="s">
        <v>1670</v>
      </c>
      <c r="K245" s="24" t="s">
        <v>1671</v>
      </c>
      <c r="L245" s="24" t="s">
        <v>1533</v>
      </c>
      <c r="M245" s="27" t="s">
        <v>1653</v>
      </c>
      <c r="N245" s="25" t="s">
        <v>1214</v>
      </c>
      <c r="O245" s="25" t="s">
        <v>1654</v>
      </c>
      <c r="P245" s="25" t="s">
        <v>1648</v>
      </c>
      <c r="Q245" s="25" t="s">
        <v>1649</v>
      </c>
      <c r="R245" s="25" t="s">
        <v>1650</v>
      </c>
    </row>
    <row r="246">
      <c r="A246" s="24" t="s">
        <v>549</v>
      </c>
      <c r="B246" s="24" t="s">
        <v>313</v>
      </c>
      <c r="C246" s="24">
        <v>3.0</v>
      </c>
      <c r="D246" s="24" t="s">
        <v>1185</v>
      </c>
      <c r="E246" s="24">
        <v>5.0</v>
      </c>
      <c r="F246" s="24" t="s">
        <v>1155</v>
      </c>
      <c r="G246" s="24" t="s">
        <v>1305</v>
      </c>
      <c r="H246" s="24" t="s">
        <v>1639</v>
      </c>
      <c r="I246" s="24" t="s">
        <v>1669</v>
      </c>
      <c r="J246" s="24" t="s">
        <v>1670</v>
      </c>
      <c r="K246" s="24" t="s">
        <v>1671</v>
      </c>
      <c r="L246" s="24" t="s">
        <v>1533</v>
      </c>
      <c r="M246" s="25" t="s">
        <v>1584</v>
      </c>
      <c r="N246" s="25" t="s">
        <v>1163</v>
      </c>
      <c r="O246" s="25" t="s">
        <v>1675</v>
      </c>
      <c r="P246" s="28" t="s">
        <v>1353</v>
      </c>
      <c r="Q246" s="25" t="s">
        <v>1354</v>
      </c>
      <c r="R246" s="25" t="s">
        <v>1355</v>
      </c>
    </row>
    <row r="247">
      <c r="A247" s="24" t="s">
        <v>549</v>
      </c>
      <c r="B247" s="24" t="s">
        <v>313</v>
      </c>
      <c r="C247" s="24">
        <v>3.0</v>
      </c>
      <c r="D247" s="24" t="s">
        <v>1185</v>
      </c>
      <c r="E247" s="24">
        <v>6.0</v>
      </c>
      <c r="F247" s="24" t="s">
        <v>1168</v>
      </c>
      <c r="G247" s="24" t="s">
        <v>1305</v>
      </c>
      <c r="H247" s="24" t="s">
        <v>1639</v>
      </c>
      <c r="I247" s="24" t="s">
        <v>1669</v>
      </c>
      <c r="J247" s="24" t="s">
        <v>1670</v>
      </c>
      <c r="K247" s="24" t="s">
        <v>1671</v>
      </c>
      <c r="L247" s="24" t="s">
        <v>1533</v>
      </c>
      <c r="M247" s="27" t="s">
        <v>1656</v>
      </c>
      <c r="N247" s="25" t="s">
        <v>1214</v>
      </c>
      <c r="O247" s="25" t="s">
        <v>1657</v>
      </c>
      <c r="P247" s="25" t="s">
        <v>1494</v>
      </c>
      <c r="Q247" s="25" t="s">
        <v>1658</v>
      </c>
      <c r="R247" s="25" t="s">
        <v>1659</v>
      </c>
    </row>
    <row r="248">
      <c r="A248" s="24" t="s">
        <v>549</v>
      </c>
      <c r="B248" s="24" t="s">
        <v>313</v>
      </c>
      <c r="C248" s="24">
        <v>4.0</v>
      </c>
      <c r="D248" s="24" t="s">
        <v>1356</v>
      </c>
      <c r="E248" s="24">
        <v>7.0</v>
      </c>
      <c r="F248" s="24" t="s">
        <v>1155</v>
      </c>
      <c r="G248" s="24" t="s">
        <v>1305</v>
      </c>
      <c r="H248" s="24" t="s">
        <v>1639</v>
      </c>
      <c r="I248" s="24" t="s">
        <v>1669</v>
      </c>
      <c r="J248" s="24" t="s">
        <v>1670</v>
      </c>
      <c r="K248" s="24" t="s">
        <v>1671</v>
      </c>
      <c r="L248" s="24" t="s">
        <v>1533</v>
      </c>
      <c r="M248" s="25" t="s">
        <v>1651</v>
      </c>
      <c r="N248" s="25" t="s">
        <v>1163</v>
      </c>
      <c r="O248" s="25" t="s">
        <v>1676</v>
      </c>
      <c r="P248" s="28" t="s">
        <v>1353</v>
      </c>
      <c r="Q248" s="25" t="s">
        <v>1354</v>
      </c>
      <c r="R248" s="25" t="s">
        <v>1355</v>
      </c>
    </row>
    <row r="249">
      <c r="A249" s="24" t="s">
        <v>549</v>
      </c>
      <c r="B249" s="24" t="s">
        <v>313</v>
      </c>
      <c r="C249" s="24">
        <v>4.0</v>
      </c>
      <c r="D249" s="24" t="s">
        <v>1356</v>
      </c>
      <c r="E249" s="24">
        <v>8.0</v>
      </c>
      <c r="F249" s="24" t="s">
        <v>1168</v>
      </c>
      <c r="G249" s="24" t="s">
        <v>1305</v>
      </c>
      <c r="H249" s="24" t="s">
        <v>1639</v>
      </c>
      <c r="I249" s="24" t="s">
        <v>1669</v>
      </c>
      <c r="J249" s="24" t="s">
        <v>1670</v>
      </c>
      <c r="K249" s="24" t="s">
        <v>1671</v>
      </c>
      <c r="L249" s="24" t="s">
        <v>1533</v>
      </c>
      <c r="M249" s="25" t="s">
        <v>1662</v>
      </c>
      <c r="N249" s="25" t="s">
        <v>1192</v>
      </c>
      <c r="O249" s="25" t="s">
        <v>1663</v>
      </c>
      <c r="P249" s="27" t="s">
        <v>1494</v>
      </c>
      <c r="Q249" s="25" t="s">
        <v>1658</v>
      </c>
      <c r="R249" s="25" t="s">
        <v>1659</v>
      </c>
    </row>
    <row r="250">
      <c r="A250" s="24" t="s">
        <v>549</v>
      </c>
      <c r="B250" s="24" t="s">
        <v>313</v>
      </c>
      <c r="C250" s="24">
        <v>5.0</v>
      </c>
      <c r="D250" s="24" t="s">
        <v>1208</v>
      </c>
      <c r="E250" s="24">
        <v>9.0</v>
      </c>
      <c r="F250" s="24" t="s">
        <v>1155</v>
      </c>
      <c r="G250" s="24" t="s">
        <v>1322</v>
      </c>
      <c r="H250" s="24" t="s">
        <v>1639</v>
      </c>
      <c r="I250" s="24" t="s">
        <v>1669</v>
      </c>
      <c r="J250" s="24" t="s">
        <v>1670</v>
      </c>
      <c r="K250" s="24" t="s">
        <v>1671</v>
      </c>
      <c r="L250" s="24" t="s">
        <v>1533</v>
      </c>
      <c r="M250" s="25" t="s">
        <v>1510</v>
      </c>
      <c r="N250" s="25" t="s">
        <v>1163</v>
      </c>
      <c r="O250" s="25" t="s">
        <v>1677</v>
      </c>
      <c r="P250" s="28" t="s">
        <v>1353</v>
      </c>
      <c r="Q250" s="25" t="s">
        <v>1354</v>
      </c>
      <c r="R250" s="25" t="s">
        <v>1355</v>
      </c>
    </row>
    <row r="251">
      <c r="A251" s="24" t="s">
        <v>549</v>
      </c>
      <c r="B251" s="24" t="s">
        <v>313</v>
      </c>
      <c r="C251" s="24">
        <v>5.0</v>
      </c>
      <c r="D251" s="24" t="s">
        <v>1208</v>
      </c>
      <c r="E251" s="24">
        <v>10.0</v>
      </c>
      <c r="F251" s="24" t="s">
        <v>1168</v>
      </c>
      <c r="G251" s="24" t="s">
        <v>1322</v>
      </c>
      <c r="H251" s="24" t="s">
        <v>1639</v>
      </c>
      <c r="I251" s="24" t="s">
        <v>1669</v>
      </c>
      <c r="J251" s="24" t="s">
        <v>1670</v>
      </c>
      <c r="K251" s="24" t="s">
        <v>1671</v>
      </c>
      <c r="L251" s="24" t="s">
        <v>1533</v>
      </c>
      <c r="M251" s="25" t="s">
        <v>1646</v>
      </c>
      <c r="N251" s="25" t="s">
        <v>1214</v>
      </c>
      <c r="O251" s="25" t="s">
        <v>1647</v>
      </c>
      <c r="P251" s="25" t="s">
        <v>1648</v>
      </c>
      <c r="Q251" s="25" t="s">
        <v>1649</v>
      </c>
      <c r="R251" s="25" t="s">
        <v>1650</v>
      </c>
    </row>
    <row r="252">
      <c r="A252" s="24" t="s">
        <v>549</v>
      </c>
      <c r="B252" s="24" t="s">
        <v>313</v>
      </c>
      <c r="C252" s="24">
        <v>6.0</v>
      </c>
      <c r="D252" s="24" t="s">
        <v>1174</v>
      </c>
      <c r="E252" s="24">
        <v>11.0</v>
      </c>
      <c r="F252" s="24" t="s">
        <v>1155</v>
      </c>
      <c r="G252" s="24" t="s">
        <v>1322</v>
      </c>
      <c r="H252" s="24" t="s">
        <v>1639</v>
      </c>
      <c r="I252" s="24" t="s">
        <v>1669</v>
      </c>
      <c r="J252" s="24" t="s">
        <v>1670</v>
      </c>
      <c r="K252" s="24" t="s">
        <v>1671</v>
      </c>
      <c r="L252" s="24" t="s">
        <v>1533</v>
      </c>
      <c r="M252" s="27" t="s">
        <v>1651</v>
      </c>
      <c r="N252" s="25" t="s">
        <v>1163</v>
      </c>
      <c r="O252" s="25" t="s">
        <v>1678</v>
      </c>
      <c r="P252" s="28" t="s">
        <v>1353</v>
      </c>
      <c r="Q252" s="25" t="s">
        <v>1354</v>
      </c>
      <c r="R252" s="25" t="s">
        <v>1355</v>
      </c>
    </row>
    <row r="253">
      <c r="A253" s="24" t="s">
        <v>549</v>
      </c>
      <c r="B253" s="24" t="s">
        <v>313</v>
      </c>
      <c r="C253" s="24">
        <v>6.0</v>
      </c>
      <c r="D253" s="24" t="s">
        <v>1174</v>
      </c>
      <c r="E253" s="24">
        <v>12.0</v>
      </c>
      <c r="F253" s="24" t="s">
        <v>1168</v>
      </c>
      <c r="G253" s="24" t="s">
        <v>1322</v>
      </c>
      <c r="H253" s="24" t="s">
        <v>1639</v>
      </c>
      <c r="I253" s="24" t="s">
        <v>1669</v>
      </c>
      <c r="J253" s="24" t="s">
        <v>1670</v>
      </c>
      <c r="K253" s="24" t="s">
        <v>1671</v>
      </c>
      <c r="L253" s="24" t="s">
        <v>1533</v>
      </c>
      <c r="M253" s="27" t="s">
        <v>1653</v>
      </c>
      <c r="N253" s="25" t="s">
        <v>1214</v>
      </c>
      <c r="O253" s="25" t="s">
        <v>1654</v>
      </c>
      <c r="P253" s="25" t="s">
        <v>1648</v>
      </c>
      <c r="Q253" s="25" t="s">
        <v>1649</v>
      </c>
      <c r="R253" s="25" t="s">
        <v>1650</v>
      </c>
    </row>
    <row r="254">
      <c r="A254" s="24" t="s">
        <v>549</v>
      </c>
      <c r="B254" s="24" t="s">
        <v>313</v>
      </c>
      <c r="C254" s="24">
        <v>7.0</v>
      </c>
      <c r="D254" s="24" t="s">
        <v>1227</v>
      </c>
      <c r="E254" s="24">
        <v>13.0</v>
      </c>
      <c r="F254" s="24" t="s">
        <v>1155</v>
      </c>
      <c r="G254" s="24" t="s">
        <v>1322</v>
      </c>
      <c r="H254" s="24" t="s">
        <v>1639</v>
      </c>
      <c r="I254" s="24" t="s">
        <v>1669</v>
      </c>
      <c r="J254" s="24" t="s">
        <v>1670</v>
      </c>
      <c r="K254" s="24" t="s">
        <v>1671</v>
      </c>
      <c r="L254" s="24" t="s">
        <v>1533</v>
      </c>
      <c r="M254" s="25" t="s">
        <v>1584</v>
      </c>
      <c r="N254" s="25" t="s">
        <v>1163</v>
      </c>
      <c r="O254" s="25" t="s">
        <v>1679</v>
      </c>
      <c r="P254" s="28" t="s">
        <v>1353</v>
      </c>
      <c r="Q254" s="25" t="s">
        <v>1354</v>
      </c>
      <c r="R254" s="25" t="s">
        <v>1355</v>
      </c>
    </row>
    <row r="255">
      <c r="A255" s="24" t="s">
        <v>549</v>
      </c>
      <c r="B255" s="24" t="s">
        <v>313</v>
      </c>
      <c r="C255" s="24">
        <v>7.0</v>
      </c>
      <c r="D255" s="24" t="s">
        <v>1227</v>
      </c>
      <c r="E255" s="24">
        <v>14.0</v>
      </c>
      <c r="F255" s="24" t="s">
        <v>1168</v>
      </c>
      <c r="G255" s="24" t="s">
        <v>1322</v>
      </c>
      <c r="H255" s="24" t="s">
        <v>1639</v>
      </c>
      <c r="I255" s="24" t="s">
        <v>1669</v>
      </c>
      <c r="J255" s="24" t="s">
        <v>1670</v>
      </c>
      <c r="K255" s="24" t="s">
        <v>1671</v>
      </c>
      <c r="L255" s="24" t="s">
        <v>1533</v>
      </c>
      <c r="M255" s="27" t="s">
        <v>1656</v>
      </c>
      <c r="N255" s="25" t="s">
        <v>1214</v>
      </c>
      <c r="O255" s="25" t="s">
        <v>1657</v>
      </c>
      <c r="P255" s="25" t="s">
        <v>1494</v>
      </c>
      <c r="Q255" s="25" t="s">
        <v>1658</v>
      </c>
      <c r="R255" s="25" t="s">
        <v>1659</v>
      </c>
    </row>
    <row r="256">
      <c r="A256" s="24" t="s">
        <v>549</v>
      </c>
      <c r="B256" s="24" t="s">
        <v>313</v>
      </c>
      <c r="C256" s="24">
        <v>8.0</v>
      </c>
      <c r="D256" s="24" t="s">
        <v>1231</v>
      </c>
      <c r="E256" s="24">
        <v>15.0</v>
      </c>
      <c r="F256" s="24" t="s">
        <v>1168</v>
      </c>
      <c r="G256" s="24" t="s">
        <v>1322</v>
      </c>
      <c r="H256" s="24" t="s">
        <v>1639</v>
      </c>
      <c r="I256" s="24" t="s">
        <v>1669</v>
      </c>
      <c r="J256" s="24" t="s">
        <v>1670</v>
      </c>
      <c r="K256" s="24" t="s">
        <v>1671</v>
      </c>
      <c r="L256" s="24" t="s">
        <v>1533</v>
      </c>
      <c r="M256" s="25" t="s">
        <v>1662</v>
      </c>
      <c r="N256" s="25" t="s">
        <v>1192</v>
      </c>
      <c r="O256" s="25" t="s">
        <v>1663</v>
      </c>
      <c r="P256" s="27" t="s">
        <v>1494</v>
      </c>
      <c r="Q256" s="25" t="s">
        <v>1658</v>
      </c>
      <c r="R256" s="25" t="s">
        <v>1659</v>
      </c>
    </row>
    <row r="257">
      <c r="A257" s="24" t="s">
        <v>549</v>
      </c>
      <c r="B257" s="24" t="s">
        <v>313</v>
      </c>
      <c r="C257" s="24">
        <v>8.0</v>
      </c>
      <c r="D257" s="24" t="s">
        <v>1231</v>
      </c>
      <c r="E257" s="24">
        <v>16.0</v>
      </c>
      <c r="F257" s="24" t="s">
        <v>1155</v>
      </c>
      <c r="G257" s="24" t="s">
        <v>1322</v>
      </c>
      <c r="H257" s="24" t="s">
        <v>1639</v>
      </c>
      <c r="I257" s="24" t="s">
        <v>1669</v>
      </c>
      <c r="J257" s="24" t="s">
        <v>1670</v>
      </c>
      <c r="K257" s="24" t="s">
        <v>1671</v>
      </c>
      <c r="L257" s="24" t="s">
        <v>1533</v>
      </c>
      <c r="M257" s="25" t="s">
        <v>1338</v>
      </c>
      <c r="N257" s="25" t="s">
        <v>1214</v>
      </c>
      <c r="O257" s="25" t="s">
        <v>1339</v>
      </c>
      <c r="P257" s="25" t="s">
        <v>1272</v>
      </c>
      <c r="Q257" s="25" t="s">
        <v>1235</v>
      </c>
      <c r="R257" s="25" t="s">
        <v>1236</v>
      </c>
    </row>
  </sheetData>
  <dataValidations>
    <dataValidation type="list" allowBlank="1" showErrorMessage="1" sqref="N2:N257">
      <formula1>"Leia SP,Redação Paulista,N/A"</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13"/>
    <col customWidth="1" min="2" max="2" width="7.25"/>
    <col customWidth="1" min="3" max="3" width="12.13"/>
    <col customWidth="1" min="4" max="4" width="9.88"/>
    <col customWidth="1" min="5" max="5" width="9.25"/>
    <col customWidth="1" min="6" max="6" width="21.13"/>
    <col customWidth="1" min="7" max="7" width="30.25"/>
    <col customWidth="1" min="8" max="8" width="24.13"/>
    <col customWidth="1" min="9" max="9" width="18.88"/>
    <col customWidth="1" min="10" max="10" width="22.63"/>
    <col customWidth="1" min="11" max="11" width="51.63"/>
  </cols>
  <sheetData>
    <row r="1" ht="27.0" customHeight="1">
      <c r="A1" s="8" t="s">
        <v>9</v>
      </c>
      <c r="B1" s="29" t="s">
        <v>10</v>
      </c>
      <c r="C1" s="8" t="s">
        <v>11</v>
      </c>
      <c r="D1" s="8" t="s">
        <v>1138</v>
      </c>
      <c r="E1" s="29" t="s">
        <v>1680</v>
      </c>
      <c r="F1" s="29" t="s">
        <v>1681</v>
      </c>
      <c r="G1" s="29" t="s">
        <v>1682</v>
      </c>
      <c r="H1" s="8" t="s">
        <v>16</v>
      </c>
      <c r="I1" s="8" t="s">
        <v>17</v>
      </c>
      <c r="J1" s="8" t="s">
        <v>18</v>
      </c>
      <c r="K1" s="8" t="s">
        <v>19</v>
      </c>
    </row>
    <row r="2">
      <c r="A2" s="30" t="s">
        <v>20</v>
      </c>
      <c r="B2" s="31" t="s">
        <v>469</v>
      </c>
      <c r="C2" s="31" t="s">
        <v>22</v>
      </c>
      <c r="D2" s="31">
        <v>1.0</v>
      </c>
      <c r="E2" s="31" t="s">
        <v>1683</v>
      </c>
      <c r="F2" s="32" t="s">
        <v>1684</v>
      </c>
      <c r="G2" s="32" t="s">
        <v>1685</v>
      </c>
      <c r="H2" s="32" t="s">
        <v>1686</v>
      </c>
      <c r="I2" s="31" t="s">
        <v>1687</v>
      </c>
      <c r="J2" s="32" t="s">
        <v>1688</v>
      </c>
      <c r="K2" s="32" t="s">
        <v>1689</v>
      </c>
    </row>
    <row r="3">
      <c r="A3" s="33" t="s">
        <v>20</v>
      </c>
      <c r="B3" s="34" t="s">
        <v>469</v>
      </c>
      <c r="C3" s="34" t="s">
        <v>22</v>
      </c>
      <c r="D3" s="34">
        <v>2.0</v>
      </c>
      <c r="E3" s="34" t="s">
        <v>1690</v>
      </c>
      <c r="F3" s="35" t="s">
        <v>1691</v>
      </c>
      <c r="G3" s="35" t="s">
        <v>1692</v>
      </c>
      <c r="H3" s="35" t="s">
        <v>1693</v>
      </c>
      <c r="I3" s="34" t="s">
        <v>1694</v>
      </c>
      <c r="J3" s="35" t="s">
        <v>1695</v>
      </c>
      <c r="K3" s="35" t="s">
        <v>1696</v>
      </c>
    </row>
    <row r="4">
      <c r="A4" s="33" t="s">
        <v>20</v>
      </c>
      <c r="B4" s="34" t="s">
        <v>469</v>
      </c>
      <c r="C4" s="34" t="s">
        <v>22</v>
      </c>
      <c r="D4" s="34">
        <v>3.0</v>
      </c>
      <c r="E4" s="34" t="s">
        <v>1697</v>
      </c>
      <c r="F4" s="35" t="s">
        <v>1698</v>
      </c>
      <c r="G4" s="35" t="s">
        <v>1699</v>
      </c>
      <c r="H4" s="35" t="s">
        <v>1700</v>
      </c>
      <c r="I4" s="34" t="s">
        <v>1701</v>
      </c>
      <c r="J4" s="35" t="s">
        <v>1702</v>
      </c>
      <c r="K4" s="35" t="s">
        <v>1703</v>
      </c>
    </row>
    <row r="5">
      <c r="A5" s="33" t="s">
        <v>20</v>
      </c>
      <c r="B5" s="34" t="s">
        <v>469</v>
      </c>
      <c r="C5" s="34" t="s">
        <v>22</v>
      </c>
      <c r="D5" s="34">
        <v>4.0</v>
      </c>
      <c r="E5" s="34" t="s">
        <v>1704</v>
      </c>
      <c r="F5" s="35" t="s">
        <v>1698</v>
      </c>
      <c r="G5" s="35" t="s">
        <v>1699</v>
      </c>
      <c r="H5" s="35" t="s">
        <v>1705</v>
      </c>
      <c r="I5" s="34" t="s">
        <v>1706</v>
      </c>
      <c r="J5" s="35" t="s">
        <v>1707</v>
      </c>
      <c r="K5" s="35" t="s">
        <v>1708</v>
      </c>
    </row>
    <row r="6">
      <c r="A6" s="33" t="s">
        <v>20</v>
      </c>
      <c r="B6" s="34" t="s">
        <v>469</v>
      </c>
      <c r="C6" s="34" t="s">
        <v>22</v>
      </c>
      <c r="D6" s="34">
        <v>5.0</v>
      </c>
      <c r="E6" s="34" t="s">
        <v>1709</v>
      </c>
      <c r="F6" s="35" t="s">
        <v>1710</v>
      </c>
      <c r="G6" s="35" t="s">
        <v>1711</v>
      </c>
      <c r="H6" s="35" t="s">
        <v>1712</v>
      </c>
      <c r="I6" s="34" t="s">
        <v>1713</v>
      </c>
      <c r="J6" s="35" t="s">
        <v>1714</v>
      </c>
      <c r="K6" s="35" t="s">
        <v>1715</v>
      </c>
    </row>
    <row r="7">
      <c r="A7" s="33" t="s">
        <v>20</v>
      </c>
      <c r="B7" s="34" t="s">
        <v>469</v>
      </c>
      <c r="C7" s="34" t="s">
        <v>22</v>
      </c>
      <c r="D7" s="34">
        <v>6.0</v>
      </c>
      <c r="E7" s="34" t="s">
        <v>1716</v>
      </c>
      <c r="F7" s="35" t="s">
        <v>1710</v>
      </c>
      <c r="G7" s="35" t="s">
        <v>1711</v>
      </c>
      <c r="H7" s="35" t="s">
        <v>1717</v>
      </c>
      <c r="I7" s="34" t="s">
        <v>1718</v>
      </c>
      <c r="J7" s="35" t="s">
        <v>1719</v>
      </c>
      <c r="K7" s="35" t="s">
        <v>1720</v>
      </c>
    </row>
    <row r="8">
      <c r="A8" s="33" t="s">
        <v>20</v>
      </c>
      <c r="B8" s="34" t="s">
        <v>469</v>
      </c>
      <c r="C8" s="34" t="s">
        <v>22</v>
      </c>
      <c r="D8" s="34">
        <v>7.0</v>
      </c>
      <c r="E8" s="34" t="s">
        <v>1721</v>
      </c>
      <c r="F8" s="35" t="s">
        <v>1698</v>
      </c>
      <c r="G8" s="35" t="s">
        <v>1699</v>
      </c>
      <c r="H8" s="35" t="s">
        <v>1722</v>
      </c>
      <c r="I8" s="34" t="s">
        <v>1723</v>
      </c>
      <c r="J8" s="35" t="s">
        <v>1724</v>
      </c>
      <c r="K8" s="35" t="s">
        <v>1725</v>
      </c>
    </row>
    <row r="9">
      <c r="A9" s="33" t="s">
        <v>20</v>
      </c>
      <c r="B9" s="34" t="s">
        <v>469</v>
      </c>
      <c r="C9" s="34" t="s">
        <v>153</v>
      </c>
      <c r="D9" s="34">
        <v>1.0</v>
      </c>
      <c r="E9" s="34" t="s">
        <v>1683</v>
      </c>
      <c r="F9" s="35" t="s">
        <v>1698</v>
      </c>
      <c r="G9" s="35" t="s">
        <v>1699</v>
      </c>
      <c r="H9" s="35" t="s">
        <v>1726</v>
      </c>
      <c r="I9" s="34" t="s">
        <v>1727</v>
      </c>
      <c r="J9" s="35" t="s">
        <v>1728</v>
      </c>
      <c r="K9" s="35" t="s">
        <v>1729</v>
      </c>
    </row>
    <row r="10">
      <c r="A10" s="33" t="s">
        <v>20</v>
      </c>
      <c r="B10" s="34" t="s">
        <v>469</v>
      </c>
      <c r="C10" s="34" t="s">
        <v>153</v>
      </c>
      <c r="D10" s="34">
        <v>2.0</v>
      </c>
      <c r="E10" s="34" t="s">
        <v>1690</v>
      </c>
      <c r="F10" s="35" t="s">
        <v>1730</v>
      </c>
      <c r="G10" s="35" t="s">
        <v>1731</v>
      </c>
      <c r="H10" s="35" t="s">
        <v>1732</v>
      </c>
      <c r="I10" s="34" t="s">
        <v>1733</v>
      </c>
      <c r="J10" s="35" t="s">
        <v>1734</v>
      </c>
      <c r="K10" s="35" t="s">
        <v>1735</v>
      </c>
    </row>
    <row r="11">
      <c r="A11" s="33" t="s">
        <v>20</v>
      </c>
      <c r="B11" s="34" t="s">
        <v>469</v>
      </c>
      <c r="C11" s="34" t="s">
        <v>153</v>
      </c>
      <c r="D11" s="34">
        <v>3.0</v>
      </c>
      <c r="E11" s="34" t="s">
        <v>1697</v>
      </c>
      <c r="F11" s="35" t="s">
        <v>1730</v>
      </c>
      <c r="G11" s="35" t="s">
        <v>1731</v>
      </c>
      <c r="H11" s="35" t="s">
        <v>1736</v>
      </c>
      <c r="I11" s="34" t="s">
        <v>1737</v>
      </c>
      <c r="J11" s="35" t="s">
        <v>1738</v>
      </c>
      <c r="K11" s="35" t="s">
        <v>1739</v>
      </c>
    </row>
    <row r="12">
      <c r="A12" s="33" t="s">
        <v>20</v>
      </c>
      <c r="B12" s="34" t="s">
        <v>469</v>
      </c>
      <c r="C12" s="34" t="s">
        <v>153</v>
      </c>
      <c r="D12" s="34">
        <v>4.0</v>
      </c>
      <c r="E12" s="34" t="s">
        <v>1704</v>
      </c>
      <c r="F12" s="35" t="s">
        <v>1710</v>
      </c>
      <c r="G12" s="35" t="s">
        <v>1711</v>
      </c>
      <c r="H12" s="35" t="s">
        <v>1740</v>
      </c>
      <c r="I12" s="34" t="s">
        <v>1741</v>
      </c>
      <c r="J12" s="35" t="s">
        <v>1742</v>
      </c>
      <c r="K12" s="35" t="s">
        <v>1743</v>
      </c>
    </row>
    <row r="13">
      <c r="A13" s="33" t="s">
        <v>20</v>
      </c>
      <c r="B13" s="34" t="s">
        <v>469</v>
      </c>
      <c r="C13" s="34" t="s">
        <v>153</v>
      </c>
      <c r="D13" s="34">
        <v>5.0</v>
      </c>
      <c r="E13" s="34" t="s">
        <v>1709</v>
      </c>
      <c r="F13" s="35" t="s">
        <v>1710</v>
      </c>
      <c r="G13" s="35" t="s">
        <v>1711</v>
      </c>
      <c r="H13" s="35" t="s">
        <v>1744</v>
      </c>
      <c r="I13" s="34" t="s">
        <v>1745</v>
      </c>
      <c r="J13" s="35" t="s">
        <v>1746</v>
      </c>
      <c r="K13" s="35" t="s">
        <v>1747</v>
      </c>
    </row>
    <row r="14">
      <c r="A14" s="33" t="s">
        <v>20</v>
      </c>
      <c r="B14" s="34" t="s">
        <v>469</v>
      </c>
      <c r="C14" s="34" t="s">
        <v>153</v>
      </c>
      <c r="D14" s="34">
        <v>6.0</v>
      </c>
      <c r="E14" s="34" t="s">
        <v>1716</v>
      </c>
      <c r="F14" s="35" t="s">
        <v>1748</v>
      </c>
      <c r="G14" s="35" t="s">
        <v>1749</v>
      </c>
      <c r="H14" s="35" t="s">
        <v>1750</v>
      </c>
      <c r="I14" s="34" t="s">
        <v>1751</v>
      </c>
      <c r="J14" s="35" t="s">
        <v>1752</v>
      </c>
      <c r="K14" s="35" t="s">
        <v>1753</v>
      </c>
    </row>
    <row r="15">
      <c r="A15" s="33" t="s">
        <v>20</v>
      </c>
      <c r="B15" s="34" t="s">
        <v>469</v>
      </c>
      <c r="C15" s="34" t="s">
        <v>153</v>
      </c>
      <c r="D15" s="34">
        <v>7.0</v>
      </c>
      <c r="E15" s="34" t="s">
        <v>1721</v>
      </c>
      <c r="F15" s="35" t="s">
        <v>1748</v>
      </c>
      <c r="G15" s="35" t="s">
        <v>1749</v>
      </c>
      <c r="H15" s="35" t="s">
        <v>1750</v>
      </c>
      <c r="I15" s="34" t="s">
        <v>1754</v>
      </c>
      <c r="J15" s="35" t="s">
        <v>1755</v>
      </c>
      <c r="K15" s="35" t="s">
        <v>1756</v>
      </c>
    </row>
    <row r="16">
      <c r="A16" s="30" t="s">
        <v>20</v>
      </c>
      <c r="B16" s="31" t="s">
        <v>21</v>
      </c>
      <c r="C16" s="31" t="s">
        <v>22</v>
      </c>
      <c r="D16" s="31">
        <v>1.0</v>
      </c>
      <c r="E16" s="31" t="s">
        <v>1683</v>
      </c>
      <c r="F16" s="32" t="s">
        <v>1757</v>
      </c>
      <c r="G16" s="32" t="s">
        <v>1758</v>
      </c>
      <c r="H16" s="32" t="s">
        <v>1759</v>
      </c>
      <c r="I16" s="31" t="s">
        <v>1760</v>
      </c>
      <c r="J16" s="32" t="s">
        <v>1761</v>
      </c>
      <c r="K16" s="32" t="s">
        <v>1762</v>
      </c>
    </row>
    <row r="17">
      <c r="A17" s="33" t="s">
        <v>20</v>
      </c>
      <c r="B17" s="34" t="s">
        <v>21</v>
      </c>
      <c r="C17" s="34" t="s">
        <v>22</v>
      </c>
      <c r="D17" s="34">
        <v>2.0</v>
      </c>
      <c r="E17" s="34" t="s">
        <v>1690</v>
      </c>
      <c r="F17" s="35" t="s">
        <v>1757</v>
      </c>
      <c r="G17" s="35" t="s">
        <v>1758</v>
      </c>
      <c r="H17" s="35" t="s">
        <v>1759</v>
      </c>
      <c r="I17" s="34" t="s">
        <v>1763</v>
      </c>
      <c r="J17" s="35" t="s">
        <v>1764</v>
      </c>
      <c r="K17" s="35" t="s">
        <v>1765</v>
      </c>
    </row>
    <row r="18">
      <c r="A18" s="33" t="s">
        <v>20</v>
      </c>
      <c r="B18" s="34" t="s">
        <v>21</v>
      </c>
      <c r="C18" s="34" t="s">
        <v>22</v>
      </c>
      <c r="D18" s="34">
        <v>3.0</v>
      </c>
      <c r="E18" s="34" t="s">
        <v>1697</v>
      </c>
      <c r="F18" s="35" t="s">
        <v>1757</v>
      </c>
      <c r="G18" s="35" t="s">
        <v>1758</v>
      </c>
      <c r="H18" s="35" t="s">
        <v>1766</v>
      </c>
      <c r="I18" s="34" t="s">
        <v>1767</v>
      </c>
      <c r="J18" s="35" t="s">
        <v>1768</v>
      </c>
      <c r="K18" s="35" t="s">
        <v>1769</v>
      </c>
    </row>
    <row r="19">
      <c r="A19" s="33" t="s">
        <v>20</v>
      </c>
      <c r="B19" s="34" t="s">
        <v>21</v>
      </c>
      <c r="C19" s="34" t="s">
        <v>22</v>
      </c>
      <c r="D19" s="34">
        <v>4.0</v>
      </c>
      <c r="E19" s="34" t="s">
        <v>1704</v>
      </c>
      <c r="F19" s="35" t="s">
        <v>1757</v>
      </c>
      <c r="G19" s="35" t="s">
        <v>1758</v>
      </c>
      <c r="H19" s="35" t="s">
        <v>1766</v>
      </c>
      <c r="I19" s="34" t="s">
        <v>1770</v>
      </c>
      <c r="J19" s="35" t="s">
        <v>1771</v>
      </c>
      <c r="K19" s="35" t="s">
        <v>1772</v>
      </c>
    </row>
    <row r="20">
      <c r="A20" s="33" t="s">
        <v>20</v>
      </c>
      <c r="B20" s="34" t="s">
        <v>21</v>
      </c>
      <c r="C20" s="34" t="s">
        <v>22</v>
      </c>
      <c r="D20" s="34">
        <v>5.0</v>
      </c>
      <c r="E20" s="34" t="s">
        <v>1709</v>
      </c>
      <c r="F20" s="35" t="s">
        <v>1757</v>
      </c>
      <c r="G20" s="35" t="s">
        <v>1758</v>
      </c>
      <c r="H20" s="35" t="s">
        <v>1773</v>
      </c>
      <c r="I20" s="34" t="s">
        <v>1774</v>
      </c>
      <c r="J20" s="35" t="s">
        <v>1775</v>
      </c>
      <c r="K20" s="35" t="s">
        <v>1776</v>
      </c>
    </row>
    <row r="21">
      <c r="A21" s="33" t="s">
        <v>20</v>
      </c>
      <c r="B21" s="34" t="s">
        <v>21</v>
      </c>
      <c r="C21" s="34" t="s">
        <v>22</v>
      </c>
      <c r="D21" s="34">
        <v>6.0</v>
      </c>
      <c r="E21" s="34" t="s">
        <v>1716</v>
      </c>
      <c r="F21" s="35" t="s">
        <v>1757</v>
      </c>
      <c r="G21" s="35" t="s">
        <v>1758</v>
      </c>
      <c r="H21" s="35" t="s">
        <v>1777</v>
      </c>
      <c r="I21" s="34" t="s">
        <v>1778</v>
      </c>
      <c r="J21" s="35" t="s">
        <v>1779</v>
      </c>
      <c r="K21" s="35" t="s">
        <v>1780</v>
      </c>
    </row>
    <row r="22">
      <c r="A22" s="33" t="s">
        <v>20</v>
      </c>
      <c r="B22" s="34" t="s">
        <v>21</v>
      </c>
      <c r="C22" s="34" t="s">
        <v>22</v>
      </c>
      <c r="D22" s="34">
        <v>7.0</v>
      </c>
      <c r="E22" s="34" t="s">
        <v>1721</v>
      </c>
      <c r="F22" s="35" t="s">
        <v>1781</v>
      </c>
      <c r="G22" s="35" t="s">
        <v>1782</v>
      </c>
      <c r="H22" s="35" t="s">
        <v>1783</v>
      </c>
      <c r="I22" s="34" t="s">
        <v>1784</v>
      </c>
      <c r="J22" s="35" t="s">
        <v>1785</v>
      </c>
      <c r="K22" s="35" t="s">
        <v>1786</v>
      </c>
    </row>
    <row r="23">
      <c r="A23" s="33" t="s">
        <v>20</v>
      </c>
      <c r="B23" s="34" t="s">
        <v>21</v>
      </c>
      <c r="C23" s="34" t="s">
        <v>153</v>
      </c>
      <c r="D23" s="34">
        <v>1.0</v>
      </c>
      <c r="E23" s="34" t="s">
        <v>1683</v>
      </c>
      <c r="F23" s="35" t="s">
        <v>1787</v>
      </c>
      <c r="G23" s="35" t="s">
        <v>1788</v>
      </c>
      <c r="H23" s="35" t="s">
        <v>1789</v>
      </c>
      <c r="I23" s="34" t="s">
        <v>1790</v>
      </c>
      <c r="J23" s="35" t="s">
        <v>1791</v>
      </c>
      <c r="K23" s="35" t="s">
        <v>1792</v>
      </c>
    </row>
    <row r="24">
      <c r="A24" s="33" t="s">
        <v>20</v>
      </c>
      <c r="B24" s="34" t="s">
        <v>21</v>
      </c>
      <c r="C24" s="34" t="s">
        <v>153</v>
      </c>
      <c r="D24" s="34">
        <v>2.0</v>
      </c>
      <c r="E24" s="34" t="s">
        <v>1690</v>
      </c>
      <c r="F24" s="35" t="s">
        <v>1787</v>
      </c>
      <c r="G24" s="35" t="s">
        <v>1788</v>
      </c>
      <c r="H24" s="35" t="s">
        <v>1793</v>
      </c>
      <c r="I24" s="34" t="s">
        <v>1794</v>
      </c>
      <c r="J24" s="35" t="s">
        <v>1795</v>
      </c>
      <c r="K24" s="35" t="s">
        <v>1796</v>
      </c>
    </row>
    <row r="25">
      <c r="A25" s="33" t="s">
        <v>20</v>
      </c>
      <c r="B25" s="34" t="s">
        <v>21</v>
      </c>
      <c r="C25" s="34" t="s">
        <v>153</v>
      </c>
      <c r="D25" s="34">
        <v>3.0</v>
      </c>
      <c r="E25" s="34" t="s">
        <v>1697</v>
      </c>
      <c r="F25" s="35" t="s">
        <v>1787</v>
      </c>
      <c r="G25" s="35" t="s">
        <v>1788</v>
      </c>
      <c r="H25" s="35" t="s">
        <v>1797</v>
      </c>
      <c r="I25" s="34" t="s">
        <v>1798</v>
      </c>
      <c r="J25" s="35" t="s">
        <v>1799</v>
      </c>
      <c r="K25" s="35" t="s">
        <v>1800</v>
      </c>
    </row>
    <row r="26">
      <c r="A26" s="33" t="s">
        <v>20</v>
      </c>
      <c r="B26" s="34" t="s">
        <v>21</v>
      </c>
      <c r="C26" s="34" t="s">
        <v>153</v>
      </c>
      <c r="D26" s="34">
        <v>4.0</v>
      </c>
      <c r="E26" s="34" t="s">
        <v>1704</v>
      </c>
      <c r="F26" s="35" t="s">
        <v>1787</v>
      </c>
      <c r="G26" s="35" t="s">
        <v>1788</v>
      </c>
      <c r="H26" s="35" t="s">
        <v>1801</v>
      </c>
      <c r="I26" s="34" t="s">
        <v>1802</v>
      </c>
      <c r="J26" s="35" t="s">
        <v>1803</v>
      </c>
      <c r="K26" s="35" t="s">
        <v>1804</v>
      </c>
    </row>
    <row r="27">
      <c r="A27" s="33" t="s">
        <v>20</v>
      </c>
      <c r="B27" s="34" t="s">
        <v>21</v>
      </c>
      <c r="C27" s="34" t="s">
        <v>153</v>
      </c>
      <c r="D27" s="34">
        <v>5.0</v>
      </c>
      <c r="E27" s="34" t="s">
        <v>1709</v>
      </c>
      <c r="F27" s="35" t="s">
        <v>1787</v>
      </c>
      <c r="G27" s="35" t="s">
        <v>1788</v>
      </c>
      <c r="H27" s="35" t="s">
        <v>1805</v>
      </c>
      <c r="I27" s="34" t="s">
        <v>1806</v>
      </c>
      <c r="J27" s="35" t="s">
        <v>1807</v>
      </c>
      <c r="K27" s="35" t="s">
        <v>1808</v>
      </c>
    </row>
    <row r="28">
      <c r="A28" s="33" t="s">
        <v>20</v>
      </c>
      <c r="B28" s="34" t="s">
        <v>21</v>
      </c>
      <c r="C28" s="34" t="s">
        <v>153</v>
      </c>
      <c r="D28" s="34">
        <v>6.0</v>
      </c>
      <c r="E28" s="34" t="s">
        <v>1716</v>
      </c>
      <c r="F28" s="35" t="s">
        <v>1787</v>
      </c>
      <c r="G28" s="35" t="s">
        <v>1788</v>
      </c>
      <c r="H28" s="35" t="s">
        <v>1809</v>
      </c>
      <c r="I28" s="34" t="s">
        <v>1810</v>
      </c>
      <c r="J28" s="35" t="s">
        <v>1811</v>
      </c>
      <c r="K28" s="35" t="s">
        <v>1812</v>
      </c>
    </row>
    <row r="29">
      <c r="A29" s="33" t="s">
        <v>20</v>
      </c>
      <c r="B29" s="34" t="s">
        <v>21</v>
      </c>
      <c r="C29" s="34" t="s">
        <v>153</v>
      </c>
      <c r="D29" s="34">
        <v>7.0</v>
      </c>
      <c r="E29" s="34" t="s">
        <v>1721</v>
      </c>
      <c r="F29" s="35" t="s">
        <v>1787</v>
      </c>
      <c r="G29" s="35" t="s">
        <v>1788</v>
      </c>
      <c r="H29" s="35" t="s">
        <v>1750</v>
      </c>
      <c r="I29" s="34" t="s">
        <v>1813</v>
      </c>
      <c r="J29" s="35" t="s">
        <v>1755</v>
      </c>
      <c r="K29" s="35" t="s">
        <v>1814</v>
      </c>
    </row>
    <row r="30">
      <c r="A30" s="12" t="s">
        <v>20</v>
      </c>
      <c r="B30" s="12" t="s">
        <v>82</v>
      </c>
      <c r="C30" s="12" t="s">
        <v>22</v>
      </c>
      <c r="D30" s="12">
        <v>1.0</v>
      </c>
      <c r="E30" s="12" t="s">
        <v>1683</v>
      </c>
      <c r="F30" s="11" t="s">
        <v>1815</v>
      </c>
      <c r="G30" s="12" t="s">
        <v>1816</v>
      </c>
      <c r="H30" s="11" t="s">
        <v>1817</v>
      </c>
      <c r="I30" s="12" t="s">
        <v>1818</v>
      </c>
      <c r="J30" s="36" t="s">
        <v>1819</v>
      </c>
      <c r="K30" s="11" t="s">
        <v>1820</v>
      </c>
    </row>
    <row r="31">
      <c r="A31" s="12" t="s">
        <v>20</v>
      </c>
      <c r="B31" s="12" t="s">
        <v>82</v>
      </c>
      <c r="C31" s="12" t="s">
        <v>22</v>
      </c>
      <c r="D31" s="12">
        <v>2.0</v>
      </c>
      <c r="E31" s="12" t="s">
        <v>1690</v>
      </c>
      <c r="F31" s="11" t="s">
        <v>1821</v>
      </c>
      <c r="G31" s="12" t="s">
        <v>1822</v>
      </c>
      <c r="H31" s="11" t="s">
        <v>1823</v>
      </c>
      <c r="I31" s="12" t="s">
        <v>1824</v>
      </c>
      <c r="J31" s="37" t="s">
        <v>1825</v>
      </c>
      <c r="K31" s="11" t="s">
        <v>1826</v>
      </c>
    </row>
    <row r="32">
      <c r="A32" s="12" t="s">
        <v>20</v>
      </c>
      <c r="B32" s="12" t="s">
        <v>82</v>
      </c>
      <c r="C32" s="12" t="s">
        <v>22</v>
      </c>
      <c r="D32" s="12">
        <v>3.0</v>
      </c>
      <c r="E32" s="12" t="s">
        <v>1697</v>
      </c>
      <c r="F32" s="11" t="s">
        <v>1827</v>
      </c>
      <c r="G32" s="12" t="s">
        <v>1828</v>
      </c>
      <c r="H32" s="11" t="s">
        <v>1829</v>
      </c>
      <c r="I32" s="12" t="s">
        <v>1830</v>
      </c>
      <c r="J32" s="37" t="s">
        <v>1831</v>
      </c>
      <c r="K32" s="11" t="s">
        <v>1832</v>
      </c>
    </row>
    <row r="33">
      <c r="A33" s="12" t="s">
        <v>20</v>
      </c>
      <c r="B33" s="12" t="s">
        <v>82</v>
      </c>
      <c r="C33" s="12" t="s">
        <v>22</v>
      </c>
      <c r="D33" s="12">
        <v>4.0</v>
      </c>
      <c r="E33" s="12" t="s">
        <v>1704</v>
      </c>
      <c r="F33" s="11" t="s">
        <v>1821</v>
      </c>
      <c r="G33" s="12" t="s">
        <v>1822</v>
      </c>
      <c r="H33" s="11" t="s">
        <v>1833</v>
      </c>
      <c r="I33" s="12" t="s">
        <v>1834</v>
      </c>
      <c r="J33" s="12" t="s">
        <v>1835</v>
      </c>
      <c r="K33" s="11" t="s">
        <v>1836</v>
      </c>
    </row>
    <row r="34">
      <c r="A34" s="12" t="s">
        <v>20</v>
      </c>
      <c r="B34" s="12" t="s">
        <v>82</v>
      </c>
      <c r="C34" s="12" t="s">
        <v>22</v>
      </c>
      <c r="D34" s="12">
        <v>5.0</v>
      </c>
      <c r="E34" s="12" t="s">
        <v>1709</v>
      </c>
      <c r="F34" s="11" t="s">
        <v>1827</v>
      </c>
      <c r="G34" s="12" t="s">
        <v>1828</v>
      </c>
      <c r="H34" s="11" t="s">
        <v>1837</v>
      </c>
      <c r="I34" s="12" t="s">
        <v>1838</v>
      </c>
      <c r="J34" s="12" t="s">
        <v>1839</v>
      </c>
      <c r="K34" s="11" t="s">
        <v>1840</v>
      </c>
    </row>
    <row r="35">
      <c r="A35" s="12" t="s">
        <v>20</v>
      </c>
      <c r="B35" s="12" t="s">
        <v>82</v>
      </c>
      <c r="C35" s="12" t="s">
        <v>22</v>
      </c>
      <c r="D35" s="12">
        <v>6.0</v>
      </c>
      <c r="E35" s="12" t="s">
        <v>1716</v>
      </c>
      <c r="F35" s="11" t="s">
        <v>1841</v>
      </c>
      <c r="G35" s="12" t="s">
        <v>1842</v>
      </c>
      <c r="H35" s="11" t="s">
        <v>1843</v>
      </c>
      <c r="I35" s="12" t="s">
        <v>1844</v>
      </c>
      <c r="J35" s="12" t="s">
        <v>1845</v>
      </c>
      <c r="K35" s="11" t="s">
        <v>1846</v>
      </c>
    </row>
    <row r="36">
      <c r="A36" s="12" t="s">
        <v>20</v>
      </c>
      <c r="B36" s="12" t="s">
        <v>82</v>
      </c>
      <c r="C36" s="12" t="s">
        <v>22</v>
      </c>
      <c r="D36" s="12">
        <v>7.0</v>
      </c>
      <c r="E36" s="12" t="s">
        <v>1847</v>
      </c>
      <c r="F36" s="11" t="s">
        <v>1848</v>
      </c>
      <c r="G36" s="12" t="s">
        <v>1749</v>
      </c>
      <c r="H36" s="11" t="s">
        <v>1849</v>
      </c>
      <c r="I36" s="12" t="s">
        <v>1850</v>
      </c>
      <c r="J36" s="12" t="s">
        <v>1851</v>
      </c>
      <c r="K36" s="11" t="s">
        <v>1852</v>
      </c>
    </row>
    <row r="37">
      <c r="A37" s="10" t="s">
        <v>20</v>
      </c>
      <c r="B37" s="38" t="s">
        <v>82</v>
      </c>
      <c r="C37" s="38" t="s">
        <v>153</v>
      </c>
      <c r="D37" s="38">
        <v>1.0</v>
      </c>
      <c r="E37" s="38" t="s">
        <v>1683</v>
      </c>
      <c r="F37" s="39" t="s">
        <v>1853</v>
      </c>
      <c r="G37" s="39" t="s">
        <v>1854</v>
      </c>
      <c r="H37" s="39" t="s">
        <v>1855</v>
      </c>
      <c r="I37" s="38" t="s">
        <v>1856</v>
      </c>
      <c r="J37" s="39" t="s">
        <v>1857</v>
      </c>
      <c r="K37" s="39" t="s">
        <v>1858</v>
      </c>
    </row>
    <row r="38">
      <c r="A38" s="40" t="s">
        <v>20</v>
      </c>
      <c r="B38" s="41" t="s">
        <v>82</v>
      </c>
      <c r="C38" s="41" t="s">
        <v>153</v>
      </c>
      <c r="D38" s="41">
        <v>2.0</v>
      </c>
      <c r="E38" s="41" t="s">
        <v>1690</v>
      </c>
      <c r="F38" s="42" t="s">
        <v>1859</v>
      </c>
      <c r="G38" s="42" t="s">
        <v>1860</v>
      </c>
      <c r="H38" s="42" t="s">
        <v>1861</v>
      </c>
      <c r="I38" s="41" t="s">
        <v>1862</v>
      </c>
      <c r="J38" s="42" t="s">
        <v>1863</v>
      </c>
      <c r="K38" s="42" t="s">
        <v>1864</v>
      </c>
    </row>
    <row r="39">
      <c r="A39" s="40" t="s">
        <v>20</v>
      </c>
      <c r="B39" s="41" t="s">
        <v>82</v>
      </c>
      <c r="C39" s="41" t="s">
        <v>153</v>
      </c>
      <c r="D39" s="41">
        <v>3.0</v>
      </c>
      <c r="E39" s="41" t="s">
        <v>1697</v>
      </c>
      <c r="F39" s="42" t="s">
        <v>1815</v>
      </c>
      <c r="G39" s="42" t="s">
        <v>1816</v>
      </c>
      <c r="H39" s="42" t="s">
        <v>1865</v>
      </c>
      <c r="I39" s="41" t="s">
        <v>1866</v>
      </c>
      <c r="J39" s="42" t="s">
        <v>1867</v>
      </c>
      <c r="K39" s="42" t="s">
        <v>1868</v>
      </c>
    </row>
    <row r="40">
      <c r="A40" s="40" t="s">
        <v>20</v>
      </c>
      <c r="B40" s="41" t="s">
        <v>82</v>
      </c>
      <c r="C40" s="41" t="s">
        <v>153</v>
      </c>
      <c r="D40" s="41">
        <v>4.0</v>
      </c>
      <c r="E40" s="41" t="s">
        <v>1704</v>
      </c>
      <c r="F40" s="42" t="s">
        <v>1815</v>
      </c>
      <c r="G40" s="42" t="s">
        <v>1816</v>
      </c>
      <c r="H40" s="42" t="s">
        <v>1869</v>
      </c>
      <c r="I40" s="41" t="s">
        <v>1870</v>
      </c>
      <c r="J40" s="42" t="s">
        <v>1871</v>
      </c>
      <c r="K40" s="42" t="s">
        <v>1872</v>
      </c>
    </row>
    <row r="41">
      <c r="A41" s="40" t="s">
        <v>20</v>
      </c>
      <c r="B41" s="41" t="s">
        <v>82</v>
      </c>
      <c r="C41" s="41" t="s">
        <v>153</v>
      </c>
      <c r="D41" s="41">
        <v>5.0</v>
      </c>
      <c r="E41" s="41" t="s">
        <v>1709</v>
      </c>
      <c r="F41" s="42" t="s">
        <v>1827</v>
      </c>
      <c r="G41" s="42" t="s">
        <v>1828</v>
      </c>
      <c r="H41" s="42" t="s">
        <v>1873</v>
      </c>
      <c r="I41" s="41" t="s">
        <v>1874</v>
      </c>
      <c r="J41" s="42" t="s">
        <v>1875</v>
      </c>
      <c r="K41" s="42" t="s">
        <v>1876</v>
      </c>
    </row>
    <row r="42">
      <c r="A42" s="40" t="s">
        <v>20</v>
      </c>
      <c r="B42" s="41" t="s">
        <v>82</v>
      </c>
      <c r="C42" s="41" t="s">
        <v>153</v>
      </c>
      <c r="D42" s="41">
        <v>6.0</v>
      </c>
      <c r="E42" s="41" t="s">
        <v>1716</v>
      </c>
      <c r="F42" s="42" t="s">
        <v>1877</v>
      </c>
      <c r="G42" s="42" t="s">
        <v>1878</v>
      </c>
      <c r="H42" s="42" t="s">
        <v>1879</v>
      </c>
      <c r="I42" s="41" t="s">
        <v>1880</v>
      </c>
      <c r="J42" s="42" t="s">
        <v>1881</v>
      </c>
      <c r="K42" s="42" t="s">
        <v>1882</v>
      </c>
    </row>
    <row r="43">
      <c r="A43" s="40" t="s">
        <v>20</v>
      </c>
      <c r="B43" s="41" t="s">
        <v>82</v>
      </c>
      <c r="C43" s="41" t="s">
        <v>153</v>
      </c>
      <c r="D43" s="41">
        <v>7.0</v>
      </c>
      <c r="E43" s="41" t="s">
        <v>1721</v>
      </c>
      <c r="F43" s="42" t="s">
        <v>1883</v>
      </c>
      <c r="G43" s="42" t="s">
        <v>1884</v>
      </c>
      <c r="H43" s="42" t="s">
        <v>1885</v>
      </c>
      <c r="I43" s="41" t="s">
        <v>1886</v>
      </c>
      <c r="J43" s="42" t="s">
        <v>1887</v>
      </c>
      <c r="K43" s="42" t="s">
        <v>1888</v>
      </c>
    </row>
    <row r="44">
      <c r="A44" s="12" t="s">
        <v>20</v>
      </c>
      <c r="B44" s="12" t="s">
        <v>549</v>
      </c>
      <c r="C44" s="12" t="s">
        <v>22</v>
      </c>
      <c r="D44" s="12">
        <v>1.0</v>
      </c>
      <c r="E44" s="12" t="s">
        <v>1683</v>
      </c>
      <c r="F44" s="11" t="s">
        <v>1821</v>
      </c>
      <c r="G44" s="12" t="s">
        <v>1822</v>
      </c>
      <c r="H44" s="11" t="s">
        <v>1889</v>
      </c>
      <c r="I44" s="12" t="s">
        <v>1890</v>
      </c>
      <c r="J44" s="12" t="s">
        <v>1891</v>
      </c>
      <c r="K44" s="11" t="s">
        <v>1892</v>
      </c>
    </row>
    <row r="45">
      <c r="A45" s="12" t="s">
        <v>20</v>
      </c>
      <c r="B45" s="12" t="s">
        <v>549</v>
      </c>
      <c r="C45" s="12" t="s">
        <v>22</v>
      </c>
      <c r="D45" s="12">
        <v>2.0</v>
      </c>
      <c r="E45" s="12" t="s">
        <v>1690</v>
      </c>
      <c r="F45" s="11" t="s">
        <v>1841</v>
      </c>
      <c r="G45" s="12" t="s">
        <v>1842</v>
      </c>
      <c r="H45" s="11" t="s">
        <v>1893</v>
      </c>
      <c r="I45" s="12" t="s">
        <v>1894</v>
      </c>
      <c r="J45" s="12" t="s">
        <v>1895</v>
      </c>
      <c r="K45" s="11" t="s">
        <v>1896</v>
      </c>
    </row>
    <row r="46">
      <c r="A46" s="12" t="s">
        <v>20</v>
      </c>
      <c r="B46" s="12" t="s">
        <v>549</v>
      </c>
      <c r="C46" s="12" t="s">
        <v>22</v>
      </c>
      <c r="D46" s="12">
        <v>3.0</v>
      </c>
      <c r="E46" s="12" t="s">
        <v>1697</v>
      </c>
      <c r="F46" s="11" t="s">
        <v>1848</v>
      </c>
      <c r="G46" s="12" t="s">
        <v>1749</v>
      </c>
      <c r="H46" s="11" t="s">
        <v>1897</v>
      </c>
      <c r="I46" s="12" t="s">
        <v>1898</v>
      </c>
      <c r="J46" s="12" t="s">
        <v>1899</v>
      </c>
      <c r="K46" s="11" t="s">
        <v>1900</v>
      </c>
    </row>
    <row r="47">
      <c r="A47" s="12" t="s">
        <v>20</v>
      </c>
      <c r="B47" s="12" t="s">
        <v>549</v>
      </c>
      <c r="C47" s="12" t="s">
        <v>22</v>
      </c>
      <c r="D47" s="12">
        <v>4.0</v>
      </c>
      <c r="E47" s="12" t="s">
        <v>1704</v>
      </c>
      <c r="F47" s="11" t="s">
        <v>1877</v>
      </c>
      <c r="G47" s="12" t="s">
        <v>1878</v>
      </c>
      <c r="H47" s="11" t="s">
        <v>1901</v>
      </c>
      <c r="I47" s="12" t="s">
        <v>1902</v>
      </c>
      <c r="J47" s="12" t="s">
        <v>1903</v>
      </c>
      <c r="K47" s="11" t="s">
        <v>1904</v>
      </c>
    </row>
    <row r="48">
      <c r="A48" s="12" t="s">
        <v>20</v>
      </c>
      <c r="B48" s="12" t="s">
        <v>549</v>
      </c>
      <c r="C48" s="12" t="s">
        <v>22</v>
      </c>
      <c r="D48" s="12">
        <v>5.0</v>
      </c>
      <c r="E48" s="12" t="s">
        <v>1709</v>
      </c>
      <c r="F48" s="11" t="s">
        <v>1905</v>
      </c>
      <c r="G48" s="12" t="s">
        <v>1758</v>
      </c>
      <c r="H48" s="11" t="s">
        <v>1906</v>
      </c>
      <c r="I48" s="12" t="s">
        <v>1907</v>
      </c>
      <c r="J48" s="12" t="s">
        <v>1908</v>
      </c>
      <c r="K48" s="11" t="s">
        <v>1909</v>
      </c>
    </row>
    <row r="49">
      <c r="A49" s="12" t="s">
        <v>20</v>
      </c>
      <c r="B49" s="12" t="s">
        <v>549</v>
      </c>
      <c r="C49" s="12" t="s">
        <v>22</v>
      </c>
      <c r="D49" s="12">
        <v>6.0</v>
      </c>
      <c r="E49" s="12" t="s">
        <v>1716</v>
      </c>
      <c r="F49" s="11" t="s">
        <v>1815</v>
      </c>
      <c r="G49" s="12" t="s">
        <v>1816</v>
      </c>
      <c r="H49" s="11" t="s">
        <v>1910</v>
      </c>
      <c r="I49" s="12" t="s">
        <v>1911</v>
      </c>
      <c r="J49" s="43" t="s">
        <v>1912</v>
      </c>
      <c r="K49" s="11" t="s">
        <v>1913</v>
      </c>
    </row>
    <row r="50">
      <c r="A50" s="12" t="s">
        <v>20</v>
      </c>
      <c r="B50" s="12" t="s">
        <v>549</v>
      </c>
      <c r="C50" s="12" t="s">
        <v>22</v>
      </c>
      <c r="D50" s="12">
        <v>7.0</v>
      </c>
      <c r="E50" s="12" t="s">
        <v>1847</v>
      </c>
      <c r="F50" s="11" t="s">
        <v>1815</v>
      </c>
      <c r="G50" s="12" t="s">
        <v>1816</v>
      </c>
      <c r="H50" s="11" t="s">
        <v>1914</v>
      </c>
      <c r="I50" s="12" t="s">
        <v>1915</v>
      </c>
      <c r="J50" s="12" t="s">
        <v>1916</v>
      </c>
      <c r="K50" s="11" t="s">
        <v>1917</v>
      </c>
    </row>
    <row r="51">
      <c r="A51" s="10" t="s">
        <v>20</v>
      </c>
      <c r="B51" s="38" t="s">
        <v>549</v>
      </c>
      <c r="C51" s="38" t="s">
        <v>153</v>
      </c>
      <c r="D51" s="38">
        <v>1.0</v>
      </c>
      <c r="E51" s="38" t="s">
        <v>1683</v>
      </c>
      <c r="F51" s="38" t="s">
        <v>1918</v>
      </c>
      <c r="G51" s="38" t="s">
        <v>1919</v>
      </c>
      <c r="H51" s="38" t="s">
        <v>1920</v>
      </c>
      <c r="I51" s="38" t="s">
        <v>1921</v>
      </c>
      <c r="J51" s="39" t="s">
        <v>1922</v>
      </c>
      <c r="K51" s="38" t="s">
        <v>1923</v>
      </c>
    </row>
    <row r="52">
      <c r="A52" s="40" t="s">
        <v>20</v>
      </c>
      <c r="B52" s="41" t="s">
        <v>549</v>
      </c>
      <c r="C52" s="41" t="s">
        <v>153</v>
      </c>
      <c r="D52" s="41">
        <v>2.0</v>
      </c>
      <c r="E52" s="41" t="s">
        <v>1690</v>
      </c>
      <c r="F52" s="41" t="s">
        <v>1924</v>
      </c>
      <c r="G52" s="41" t="s">
        <v>1925</v>
      </c>
      <c r="H52" s="41" t="s">
        <v>1926</v>
      </c>
      <c r="I52" s="41" t="s">
        <v>1927</v>
      </c>
      <c r="J52" s="41" t="s">
        <v>1928</v>
      </c>
      <c r="K52" s="41" t="s">
        <v>1929</v>
      </c>
    </row>
    <row r="53">
      <c r="A53" s="40" t="s">
        <v>20</v>
      </c>
      <c r="B53" s="41" t="s">
        <v>549</v>
      </c>
      <c r="C53" s="41" t="s">
        <v>153</v>
      </c>
      <c r="D53" s="41">
        <v>3.0</v>
      </c>
      <c r="E53" s="41" t="s">
        <v>1697</v>
      </c>
      <c r="F53" s="41" t="s">
        <v>1930</v>
      </c>
      <c r="G53" s="41" t="s">
        <v>1931</v>
      </c>
      <c r="H53" s="41" t="s">
        <v>1932</v>
      </c>
      <c r="I53" s="41" t="s">
        <v>1933</v>
      </c>
      <c r="J53" s="41" t="s">
        <v>1934</v>
      </c>
      <c r="K53" s="41" t="s">
        <v>1935</v>
      </c>
    </row>
    <row r="54">
      <c r="A54" s="40" t="s">
        <v>20</v>
      </c>
      <c r="B54" s="41" t="s">
        <v>549</v>
      </c>
      <c r="C54" s="41" t="s">
        <v>153</v>
      </c>
      <c r="D54" s="41">
        <v>4.0</v>
      </c>
      <c r="E54" s="41" t="s">
        <v>1704</v>
      </c>
      <c r="F54" s="41" t="s">
        <v>1936</v>
      </c>
      <c r="G54" s="41" t="s">
        <v>1937</v>
      </c>
      <c r="H54" s="41" t="s">
        <v>1938</v>
      </c>
      <c r="I54" s="41" t="s">
        <v>1939</v>
      </c>
      <c r="J54" s="41" t="s">
        <v>1940</v>
      </c>
      <c r="K54" s="41" t="s">
        <v>1941</v>
      </c>
    </row>
    <row r="55">
      <c r="A55" s="40" t="s">
        <v>20</v>
      </c>
      <c r="B55" s="41" t="s">
        <v>549</v>
      </c>
      <c r="C55" s="41" t="s">
        <v>153</v>
      </c>
      <c r="D55" s="41">
        <v>5.0</v>
      </c>
      <c r="E55" s="41" t="s">
        <v>1709</v>
      </c>
      <c r="F55" s="41" t="s">
        <v>1918</v>
      </c>
      <c r="G55" s="41" t="s">
        <v>1919</v>
      </c>
      <c r="H55" s="41" t="s">
        <v>1942</v>
      </c>
      <c r="I55" s="41" t="s">
        <v>1943</v>
      </c>
      <c r="J55" s="41" t="s">
        <v>1944</v>
      </c>
      <c r="K55" s="41" t="s">
        <v>1945</v>
      </c>
    </row>
    <row r="56">
      <c r="A56" s="40" t="s">
        <v>20</v>
      </c>
      <c r="B56" s="41" t="s">
        <v>549</v>
      </c>
      <c r="C56" s="41" t="s">
        <v>153</v>
      </c>
      <c r="D56" s="41">
        <v>6.0</v>
      </c>
      <c r="E56" s="41" t="s">
        <v>1716</v>
      </c>
      <c r="F56" s="41" t="s">
        <v>1946</v>
      </c>
      <c r="G56" s="41" t="s">
        <v>1947</v>
      </c>
      <c r="H56" s="41" t="s">
        <v>1948</v>
      </c>
      <c r="I56" s="41" t="s">
        <v>1949</v>
      </c>
      <c r="J56" s="41" t="s">
        <v>1950</v>
      </c>
      <c r="K56" s="41" t="s">
        <v>1951</v>
      </c>
    </row>
    <row r="57">
      <c r="A57" s="40" t="s">
        <v>20</v>
      </c>
      <c r="B57" s="41" t="s">
        <v>549</v>
      </c>
      <c r="C57" s="41" t="s">
        <v>153</v>
      </c>
      <c r="D57" s="41">
        <v>7.0</v>
      </c>
      <c r="E57" s="41" t="s">
        <v>1721</v>
      </c>
      <c r="F57" s="41" t="s">
        <v>1952</v>
      </c>
      <c r="G57" s="41" t="s">
        <v>1953</v>
      </c>
      <c r="H57" s="41" t="s">
        <v>1954</v>
      </c>
      <c r="I57" s="41" t="s">
        <v>1955</v>
      </c>
      <c r="J57" s="41" t="s">
        <v>1956</v>
      </c>
      <c r="K57" s="41" t="s">
        <v>1957</v>
      </c>
    </row>
    <row r="58">
      <c r="A58" s="17" t="s">
        <v>20</v>
      </c>
      <c r="B58" s="17" t="s">
        <v>469</v>
      </c>
      <c r="C58" s="17" t="s">
        <v>264</v>
      </c>
      <c r="D58" s="17">
        <v>1.0</v>
      </c>
      <c r="E58" s="17" t="s">
        <v>1683</v>
      </c>
      <c r="F58" s="17" t="s">
        <v>1958</v>
      </c>
      <c r="G58" s="17" t="s">
        <v>1959</v>
      </c>
      <c r="H58" s="17" t="s">
        <v>1960</v>
      </c>
      <c r="I58" s="17" t="s">
        <v>1961</v>
      </c>
      <c r="J58" s="17" t="s">
        <v>1962</v>
      </c>
      <c r="K58" s="17" t="s">
        <v>1963</v>
      </c>
    </row>
    <row r="59">
      <c r="A59" s="17" t="s">
        <v>20</v>
      </c>
      <c r="B59" s="17" t="s">
        <v>469</v>
      </c>
      <c r="C59" s="17" t="s">
        <v>264</v>
      </c>
      <c r="D59" s="17">
        <v>2.0</v>
      </c>
      <c r="E59" s="17" t="s">
        <v>1690</v>
      </c>
      <c r="F59" s="17" t="s">
        <v>1958</v>
      </c>
      <c r="G59" s="17" t="s">
        <v>1959</v>
      </c>
      <c r="H59" s="17" t="s">
        <v>1960</v>
      </c>
      <c r="I59" s="17" t="s">
        <v>1964</v>
      </c>
      <c r="J59" s="17" t="s">
        <v>1965</v>
      </c>
      <c r="K59" s="17" t="s">
        <v>1966</v>
      </c>
    </row>
    <row r="60">
      <c r="A60" s="17" t="s">
        <v>20</v>
      </c>
      <c r="B60" s="17" t="s">
        <v>469</v>
      </c>
      <c r="C60" s="17" t="s">
        <v>264</v>
      </c>
      <c r="D60" s="17">
        <v>3.0</v>
      </c>
      <c r="E60" s="17" t="s">
        <v>1697</v>
      </c>
      <c r="F60" s="17" t="s">
        <v>1967</v>
      </c>
      <c r="G60" s="17" t="s">
        <v>1968</v>
      </c>
      <c r="H60" s="17" t="s">
        <v>1969</v>
      </c>
      <c r="I60" s="17" t="s">
        <v>1970</v>
      </c>
      <c r="J60" s="17" t="s">
        <v>1971</v>
      </c>
      <c r="K60" s="17" t="s">
        <v>1972</v>
      </c>
    </row>
    <row r="61">
      <c r="A61" s="17" t="s">
        <v>20</v>
      </c>
      <c r="B61" s="17" t="s">
        <v>469</v>
      </c>
      <c r="C61" s="17" t="s">
        <v>264</v>
      </c>
      <c r="D61" s="17">
        <v>4.0</v>
      </c>
      <c r="E61" s="17" t="s">
        <v>1704</v>
      </c>
      <c r="F61" s="17" t="s">
        <v>1973</v>
      </c>
      <c r="G61" s="17" t="s">
        <v>1974</v>
      </c>
      <c r="H61" s="17" t="s">
        <v>1975</v>
      </c>
      <c r="I61" s="17" t="s">
        <v>1976</v>
      </c>
      <c r="J61" s="17" t="s">
        <v>1977</v>
      </c>
      <c r="K61" s="17" t="s">
        <v>1978</v>
      </c>
    </row>
    <row r="62">
      <c r="A62" s="17" t="s">
        <v>20</v>
      </c>
      <c r="B62" s="17" t="s">
        <v>469</v>
      </c>
      <c r="C62" s="17" t="s">
        <v>264</v>
      </c>
      <c r="D62" s="17">
        <v>5.0</v>
      </c>
      <c r="E62" s="17" t="s">
        <v>1709</v>
      </c>
      <c r="F62" s="17" t="s">
        <v>1979</v>
      </c>
      <c r="G62" s="17" t="s">
        <v>1980</v>
      </c>
      <c r="H62" s="17" t="s">
        <v>1981</v>
      </c>
      <c r="I62" s="17" t="s">
        <v>1982</v>
      </c>
      <c r="J62" s="17" t="s">
        <v>1983</v>
      </c>
      <c r="K62" s="17" t="s">
        <v>1984</v>
      </c>
    </row>
    <row r="63">
      <c r="A63" s="17" t="s">
        <v>20</v>
      </c>
      <c r="B63" s="17" t="s">
        <v>469</v>
      </c>
      <c r="C63" s="17" t="s">
        <v>264</v>
      </c>
      <c r="D63" s="17">
        <v>6.0</v>
      </c>
      <c r="E63" s="17" t="s">
        <v>1716</v>
      </c>
      <c r="F63" s="17" t="s">
        <v>1985</v>
      </c>
      <c r="G63" s="17" t="s">
        <v>1986</v>
      </c>
      <c r="H63" s="17" t="s">
        <v>1987</v>
      </c>
      <c r="I63" s="17" t="s">
        <v>1988</v>
      </c>
      <c r="J63" s="17" t="s">
        <v>1989</v>
      </c>
      <c r="K63" s="17" t="s">
        <v>1990</v>
      </c>
    </row>
    <row r="64">
      <c r="A64" s="17" t="s">
        <v>20</v>
      </c>
      <c r="B64" s="17" t="s">
        <v>469</v>
      </c>
      <c r="C64" s="17" t="s">
        <v>264</v>
      </c>
      <c r="D64" s="17">
        <v>7.0</v>
      </c>
      <c r="E64" s="17" t="s">
        <v>1721</v>
      </c>
      <c r="F64" s="17" t="s">
        <v>1973</v>
      </c>
      <c r="G64" s="17" t="s">
        <v>1974</v>
      </c>
      <c r="H64" s="17" t="s">
        <v>1991</v>
      </c>
      <c r="I64" s="17" t="s">
        <v>1992</v>
      </c>
      <c r="J64" s="17" t="s">
        <v>1993</v>
      </c>
      <c r="K64" s="17" t="s">
        <v>1994</v>
      </c>
    </row>
    <row r="65">
      <c r="A65" s="17" t="s">
        <v>20</v>
      </c>
      <c r="B65" s="17" t="s">
        <v>469</v>
      </c>
      <c r="C65" s="17" t="s">
        <v>313</v>
      </c>
      <c r="D65" s="17">
        <v>1.0</v>
      </c>
      <c r="E65" s="17" t="s">
        <v>1683</v>
      </c>
      <c r="F65" s="12"/>
      <c r="G65" s="12"/>
      <c r="H65" s="17" t="s">
        <v>1995</v>
      </c>
      <c r="I65" s="17" t="s">
        <v>1996</v>
      </c>
      <c r="J65" s="17" t="s">
        <v>1997</v>
      </c>
      <c r="K65" s="17" t="s">
        <v>1998</v>
      </c>
    </row>
    <row r="66">
      <c r="A66" s="17" t="s">
        <v>20</v>
      </c>
      <c r="B66" s="17" t="s">
        <v>469</v>
      </c>
      <c r="C66" s="17" t="s">
        <v>313</v>
      </c>
      <c r="D66" s="17">
        <v>2.0</v>
      </c>
      <c r="E66" s="17" t="s">
        <v>1690</v>
      </c>
      <c r="F66" s="12"/>
      <c r="G66" s="12"/>
      <c r="H66" s="17" t="s">
        <v>1999</v>
      </c>
      <c r="I66" s="17" t="s">
        <v>2000</v>
      </c>
      <c r="J66" s="17" t="s">
        <v>2001</v>
      </c>
      <c r="K66" s="17" t="s">
        <v>2002</v>
      </c>
    </row>
    <row r="67">
      <c r="A67" s="17" t="s">
        <v>20</v>
      </c>
      <c r="B67" s="17" t="s">
        <v>469</v>
      </c>
      <c r="C67" s="17" t="s">
        <v>313</v>
      </c>
      <c r="D67" s="17">
        <v>3.0</v>
      </c>
      <c r="E67" s="17" t="s">
        <v>1697</v>
      </c>
      <c r="F67" s="12"/>
      <c r="G67" s="12"/>
      <c r="H67" s="17" t="s">
        <v>2003</v>
      </c>
      <c r="I67" s="17" t="s">
        <v>2004</v>
      </c>
      <c r="J67" s="17" t="s">
        <v>2005</v>
      </c>
      <c r="K67" s="17" t="s">
        <v>2006</v>
      </c>
    </row>
    <row r="68">
      <c r="A68" s="17" t="s">
        <v>20</v>
      </c>
      <c r="B68" s="17" t="s">
        <v>469</v>
      </c>
      <c r="C68" s="17" t="s">
        <v>313</v>
      </c>
      <c r="D68" s="17">
        <v>4.0</v>
      </c>
      <c r="E68" s="17" t="s">
        <v>1704</v>
      </c>
      <c r="F68" s="12"/>
      <c r="G68" s="12"/>
      <c r="H68" s="17" t="s">
        <v>2007</v>
      </c>
      <c r="I68" s="17" t="s">
        <v>2008</v>
      </c>
      <c r="J68" s="17" t="s">
        <v>2009</v>
      </c>
      <c r="K68" s="17" t="s">
        <v>2010</v>
      </c>
    </row>
    <row r="69">
      <c r="A69" s="17" t="s">
        <v>20</v>
      </c>
      <c r="B69" s="17" t="s">
        <v>469</v>
      </c>
      <c r="C69" s="17" t="s">
        <v>313</v>
      </c>
      <c r="D69" s="17">
        <v>5.0</v>
      </c>
      <c r="E69" s="17" t="s">
        <v>1709</v>
      </c>
      <c r="F69" s="12"/>
      <c r="G69" s="12"/>
      <c r="H69" s="17" t="s">
        <v>2011</v>
      </c>
      <c r="I69" s="17" t="s">
        <v>2012</v>
      </c>
      <c r="J69" s="17" t="s">
        <v>2013</v>
      </c>
      <c r="K69" s="17" t="s">
        <v>2014</v>
      </c>
    </row>
    <row r="70">
      <c r="A70" s="17" t="s">
        <v>20</v>
      </c>
      <c r="B70" s="17" t="s">
        <v>469</v>
      </c>
      <c r="C70" s="17" t="s">
        <v>313</v>
      </c>
      <c r="D70" s="17">
        <v>6.0</v>
      </c>
      <c r="E70" s="17" t="s">
        <v>1716</v>
      </c>
      <c r="F70" s="12"/>
      <c r="G70" s="12"/>
      <c r="H70" s="17" t="s">
        <v>2015</v>
      </c>
      <c r="I70" s="17" t="s">
        <v>2016</v>
      </c>
      <c r="J70" s="17" t="s">
        <v>2017</v>
      </c>
      <c r="K70" s="17" t="s">
        <v>2018</v>
      </c>
    </row>
    <row r="71">
      <c r="A71" s="17" t="s">
        <v>20</v>
      </c>
      <c r="B71" s="17" t="s">
        <v>469</v>
      </c>
      <c r="C71" s="17" t="s">
        <v>313</v>
      </c>
      <c r="D71" s="17">
        <v>7.0</v>
      </c>
      <c r="E71" s="17" t="s">
        <v>1721</v>
      </c>
      <c r="F71" s="12"/>
      <c r="G71" s="12"/>
      <c r="H71" s="17" t="s">
        <v>2019</v>
      </c>
      <c r="I71" s="17" t="s">
        <v>2020</v>
      </c>
      <c r="J71" s="17" t="s">
        <v>2021</v>
      </c>
      <c r="K71" s="17" t="s">
        <v>2022</v>
      </c>
    </row>
    <row r="72">
      <c r="A72" s="17" t="s">
        <v>20</v>
      </c>
      <c r="B72" s="17" t="s">
        <v>21</v>
      </c>
      <c r="C72" s="17" t="s">
        <v>264</v>
      </c>
      <c r="D72" s="17">
        <v>1.0</v>
      </c>
      <c r="E72" s="17" t="s">
        <v>1683</v>
      </c>
      <c r="F72" s="17" t="s">
        <v>2023</v>
      </c>
      <c r="G72" s="17" t="s">
        <v>1758</v>
      </c>
      <c r="H72" s="17" t="s">
        <v>2024</v>
      </c>
      <c r="I72" s="17" t="s">
        <v>2025</v>
      </c>
      <c r="J72" s="17" t="s">
        <v>2026</v>
      </c>
      <c r="K72" s="17" t="s">
        <v>2027</v>
      </c>
    </row>
    <row r="73">
      <c r="A73" s="17" t="s">
        <v>20</v>
      </c>
      <c r="B73" s="17" t="s">
        <v>21</v>
      </c>
      <c r="C73" s="17" t="s">
        <v>264</v>
      </c>
      <c r="D73" s="17">
        <v>2.0</v>
      </c>
      <c r="E73" s="17" t="s">
        <v>1690</v>
      </c>
      <c r="F73" s="17" t="s">
        <v>2023</v>
      </c>
      <c r="G73" s="17" t="s">
        <v>1758</v>
      </c>
      <c r="H73" s="17" t="s">
        <v>2028</v>
      </c>
      <c r="I73" s="17" t="s">
        <v>2029</v>
      </c>
      <c r="J73" s="17" t="s">
        <v>2030</v>
      </c>
      <c r="K73" s="17" t="s">
        <v>2031</v>
      </c>
    </row>
    <row r="74">
      <c r="A74" s="17" t="s">
        <v>20</v>
      </c>
      <c r="B74" s="17" t="s">
        <v>21</v>
      </c>
      <c r="C74" s="17" t="s">
        <v>264</v>
      </c>
      <c r="D74" s="17">
        <v>3.0</v>
      </c>
      <c r="E74" s="17" t="s">
        <v>1697</v>
      </c>
      <c r="F74" s="17" t="s">
        <v>2032</v>
      </c>
      <c r="G74" s="17" t="s">
        <v>2033</v>
      </c>
      <c r="H74" s="17" t="s">
        <v>2034</v>
      </c>
      <c r="I74" s="17" t="s">
        <v>2035</v>
      </c>
      <c r="J74" s="17" t="s">
        <v>2036</v>
      </c>
      <c r="K74" s="17" t="s">
        <v>2037</v>
      </c>
    </row>
    <row r="75">
      <c r="A75" s="17" t="s">
        <v>20</v>
      </c>
      <c r="B75" s="17" t="s">
        <v>21</v>
      </c>
      <c r="C75" s="17" t="s">
        <v>264</v>
      </c>
      <c r="D75" s="17">
        <v>4.0</v>
      </c>
      <c r="E75" s="17" t="s">
        <v>1704</v>
      </c>
      <c r="F75" s="17" t="s">
        <v>2023</v>
      </c>
      <c r="G75" s="17" t="s">
        <v>1758</v>
      </c>
      <c r="H75" s="17" t="s">
        <v>2038</v>
      </c>
      <c r="I75" s="17" t="s">
        <v>2039</v>
      </c>
      <c r="J75" s="17" t="s">
        <v>2040</v>
      </c>
      <c r="K75" s="17" t="s">
        <v>2041</v>
      </c>
    </row>
    <row r="76">
      <c r="A76" s="17" t="s">
        <v>20</v>
      </c>
      <c r="B76" s="17" t="s">
        <v>21</v>
      </c>
      <c r="C76" s="17" t="s">
        <v>264</v>
      </c>
      <c r="D76" s="17">
        <v>5.0</v>
      </c>
      <c r="E76" s="17" t="s">
        <v>1709</v>
      </c>
      <c r="F76" s="17" t="s">
        <v>2042</v>
      </c>
      <c r="G76" s="17" t="s">
        <v>2043</v>
      </c>
      <c r="H76" s="17" t="s">
        <v>2044</v>
      </c>
      <c r="I76" s="17" t="s">
        <v>2045</v>
      </c>
      <c r="J76" s="17" t="s">
        <v>2046</v>
      </c>
      <c r="K76" s="17" t="s">
        <v>2047</v>
      </c>
    </row>
    <row r="77">
      <c r="A77" s="17" t="s">
        <v>20</v>
      </c>
      <c r="B77" s="17" t="s">
        <v>21</v>
      </c>
      <c r="C77" s="17" t="s">
        <v>264</v>
      </c>
      <c r="D77" s="17">
        <v>6.0</v>
      </c>
      <c r="E77" s="17" t="s">
        <v>1716</v>
      </c>
      <c r="F77" s="17" t="s">
        <v>1936</v>
      </c>
      <c r="G77" s="17" t="s">
        <v>1980</v>
      </c>
      <c r="H77" s="17" t="s">
        <v>2044</v>
      </c>
      <c r="I77" s="17" t="s">
        <v>2048</v>
      </c>
      <c r="J77" s="17" t="s">
        <v>2049</v>
      </c>
      <c r="K77" s="17" t="s">
        <v>2050</v>
      </c>
    </row>
    <row r="78">
      <c r="A78" s="17" t="s">
        <v>20</v>
      </c>
      <c r="B78" s="17" t="s">
        <v>21</v>
      </c>
      <c r="C78" s="17" t="s">
        <v>264</v>
      </c>
      <c r="D78" s="17">
        <v>7.0</v>
      </c>
      <c r="E78" s="17" t="s">
        <v>1721</v>
      </c>
      <c r="F78" s="17" t="s">
        <v>1952</v>
      </c>
      <c r="G78" s="17" t="s">
        <v>1986</v>
      </c>
      <c r="H78" s="17" t="s">
        <v>2051</v>
      </c>
      <c r="I78" s="17" t="s">
        <v>2052</v>
      </c>
      <c r="J78" s="17" t="s">
        <v>2053</v>
      </c>
      <c r="K78" s="17" t="s">
        <v>2054</v>
      </c>
    </row>
    <row r="79">
      <c r="A79" s="17" t="s">
        <v>20</v>
      </c>
      <c r="B79" s="17" t="s">
        <v>21</v>
      </c>
      <c r="C79" s="17" t="s">
        <v>313</v>
      </c>
      <c r="D79" s="17">
        <v>1.0</v>
      </c>
      <c r="E79" s="17" t="s">
        <v>1683</v>
      </c>
      <c r="F79" s="12"/>
      <c r="G79" s="12"/>
      <c r="H79" s="17" t="s">
        <v>2051</v>
      </c>
      <c r="I79" s="17" t="s">
        <v>2055</v>
      </c>
      <c r="J79" s="17" t="s">
        <v>2056</v>
      </c>
      <c r="K79" s="17" t="s">
        <v>2057</v>
      </c>
    </row>
    <row r="80">
      <c r="A80" s="17" t="s">
        <v>20</v>
      </c>
      <c r="B80" s="17" t="s">
        <v>21</v>
      </c>
      <c r="C80" s="17" t="s">
        <v>313</v>
      </c>
      <c r="D80" s="17">
        <v>2.0</v>
      </c>
      <c r="E80" s="17" t="s">
        <v>1690</v>
      </c>
      <c r="F80" s="12"/>
      <c r="G80" s="12"/>
      <c r="H80" s="17" t="s">
        <v>2051</v>
      </c>
      <c r="I80" s="17" t="s">
        <v>2058</v>
      </c>
      <c r="J80" s="12"/>
      <c r="K80" s="17" t="s">
        <v>2059</v>
      </c>
    </row>
    <row r="81">
      <c r="A81" s="17" t="s">
        <v>20</v>
      </c>
      <c r="B81" s="17" t="s">
        <v>21</v>
      </c>
      <c r="C81" s="17" t="s">
        <v>313</v>
      </c>
      <c r="D81" s="17">
        <v>3.0</v>
      </c>
      <c r="E81" s="17" t="s">
        <v>1697</v>
      </c>
      <c r="F81" s="12"/>
      <c r="G81" s="12"/>
      <c r="H81" s="17" t="s">
        <v>2051</v>
      </c>
      <c r="I81" s="17" t="s">
        <v>2060</v>
      </c>
      <c r="J81" s="17" t="s">
        <v>2061</v>
      </c>
      <c r="K81" s="17" t="s">
        <v>2062</v>
      </c>
    </row>
    <row r="82">
      <c r="A82" s="17" t="s">
        <v>20</v>
      </c>
      <c r="B82" s="17" t="s">
        <v>21</v>
      </c>
      <c r="C82" s="17" t="s">
        <v>313</v>
      </c>
      <c r="D82" s="17">
        <v>4.0</v>
      </c>
      <c r="E82" s="17" t="s">
        <v>1704</v>
      </c>
      <c r="F82" s="12"/>
      <c r="G82" s="12"/>
      <c r="H82" s="17" t="s">
        <v>2051</v>
      </c>
      <c r="I82" s="17" t="s">
        <v>2063</v>
      </c>
      <c r="J82" s="17" t="s">
        <v>2064</v>
      </c>
      <c r="K82" s="17" t="s">
        <v>2065</v>
      </c>
    </row>
    <row r="83">
      <c r="A83" s="17" t="s">
        <v>20</v>
      </c>
      <c r="B83" s="17" t="s">
        <v>21</v>
      </c>
      <c r="C83" s="17" t="s">
        <v>313</v>
      </c>
      <c r="D83" s="17">
        <v>5.0</v>
      </c>
      <c r="E83" s="17" t="s">
        <v>1709</v>
      </c>
      <c r="F83" s="12"/>
      <c r="G83" s="12"/>
      <c r="H83" s="17" t="s">
        <v>2051</v>
      </c>
      <c r="I83" s="17" t="s">
        <v>2066</v>
      </c>
      <c r="J83" s="17" t="s">
        <v>2067</v>
      </c>
      <c r="K83" s="17" t="s">
        <v>2068</v>
      </c>
    </row>
    <row r="84">
      <c r="A84" s="17" t="s">
        <v>20</v>
      </c>
      <c r="B84" s="17" t="s">
        <v>21</v>
      </c>
      <c r="C84" s="17" t="s">
        <v>313</v>
      </c>
      <c r="D84" s="17">
        <v>6.0</v>
      </c>
      <c r="E84" s="17" t="s">
        <v>1716</v>
      </c>
      <c r="F84" s="12"/>
      <c r="G84" s="12"/>
      <c r="H84" s="17" t="s">
        <v>2051</v>
      </c>
      <c r="I84" s="17" t="s">
        <v>2069</v>
      </c>
      <c r="J84" s="17" t="s">
        <v>2070</v>
      </c>
      <c r="K84" s="17" t="s">
        <v>2071</v>
      </c>
    </row>
    <row r="85">
      <c r="A85" s="17" t="s">
        <v>20</v>
      </c>
      <c r="B85" s="17" t="s">
        <v>21</v>
      </c>
      <c r="C85" s="17" t="s">
        <v>313</v>
      </c>
      <c r="D85" s="17">
        <v>7.0</v>
      </c>
      <c r="E85" s="17" t="s">
        <v>1721</v>
      </c>
      <c r="F85" s="12"/>
      <c r="G85" s="12"/>
      <c r="H85" s="17" t="s">
        <v>2051</v>
      </c>
      <c r="I85" s="17" t="s">
        <v>2072</v>
      </c>
      <c r="J85" s="17" t="s">
        <v>2073</v>
      </c>
      <c r="K85" s="17" t="s">
        <v>2074</v>
      </c>
    </row>
    <row r="86">
      <c r="A86" s="17" t="s">
        <v>20</v>
      </c>
      <c r="B86" s="17" t="s">
        <v>82</v>
      </c>
      <c r="C86" s="17" t="s">
        <v>264</v>
      </c>
      <c r="D86" s="17">
        <v>1.0</v>
      </c>
      <c r="E86" s="17" t="s">
        <v>1683</v>
      </c>
      <c r="F86" s="17" t="s">
        <v>1924</v>
      </c>
      <c r="G86" s="17" t="s">
        <v>1959</v>
      </c>
      <c r="H86" s="17" t="s">
        <v>2075</v>
      </c>
      <c r="I86" s="17" t="s">
        <v>2076</v>
      </c>
      <c r="J86" s="17" t="s">
        <v>2077</v>
      </c>
      <c r="K86" s="17" t="s">
        <v>2078</v>
      </c>
    </row>
    <row r="87">
      <c r="A87" s="17" t="s">
        <v>20</v>
      </c>
      <c r="B87" s="17" t="s">
        <v>82</v>
      </c>
      <c r="C87" s="17" t="s">
        <v>264</v>
      </c>
      <c r="D87" s="17">
        <v>2.0</v>
      </c>
      <c r="E87" s="17" t="s">
        <v>1690</v>
      </c>
      <c r="F87" s="17" t="s">
        <v>1936</v>
      </c>
      <c r="G87" s="17" t="s">
        <v>1980</v>
      </c>
      <c r="H87" s="17" t="s">
        <v>2079</v>
      </c>
      <c r="I87" s="17" t="s">
        <v>2080</v>
      </c>
      <c r="J87" s="17" t="s">
        <v>2081</v>
      </c>
      <c r="K87" s="17" t="s">
        <v>2082</v>
      </c>
    </row>
    <row r="88">
      <c r="A88" s="17" t="s">
        <v>20</v>
      </c>
      <c r="B88" s="17" t="s">
        <v>82</v>
      </c>
      <c r="C88" s="17" t="s">
        <v>264</v>
      </c>
      <c r="D88" s="17">
        <v>3.0</v>
      </c>
      <c r="E88" s="17" t="s">
        <v>1697</v>
      </c>
      <c r="F88" s="17" t="s">
        <v>2083</v>
      </c>
      <c r="G88" s="17" t="s">
        <v>2084</v>
      </c>
      <c r="H88" s="17" t="s">
        <v>2085</v>
      </c>
      <c r="I88" s="17" t="s">
        <v>2086</v>
      </c>
      <c r="J88" s="17" t="s">
        <v>2087</v>
      </c>
      <c r="K88" s="17" t="s">
        <v>2088</v>
      </c>
    </row>
    <row r="89">
      <c r="A89" s="17" t="s">
        <v>20</v>
      </c>
      <c r="B89" s="17" t="s">
        <v>82</v>
      </c>
      <c r="C89" s="17" t="s">
        <v>264</v>
      </c>
      <c r="D89" s="17">
        <v>4.0</v>
      </c>
      <c r="E89" s="17" t="s">
        <v>1704</v>
      </c>
      <c r="F89" s="17" t="s">
        <v>1952</v>
      </c>
      <c r="G89" s="17" t="s">
        <v>1986</v>
      </c>
      <c r="H89" s="17" t="s">
        <v>2089</v>
      </c>
      <c r="I89" s="17" t="s">
        <v>2090</v>
      </c>
      <c r="J89" s="17" t="s">
        <v>2091</v>
      </c>
      <c r="K89" s="17" t="s">
        <v>2092</v>
      </c>
    </row>
    <row r="90">
      <c r="A90" s="17" t="s">
        <v>20</v>
      </c>
      <c r="B90" s="17" t="s">
        <v>82</v>
      </c>
      <c r="C90" s="17" t="s">
        <v>264</v>
      </c>
      <c r="D90" s="17">
        <v>5.0</v>
      </c>
      <c r="E90" s="17" t="s">
        <v>1709</v>
      </c>
      <c r="F90" s="17" t="s">
        <v>1918</v>
      </c>
      <c r="G90" s="17" t="s">
        <v>1974</v>
      </c>
      <c r="H90" s="17" t="s">
        <v>2093</v>
      </c>
      <c r="I90" s="17" t="s">
        <v>2094</v>
      </c>
      <c r="J90" s="17" t="s">
        <v>2095</v>
      </c>
      <c r="K90" s="17" t="s">
        <v>2096</v>
      </c>
    </row>
    <row r="91">
      <c r="A91" s="17" t="s">
        <v>20</v>
      </c>
      <c r="B91" s="17" t="s">
        <v>82</v>
      </c>
      <c r="C91" s="17" t="s">
        <v>264</v>
      </c>
      <c r="D91" s="17">
        <v>6.0</v>
      </c>
      <c r="E91" s="17" t="s">
        <v>1716</v>
      </c>
      <c r="F91" s="17" t="s">
        <v>1930</v>
      </c>
      <c r="G91" s="17" t="s">
        <v>2097</v>
      </c>
      <c r="H91" s="17" t="s">
        <v>2098</v>
      </c>
      <c r="I91" s="17" t="s">
        <v>2099</v>
      </c>
      <c r="J91" s="17" t="s">
        <v>2100</v>
      </c>
      <c r="K91" s="17" t="s">
        <v>2101</v>
      </c>
    </row>
    <row r="92">
      <c r="A92" s="17" t="s">
        <v>20</v>
      </c>
      <c r="B92" s="17" t="s">
        <v>82</v>
      </c>
      <c r="C92" s="17" t="s">
        <v>264</v>
      </c>
      <c r="D92" s="17">
        <v>7.0</v>
      </c>
      <c r="E92" s="17" t="s">
        <v>1721</v>
      </c>
      <c r="F92" s="17" t="s">
        <v>1924</v>
      </c>
      <c r="G92" s="17" t="s">
        <v>1959</v>
      </c>
      <c r="H92" s="17" t="s">
        <v>2102</v>
      </c>
      <c r="I92" s="17" t="s">
        <v>2103</v>
      </c>
      <c r="J92" s="17" t="s">
        <v>2104</v>
      </c>
      <c r="K92" s="17" t="s">
        <v>2105</v>
      </c>
    </row>
    <row r="93">
      <c r="A93" s="17" t="s">
        <v>20</v>
      </c>
      <c r="B93" s="17" t="s">
        <v>82</v>
      </c>
      <c r="C93" s="17" t="s">
        <v>313</v>
      </c>
      <c r="D93" s="17">
        <v>1.0</v>
      </c>
      <c r="E93" s="17" t="s">
        <v>1683</v>
      </c>
      <c r="F93" s="17" t="s">
        <v>2106</v>
      </c>
      <c r="G93" s="12"/>
      <c r="H93" s="17" t="s">
        <v>2107</v>
      </c>
      <c r="I93" s="17" t="s">
        <v>2108</v>
      </c>
      <c r="J93" s="17" t="s">
        <v>2109</v>
      </c>
      <c r="K93" s="17" t="s">
        <v>2110</v>
      </c>
    </row>
    <row r="94">
      <c r="A94" s="17" t="s">
        <v>20</v>
      </c>
      <c r="B94" s="17" t="s">
        <v>82</v>
      </c>
      <c r="C94" s="17" t="s">
        <v>313</v>
      </c>
      <c r="D94" s="17">
        <v>2.0</v>
      </c>
      <c r="E94" s="17" t="s">
        <v>1690</v>
      </c>
      <c r="F94" s="17" t="s">
        <v>2111</v>
      </c>
      <c r="G94" s="12"/>
      <c r="H94" s="17" t="s">
        <v>2112</v>
      </c>
      <c r="I94" s="17" t="s">
        <v>2113</v>
      </c>
      <c r="J94" s="17" t="s">
        <v>2114</v>
      </c>
      <c r="K94" s="17" t="s">
        <v>2115</v>
      </c>
    </row>
    <row r="95">
      <c r="A95" s="17" t="s">
        <v>20</v>
      </c>
      <c r="B95" s="17" t="s">
        <v>82</v>
      </c>
      <c r="C95" s="17" t="s">
        <v>313</v>
      </c>
      <c r="D95" s="17">
        <v>3.0</v>
      </c>
      <c r="E95" s="17" t="s">
        <v>1697</v>
      </c>
      <c r="F95" s="17" t="s">
        <v>2116</v>
      </c>
      <c r="G95" s="12"/>
      <c r="H95" s="17" t="s">
        <v>2117</v>
      </c>
      <c r="I95" s="17" t="s">
        <v>2113</v>
      </c>
      <c r="J95" s="17" t="s">
        <v>2118</v>
      </c>
      <c r="K95" s="17" t="s">
        <v>2119</v>
      </c>
    </row>
    <row r="96">
      <c r="A96" s="17" t="s">
        <v>20</v>
      </c>
      <c r="B96" s="17" t="s">
        <v>82</v>
      </c>
      <c r="C96" s="17" t="s">
        <v>313</v>
      </c>
      <c r="D96" s="17">
        <v>4.0</v>
      </c>
      <c r="E96" s="17" t="s">
        <v>1704</v>
      </c>
      <c r="F96" s="17" t="s">
        <v>2120</v>
      </c>
      <c r="G96" s="12"/>
      <c r="H96" s="17" t="s">
        <v>2121</v>
      </c>
      <c r="I96" s="17" t="s">
        <v>2122</v>
      </c>
      <c r="J96" s="17" t="s">
        <v>2123</v>
      </c>
      <c r="K96" s="17" t="s">
        <v>2124</v>
      </c>
    </row>
    <row r="97">
      <c r="A97" s="17" t="s">
        <v>20</v>
      </c>
      <c r="B97" s="17" t="s">
        <v>82</v>
      </c>
      <c r="C97" s="17" t="s">
        <v>313</v>
      </c>
      <c r="D97" s="17">
        <v>5.0</v>
      </c>
      <c r="E97" s="17" t="s">
        <v>1709</v>
      </c>
      <c r="F97" s="17" t="s">
        <v>2125</v>
      </c>
      <c r="G97" s="12"/>
      <c r="H97" s="17" t="s">
        <v>2126</v>
      </c>
      <c r="I97" s="17" t="s">
        <v>2127</v>
      </c>
      <c r="J97" s="17" t="s">
        <v>2128</v>
      </c>
      <c r="K97" s="17" t="s">
        <v>2129</v>
      </c>
    </row>
    <row r="98">
      <c r="A98" s="17" t="s">
        <v>20</v>
      </c>
      <c r="B98" s="17" t="s">
        <v>82</v>
      </c>
      <c r="C98" s="17" t="s">
        <v>313</v>
      </c>
      <c r="D98" s="17">
        <v>6.0</v>
      </c>
      <c r="E98" s="17" t="s">
        <v>1716</v>
      </c>
      <c r="F98" s="17" t="s">
        <v>2130</v>
      </c>
      <c r="G98" s="12"/>
      <c r="H98" s="17" t="s">
        <v>2131</v>
      </c>
      <c r="I98" s="17" t="s">
        <v>2122</v>
      </c>
      <c r="J98" s="17" t="s">
        <v>2132</v>
      </c>
      <c r="K98" s="17" t="s">
        <v>2133</v>
      </c>
    </row>
    <row r="99">
      <c r="A99" s="17" t="s">
        <v>20</v>
      </c>
      <c r="B99" s="17" t="s">
        <v>82</v>
      </c>
      <c r="C99" s="17" t="s">
        <v>313</v>
      </c>
      <c r="D99" s="17">
        <v>7.0</v>
      </c>
      <c r="E99" s="17" t="s">
        <v>1721</v>
      </c>
      <c r="F99" s="17" t="s">
        <v>2134</v>
      </c>
      <c r="G99" s="12"/>
      <c r="H99" s="17" t="s">
        <v>2135</v>
      </c>
      <c r="I99" s="17" t="s">
        <v>2136</v>
      </c>
      <c r="J99" s="17" t="s">
        <v>2137</v>
      </c>
      <c r="K99" s="17" t="s">
        <v>2138</v>
      </c>
    </row>
    <row r="100">
      <c r="A100" s="17" t="s">
        <v>20</v>
      </c>
      <c r="B100" s="17" t="s">
        <v>549</v>
      </c>
      <c r="C100" s="17" t="s">
        <v>264</v>
      </c>
      <c r="D100" s="17">
        <v>1.0</v>
      </c>
      <c r="E100" s="17" t="s">
        <v>1683</v>
      </c>
      <c r="F100" s="17" t="s">
        <v>1936</v>
      </c>
      <c r="G100" s="17" t="s">
        <v>1980</v>
      </c>
      <c r="H100" s="17" t="s">
        <v>2139</v>
      </c>
      <c r="I100" s="17" t="s">
        <v>2140</v>
      </c>
      <c r="J100" s="17" t="s">
        <v>2141</v>
      </c>
      <c r="K100" s="17" t="s">
        <v>2142</v>
      </c>
    </row>
    <row r="101">
      <c r="A101" s="17" t="s">
        <v>20</v>
      </c>
      <c r="B101" s="17" t="s">
        <v>549</v>
      </c>
      <c r="C101" s="17" t="s">
        <v>264</v>
      </c>
      <c r="D101" s="17">
        <v>2.0</v>
      </c>
      <c r="E101" s="17" t="s">
        <v>1690</v>
      </c>
      <c r="F101" s="17" t="s">
        <v>2143</v>
      </c>
      <c r="G101" s="17" t="s">
        <v>2144</v>
      </c>
      <c r="H101" s="17" t="s">
        <v>2145</v>
      </c>
      <c r="I101" s="17" t="s">
        <v>2146</v>
      </c>
      <c r="J101" s="17" t="s">
        <v>2147</v>
      </c>
      <c r="K101" s="17" t="s">
        <v>2148</v>
      </c>
    </row>
    <row r="102">
      <c r="A102" s="17" t="s">
        <v>20</v>
      </c>
      <c r="B102" s="17" t="s">
        <v>549</v>
      </c>
      <c r="C102" s="17" t="s">
        <v>264</v>
      </c>
      <c r="D102" s="17">
        <v>3.0</v>
      </c>
      <c r="E102" s="17" t="s">
        <v>1697</v>
      </c>
      <c r="F102" s="17" t="s">
        <v>1930</v>
      </c>
      <c r="G102" s="17" t="s">
        <v>1968</v>
      </c>
      <c r="H102" s="17" t="s">
        <v>2149</v>
      </c>
      <c r="I102" s="17" t="s">
        <v>2150</v>
      </c>
      <c r="J102" s="17" t="s">
        <v>2151</v>
      </c>
      <c r="K102" s="17" t="s">
        <v>2152</v>
      </c>
    </row>
    <row r="103">
      <c r="A103" s="17" t="s">
        <v>20</v>
      </c>
      <c r="B103" s="17" t="s">
        <v>549</v>
      </c>
      <c r="C103" s="17" t="s">
        <v>264</v>
      </c>
      <c r="D103" s="17">
        <v>4.0</v>
      </c>
      <c r="E103" s="17" t="s">
        <v>1704</v>
      </c>
      <c r="F103" s="17" t="s">
        <v>2153</v>
      </c>
      <c r="G103" s="17" t="s">
        <v>2154</v>
      </c>
      <c r="H103" s="17" t="s">
        <v>2155</v>
      </c>
      <c r="I103" s="17" t="s">
        <v>2156</v>
      </c>
      <c r="J103" s="17" t="s">
        <v>2157</v>
      </c>
      <c r="K103" s="17" t="s">
        <v>2158</v>
      </c>
    </row>
    <row r="104">
      <c r="A104" s="17" t="s">
        <v>20</v>
      </c>
      <c r="B104" s="17" t="s">
        <v>549</v>
      </c>
      <c r="C104" s="17" t="s">
        <v>264</v>
      </c>
      <c r="D104" s="17">
        <v>5.0</v>
      </c>
      <c r="E104" s="17" t="s">
        <v>1709</v>
      </c>
      <c r="F104" s="17" t="s">
        <v>1946</v>
      </c>
      <c r="G104" s="17" t="s">
        <v>2159</v>
      </c>
      <c r="H104" s="17" t="s">
        <v>2160</v>
      </c>
      <c r="I104" s="17" t="s">
        <v>2161</v>
      </c>
      <c r="J104" s="17" t="s">
        <v>2162</v>
      </c>
      <c r="K104" s="17" t="s">
        <v>2163</v>
      </c>
    </row>
    <row r="105">
      <c r="A105" s="17" t="s">
        <v>20</v>
      </c>
      <c r="B105" s="17" t="s">
        <v>549</v>
      </c>
      <c r="C105" s="17" t="s">
        <v>264</v>
      </c>
      <c r="D105" s="17">
        <v>6.0</v>
      </c>
      <c r="E105" s="17" t="s">
        <v>1716</v>
      </c>
      <c r="F105" s="17" t="s">
        <v>2083</v>
      </c>
      <c r="G105" s="17" t="s">
        <v>2084</v>
      </c>
      <c r="H105" s="17" t="s">
        <v>2164</v>
      </c>
      <c r="I105" s="17" t="s">
        <v>2165</v>
      </c>
      <c r="J105" s="17" t="s">
        <v>2166</v>
      </c>
      <c r="K105" s="17" t="s">
        <v>2167</v>
      </c>
    </row>
    <row r="106">
      <c r="A106" s="17" t="s">
        <v>20</v>
      </c>
      <c r="B106" s="17" t="s">
        <v>549</v>
      </c>
      <c r="C106" s="17" t="s">
        <v>264</v>
      </c>
      <c r="D106" s="17">
        <v>7.0</v>
      </c>
      <c r="E106" s="17" t="s">
        <v>1721</v>
      </c>
      <c r="F106" s="17" t="s">
        <v>1952</v>
      </c>
      <c r="G106" s="17" t="s">
        <v>1986</v>
      </c>
      <c r="H106" s="17" t="s">
        <v>2168</v>
      </c>
      <c r="I106" s="17" t="s">
        <v>2169</v>
      </c>
      <c r="J106" s="17" t="s">
        <v>2170</v>
      </c>
      <c r="K106" s="17" t="s">
        <v>2171</v>
      </c>
    </row>
    <row r="107">
      <c r="A107" s="17" t="s">
        <v>20</v>
      </c>
      <c r="B107" s="17" t="s">
        <v>549</v>
      </c>
      <c r="C107" s="17" t="s">
        <v>313</v>
      </c>
      <c r="D107" s="17">
        <v>1.0</v>
      </c>
      <c r="E107" s="17" t="s">
        <v>1683</v>
      </c>
      <c r="F107" s="17" t="s">
        <v>2106</v>
      </c>
      <c r="G107" s="12"/>
      <c r="H107" s="17" t="s">
        <v>2107</v>
      </c>
      <c r="I107" s="17" t="s">
        <v>2108</v>
      </c>
      <c r="J107" s="17" t="s">
        <v>2109</v>
      </c>
      <c r="K107" s="17" t="s">
        <v>2172</v>
      </c>
    </row>
    <row r="108">
      <c r="A108" s="17" t="s">
        <v>20</v>
      </c>
      <c r="B108" s="17" t="s">
        <v>549</v>
      </c>
      <c r="C108" s="17" t="s">
        <v>313</v>
      </c>
      <c r="D108" s="17">
        <v>2.0</v>
      </c>
      <c r="E108" s="17" t="s">
        <v>1690</v>
      </c>
      <c r="F108" s="17" t="s">
        <v>2111</v>
      </c>
      <c r="G108" s="12"/>
      <c r="H108" s="17" t="s">
        <v>2112</v>
      </c>
      <c r="I108" s="17" t="s">
        <v>2173</v>
      </c>
      <c r="J108" s="17" t="s">
        <v>2114</v>
      </c>
      <c r="K108" s="17" t="s">
        <v>2115</v>
      </c>
    </row>
    <row r="109">
      <c r="A109" s="17" t="s">
        <v>20</v>
      </c>
      <c r="B109" s="17" t="s">
        <v>549</v>
      </c>
      <c r="C109" s="17" t="s">
        <v>313</v>
      </c>
      <c r="D109" s="17">
        <v>3.0</v>
      </c>
      <c r="E109" s="17" t="s">
        <v>1697</v>
      </c>
      <c r="F109" s="17" t="s">
        <v>2116</v>
      </c>
      <c r="G109" s="12"/>
      <c r="H109" s="17" t="s">
        <v>2117</v>
      </c>
      <c r="I109" s="17" t="s">
        <v>2113</v>
      </c>
      <c r="J109" s="17" t="s">
        <v>2118</v>
      </c>
      <c r="K109" s="17" t="s">
        <v>2119</v>
      </c>
    </row>
    <row r="110">
      <c r="A110" s="17" t="s">
        <v>20</v>
      </c>
      <c r="B110" s="17" t="s">
        <v>549</v>
      </c>
      <c r="C110" s="17" t="s">
        <v>313</v>
      </c>
      <c r="D110" s="17">
        <v>4.0</v>
      </c>
      <c r="E110" s="17" t="s">
        <v>1704</v>
      </c>
      <c r="F110" s="17" t="s">
        <v>2120</v>
      </c>
      <c r="G110" s="12"/>
      <c r="H110" s="17" t="s">
        <v>2121</v>
      </c>
      <c r="I110" s="17" t="s">
        <v>2122</v>
      </c>
      <c r="J110" s="17" t="s">
        <v>2123</v>
      </c>
      <c r="K110" s="17" t="s">
        <v>2124</v>
      </c>
    </row>
    <row r="111">
      <c r="A111" s="17" t="s">
        <v>20</v>
      </c>
      <c r="B111" s="17" t="s">
        <v>549</v>
      </c>
      <c r="C111" s="17" t="s">
        <v>313</v>
      </c>
      <c r="D111" s="17">
        <v>5.0</v>
      </c>
      <c r="E111" s="17" t="s">
        <v>1709</v>
      </c>
      <c r="F111" s="17" t="s">
        <v>2125</v>
      </c>
      <c r="G111" s="12"/>
      <c r="H111" s="17" t="s">
        <v>2126</v>
      </c>
      <c r="I111" s="17" t="s">
        <v>2127</v>
      </c>
      <c r="J111" s="17" t="s">
        <v>2128</v>
      </c>
      <c r="K111" s="17" t="s">
        <v>2129</v>
      </c>
    </row>
    <row r="112">
      <c r="A112" s="17" t="s">
        <v>20</v>
      </c>
      <c r="B112" s="17" t="s">
        <v>549</v>
      </c>
      <c r="C112" s="17" t="s">
        <v>313</v>
      </c>
      <c r="D112" s="17">
        <v>6.0</v>
      </c>
      <c r="E112" s="17" t="s">
        <v>1716</v>
      </c>
      <c r="F112" s="17" t="s">
        <v>2130</v>
      </c>
      <c r="G112" s="12"/>
      <c r="H112" s="17" t="s">
        <v>2131</v>
      </c>
      <c r="I112" s="17" t="s">
        <v>2122</v>
      </c>
      <c r="J112" s="17" t="s">
        <v>2132</v>
      </c>
      <c r="K112" s="17" t="s">
        <v>2133</v>
      </c>
    </row>
    <row r="113">
      <c r="A113" s="17" t="s">
        <v>20</v>
      </c>
      <c r="B113" s="17" t="s">
        <v>549</v>
      </c>
      <c r="C113" s="17" t="s">
        <v>313</v>
      </c>
      <c r="D113" s="17">
        <v>7.0</v>
      </c>
      <c r="E113" s="17" t="s">
        <v>1721</v>
      </c>
      <c r="F113" s="17" t="s">
        <v>2134</v>
      </c>
      <c r="G113" s="12"/>
      <c r="H113" s="17" t="s">
        <v>2135</v>
      </c>
      <c r="I113" s="17" t="s">
        <v>2136</v>
      </c>
      <c r="J113" s="17" t="s">
        <v>2137</v>
      </c>
      <c r="K113" s="17" t="s">
        <v>2138</v>
      </c>
    </row>
  </sheetData>
  <autoFilter ref="$A$1:$K$113"/>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63"/>
    <col customWidth="1" min="2" max="2" width="15.13"/>
    <col customWidth="1" min="3" max="3" width="11.13"/>
    <col customWidth="1" min="4" max="4" width="11.5"/>
    <col customWidth="1" min="5" max="5" width="25.5"/>
    <col customWidth="1" min="6" max="6" width="28.38"/>
    <col customWidth="1" min="7" max="7" width="9.13"/>
    <col customWidth="1" min="8" max="8" width="8.88"/>
    <col customWidth="1" min="9" max="9" width="46.0"/>
    <col customWidth="1" min="10" max="10" width="15.0"/>
    <col customWidth="1" min="11" max="11" width="56.5"/>
    <col customWidth="1" min="12" max="12" width="43.38"/>
    <col customWidth="1" min="13" max="13" width="25.38"/>
    <col customWidth="1" min="14" max="15" width="49.88"/>
    <col customWidth="1" min="16" max="16" width="28.88"/>
    <col customWidth="1" min="17" max="17" width="39.38"/>
  </cols>
  <sheetData>
    <row r="1" ht="27.0" customHeight="1">
      <c r="A1" s="9" t="s">
        <v>2174</v>
      </c>
      <c r="B1" s="9" t="s">
        <v>2175</v>
      </c>
      <c r="C1" s="9" t="s">
        <v>1137</v>
      </c>
      <c r="D1" s="9" t="s">
        <v>1138</v>
      </c>
      <c r="E1" s="44" t="s">
        <v>2176</v>
      </c>
      <c r="F1" s="9" t="s">
        <v>2177</v>
      </c>
      <c r="G1" s="9" t="s">
        <v>2178</v>
      </c>
      <c r="H1" s="9" t="s">
        <v>2179</v>
      </c>
      <c r="I1" s="9" t="s">
        <v>2180</v>
      </c>
      <c r="J1" s="9" t="s">
        <v>2181</v>
      </c>
      <c r="K1" s="9" t="s">
        <v>2182</v>
      </c>
      <c r="L1" s="9" t="s">
        <v>2183</v>
      </c>
      <c r="M1" s="9" t="s">
        <v>2184</v>
      </c>
      <c r="N1" s="44" t="s">
        <v>2185</v>
      </c>
      <c r="O1" s="9" t="s">
        <v>2186</v>
      </c>
      <c r="P1" s="9" t="s">
        <v>2187</v>
      </c>
      <c r="Q1" s="9" t="s">
        <v>2188</v>
      </c>
    </row>
    <row r="2" ht="150.0" customHeight="1">
      <c r="A2" s="10" t="s">
        <v>20</v>
      </c>
      <c r="B2" s="18" t="s">
        <v>2189</v>
      </c>
      <c r="C2" s="18" t="s">
        <v>22</v>
      </c>
      <c r="D2" s="18">
        <v>1.0</v>
      </c>
      <c r="E2" s="45" t="s">
        <v>2190</v>
      </c>
      <c r="F2" s="18" t="s">
        <v>2191</v>
      </c>
      <c r="G2" s="10">
        <v>1.0</v>
      </c>
      <c r="H2" s="10">
        <v>1.0</v>
      </c>
      <c r="I2" s="46" t="s">
        <v>2192</v>
      </c>
      <c r="J2" s="10" t="s">
        <v>2193</v>
      </c>
      <c r="K2" s="47" t="s">
        <v>2194</v>
      </c>
      <c r="L2" s="47" t="s">
        <v>2195</v>
      </c>
      <c r="M2" s="48" t="s">
        <v>2196</v>
      </c>
      <c r="N2" s="49" t="s">
        <v>2197</v>
      </c>
      <c r="O2" s="49" t="s">
        <v>2198</v>
      </c>
      <c r="P2" s="48" t="s">
        <v>2196</v>
      </c>
      <c r="Q2" s="48" t="s">
        <v>2196</v>
      </c>
    </row>
    <row r="3" ht="150.0" customHeight="1">
      <c r="A3" s="10" t="s">
        <v>20</v>
      </c>
      <c r="B3" s="20"/>
      <c r="C3" s="20"/>
      <c r="D3" s="20"/>
      <c r="E3" s="20"/>
      <c r="F3" s="19"/>
      <c r="G3" s="10">
        <v>2.0</v>
      </c>
      <c r="H3" s="10">
        <v>2.0</v>
      </c>
      <c r="I3" s="46" t="s">
        <v>2199</v>
      </c>
      <c r="J3" s="10" t="s">
        <v>2193</v>
      </c>
      <c r="K3" s="47" t="s">
        <v>2200</v>
      </c>
      <c r="L3" s="47" t="s">
        <v>2201</v>
      </c>
      <c r="M3" s="48" t="s">
        <v>2196</v>
      </c>
      <c r="N3" s="48" t="s">
        <v>2202</v>
      </c>
      <c r="O3" s="48" t="s">
        <v>2198</v>
      </c>
      <c r="P3" s="48" t="s">
        <v>2196</v>
      </c>
      <c r="Q3" s="48" t="s">
        <v>2196</v>
      </c>
    </row>
    <row r="4" ht="150.0" customHeight="1">
      <c r="A4" s="10" t="s">
        <v>20</v>
      </c>
      <c r="B4" s="18" t="s">
        <v>2189</v>
      </c>
      <c r="C4" s="18" t="s">
        <v>22</v>
      </c>
      <c r="D4" s="18">
        <v>2.0</v>
      </c>
      <c r="E4" s="45" t="s">
        <v>2203</v>
      </c>
      <c r="F4" s="19"/>
      <c r="G4" s="10">
        <v>3.0</v>
      </c>
      <c r="H4" s="10">
        <v>3.0</v>
      </c>
      <c r="I4" s="46" t="s">
        <v>2204</v>
      </c>
      <c r="J4" s="10" t="s">
        <v>2193</v>
      </c>
      <c r="K4" s="47" t="s">
        <v>2205</v>
      </c>
      <c r="L4" s="47" t="s">
        <v>2206</v>
      </c>
      <c r="M4" s="48" t="s">
        <v>2196</v>
      </c>
      <c r="N4" s="48" t="s">
        <v>2202</v>
      </c>
      <c r="O4" s="48" t="s">
        <v>2198</v>
      </c>
      <c r="P4" s="48" t="s">
        <v>2196</v>
      </c>
      <c r="Q4" s="48" t="s">
        <v>2196</v>
      </c>
    </row>
    <row r="5" ht="150.0" customHeight="1">
      <c r="A5" s="10" t="s">
        <v>20</v>
      </c>
      <c r="B5" s="20"/>
      <c r="C5" s="20"/>
      <c r="D5" s="20"/>
      <c r="E5" s="20"/>
      <c r="F5" s="20"/>
      <c r="G5" s="10">
        <v>4.0</v>
      </c>
      <c r="H5" s="10">
        <v>4.0</v>
      </c>
      <c r="I5" s="46" t="s">
        <v>2207</v>
      </c>
      <c r="J5" s="10" t="s">
        <v>2193</v>
      </c>
      <c r="K5" s="47" t="s">
        <v>2208</v>
      </c>
      <c r="L5" s="47" t="s">
        <v>2209</v>
      </c>
      <c r="M5" s="48" t="s">
        <v>2210</v>
      </c>
      <c r="N5" s="48" t="s">
        <v>2197</v>
      </c>
      <c r="O5" s="48" t="s">
        <v>2198</v>
      </c>
      <c r="P5" s="48" t="s">
        <v>2196</v>
      </c>
      <c r="Q5" s="48" t="s">
        <v>2196</v>
      </c>
    </row>
    <row r="6" ht="57.0" customHeight="1">
      <c r="A6" s="50" t="s">
        <v>20</v>
      </c>
      <c r="B6" s="50" t="s">
        <v>2189</v>
      </c>
      <c r="C6" s="50" t="s">
        <v>22</v>
      </c>
      <c r="D6" s="51">
        <v>3.0</v>
      </c>
      <c r="E6" s="52" t="s">
        <v>2211</v>
      </c>
      <c r="F6" s="51" t="s">
        <v>2212</v>
      </c>
      <c r="G6" s="50"/>
      <c r="H6" s="50"/>
      <c r="I6" s="53"/>
      <c r="J6" s="50"/>
      <c r="K6" s="54"/>
      <c r="L6" s="54"/>
      <c r="M6" s="50"/>
      <c r="N6" s="55"/>
      <c r="O6" s="50"/>
      <c r="P6" s="54"/>
      <c r="Q6" s="54"/>
    </row>
    <row r="7" ht="105.75" customHeight="1">
      <c r="A7" s="56" t="s">
        <v>20</v>
      </c>
      <c r="B7" s="18" t="s">
        <v>2189</v>
      </c>
      <c r="C7" s="18" t="s">
        <v>22</v>
      </c>
      <c r="D7" s="56">
        <v>4.0</v>
      </c>
      <c r="E7" s="57" t="s">
        <v>2213</v>
      </c>
      <c r="F7" s="56" t="s">
        <v>2214</v>
      </c>
      <c r="G7" s="48">
        <v>1.0</v>
      </c>
      <c r="H7" s="48">
        <v>5.0</v>
      </c>
      <c r="I7" s="58" t="s">
        <v>2215</v>
      </c>
      <c r="J7" s="10" t="s">
        <v>2193</v>
      </c>
      <c r="K7" s="47" t="s">
        <v>2216</v>
      </c>
      <c r="L7" s="47" t="s">
        <v>2217</v>
      </c>
      <c r="M7" s="48" t="s">
        <v>2196</v>
      </c>
      <c r="N7" s="49" t="s">
        <v>2218</v>
      </c>
      <c r="O7" s="49" t="s">
        <v>2219</v>
      </c>
      <c r="P7" s="48" t="s">
        <v>2196</v>
      </c>
      <c r="Q7" s="48" t="s">
        <v>2196</v>
      </c>
    </row>
    <row r="8" ht="93.0" customHeight="1">
      <c r="A8" s="20"/>
      <c r="B8" s="20"/>
      <c r="C8" s="20"/>
      <c r="D8" s="20"/>
      <c r="E8" s="20"/>
      <c r="F8" s="19"/>
      <c r="G8" s="48">
        <v>2.0</v>
      </c>
      <c r="H8" s="48">
        <v>6.0</v>
      </c>
      <c r="I8" s="58" t="s">
        <v>2220</v>
      </c>
      <c r="J8" s="10" t="s">
        <v>2193</v>
      </c>
      <c r="K8" s="47" t="s">
        <v>2221</v>
      </c>
      <c r="L8" s="47" t="s">
        <v>2222</v>
      </c>
      <c r="M8" s="48" t="s">
        <v>2196</v>
      </c>
      <c r="N8" s="49" t="s">
        <v>2218</v>
      </c>
      <c r="O8" s="49" t="s">
        <v>2219</v>
      </c>
      <c r="P8" s="48" t="s">
        <v>2196</v>
      </c>
      <c r="Q8" s="48" t="s">
        <v>2196</v>
      </c>
    </row>
    <row r="9" ht="102.0" customHeight="1">
      <c r="A9" s="10" t="s">
        <v>20</v>
      </c>
      <c r="B9" s="18" t="s">
        <v>2189</v>
      </c>
      <c r="C9" s="18" t="s">
        <v>22</v>
      </c>
      <c r="D9" s="59">
        <v>5.0</v>
      </c>
      <c r="E9" s="60" t="s">
        <v>2223</v>
      </c>
      <c r="F9" s="19"/>
      <c r="G9" s="61">
        <v>3.0</v>
      </c>
      <c r="H9" s="18">
        <v>7.0</v>
      </c>
      <c r="I9" s="58" t="s">
        <v>2224</v>
      </c>
      <c r="J9" s="10" t="s">
        <v>2193</v>
      </c>
      <c r="K9" s="47" t="s">
        <v>2225</v>
      </c>
      <c r="L9" s="47" t="s">
        <v>2226</v>
      </c>
      <c r="M9" s="48" t="s">
        <v>2196</v>
      </c>
      <c r="N9" s="49" t="s">
        <v>2218</v>
      </c>
      <c r="O9" s="49" t="s">
        <v>2219</v>
      </c>
      <c r="P9" s="48" t="s">
        <v>2196</v>
      </c>
      <c r="Q9" s="48" t="s">
        <v>2196</v>
      </c>
    </row>
    <row r="10" ht="117.75" customHeight="1">
      <c r="A10" s="10" t="s">
        <v>20</v>
      </c>
      <c r="B10" s="20"/>
      <c r="C10" s="20"/>
      <c r="D10" s="20"/>
      <c r="E10" s="62"/>
      <c r="F10" s="20"/>
      <c r="G10" s="63">
        <v>4.0</v>
      </c>
      <c r="H10" s="10">
        <v>8.0</v>
      </c>
      <c r="I10" s="64" t="s">
        <v>2227</v>
      </c>
      <c r="J10" s="10" t="s">
        <v>2193</v>
      </c>
      <c r="K10" s="47" t="s">
        <v>2228</v>
      </c>
      <c r="L10" s="47" t="s">
        <v>2229</v>
      </c>
      <c r="M10" s="48" t="s">
        <v>2196</v>
      </c>
      <c r="N10" s="49" t="s">
        <v>2230</v>
      </c>
      <c r="O10" s="49" t="s">
        <v>2231</v>
      </c>
      <c r="P10" s="48" t="s">
        <v>2196</v>
      </c>
      <c r="Q10" s="48" t="s">
        <v>2196</v>
      </c>
    </row>
    <row r="11" ht="69.75" customHeight="1">
      <c r="A11" s="65" t="s">
        <v>20</v>
      </c>
      <c r="B11" s="65" t="s">
        <v>2189</v>
      </c>
      <c r="C11" s="65" t="s">
        <v>22</v>
      </c>
      <c r="D11" s="66">
        <v>6.0</v>
      </c>
      <c r="E11" s="67" t="s">
        <v>2232</v>
      </c>
      <c r="F11" s="68"/>
      <c r="G11" s="65" t="s">
        <v>2233</v>
      </c>
      <c r="H11" s="65" t="s">
        <v>1709</v>
      </c>
      <c r="I11" s="69" t="s">
        <v>2234</v>
      </c>
      <c r="J11" s="70"/>
      <c r="K11" s="70"/>
      <c r="L11" s="70"/>
      <c r="M11" s="65" t="s">
        <v>2235</v>
      </c>
      <c r="N11" s="67" t="s">
        <v>2235</v>
      </c>
      <c r="O11" s="65" t="s">
        <v>2236</v>
      </c>
      <c r="P11" s="70" t="s">
        <v>2235</v>
      </c>
      <c r="Q11" s="70"/>
    </row>
    <row r="12" ht="150.0" customHeight="1">
      <c r="A12" s="10" t="s">
        <v>20</v>
      </c>
      <c r="B12" s="18" t="s">
        <v>2189</v>
      </c>
      <c r="C12" s="18" t="s">
        <v>22</v>
      </c>
      <c r="D12" s="71">
        <v>7.0</v>
      </c>
      <c r="E12" s="72" t="s">
        <v>2237</v>
      </c>
      <c r="F12" s="73" t="s">
        <v>2238</v>
      </c>
      <c r="G12" s="10">
        <v>1.0</v>
      </c>
      <c r="H12" s="74">
        <v>11.0</v>
      </c>
      <c r="I12" s="58" t="s">
        <v>2239</v>
      </c>
      <c r="J12" s="10" t="s">
        <v>2240</v>
      </c>
      <c r="K12" s="47" t="s">
        <v>2241</v>
      </c>
      <c r="L12" s="47" t="s">
        <v>2242</v>
      </c>
      <c r="M12" s="75" t="s">
        <v>2196</v>
      </c>
      <c r="N12" s="48" t="s">
        <v>2243</v>
      </c>
      <c r="O12" s="48" t="s">
        <v>2244</v>
      </c>
      <c r="P12" s="48" t="s">
        <v>2245</v>
      </c>
      <c r="Q12" s="48" t="s">
        <v>2246</v>
      </c>
    </row>
    <row r="13" ht="150.0" customHeight="1">
      <c r="A13" s="10" t="s">
        <v>20</v>
      </c>
      <c r="B13" s="20"/>
      <c r="C13" s="20"/>
      <c r="D13" s="76"/>
      <c r="E13" s="20"/>
      <c r="F13" s="77"/>
      <c r="G13" s="10">
        <v>2.0</v>
      </c>
      <c r="H13" s="10">
        <v>12.0</v>
      </c>
      <c r="I13" s="58" t="s">
        <v>2247</v>
      </c>
      <c r="J13" s="10" t="s">
        <v>2240</v>
      </c>
      <c r="K13" s="47" t="s">
        <v>2248</v>
      </c>
      <c r="L13" s="47" t="s">
        <v>2249</v>
      </c>
      <c r="M13" s="75" t="s">
        <v>2196</v>
      </c>
      <c r="N13" s="48" t="s">
        <v>2243</v>
      </c>
      <c r="O13" s="48" t="s">
        <v>2244</v>
      </c>
      <c r="P13" s="48" t="s">
        <v>2245</v>
      </c>
      <c r="Q13" s="48" t="s">
        <v>2246</v>
      </c>
    </row>
    <row r="14" ht="150.0" customHeight="1">
      <c r="A14" s="10" t="s">
        <v>20</v>
      </c>
      <c r="B14" s="18" t="s">
        <v>2189</v>
      </c>
      <c r="C14" s="18" t="s">
        <v>22</v>
      </c>
      <c r="D14" s="59">
        <v>8.0</v>
      </c>
      <c r="E14" s="72" t="s">
        <v>2250</v>
      </c>
      <c r="F14" s="77"/>
      <c r="G14" s="10">
        <v>3.0</v>
      </c>
      <c r="H14" s="10">
        <v>13.0</v>
      </c>
      <c r="I14" s="58" t="s">
        <v>2251</v>
      </c>
      <c r="J14" s="10" t="s">
        <v>2240</v>
      </c>
      <c r="K14" s="47" t="s">
        <v>2252</v>
      </c>
      <c r="L14" s="47" t="s">
        <v>2253</v>
      </c>
      <c r="M14" s="75" t="s">
        <v>2196</v>
      </c>
      <c r="N14" s="48" t="s">
        <v>2243</v>
      </c>
      <c r="O14" s="48" t="s">
        <v>2244</v>
      </c>
      <c r="P14" s="48" t="s">
        <v>2245</v>
      </c>
      <c r="Q14" s="48" t="s">
        <v>2246</v>
      </c>
    </row>
    <row r="15" ht="150.0" customHeight="1">
      <c r="A15" s="10" t="s">
        <v>20</v>
      </c>
      <c r="B15" s="20"/>
      <c r="C15" s="20"/>
      <c r="D15" s="20"/>
      <c r="E15" s="20"/>
      <c r="F15" s="78"/>
      <c r="G15" s="10">
        <v>4.0</v>
      </c>
      <c r="H15" s="10">
        <v>14.0</v>
      </c>
      <c r="I15" s="79" t="s">
        <v>2254</v>
      </c>
      <c r="J15" s="10" t="s">
        <v>2240</v>
      </c>
      <c r="K15" s="47" t="s">
        <v>2255</v>
      </c>
      <c r="L15" s="47" t="s">
        <v>2256</v>
      </c>
      <c r="M15" s="75" t="s">
        <v>2210</v>
      </c>
      <c r="N15" s="48" t="s">
        <v>2243</v>
      </c>
      <c r="O15" s="48" t="s">
        <v>2244</v>
      </c>
      <c r="P15" s="48" t="s">
        <v>2245</v>
      </c>
      <c r="Q15" s="48" t="s">
        <v>2246</v>
      </c>
    </row>
    <row r="16" ht="150.0" customHeight="1">
      <c r="A16" s="80" t="s">
        <v>20</v>
      </c>
      <c r="B16" s="81" t="s">
        <v>2189</v>
      </c>
      <c r="C16" s="80" t="s">
        <v>22</v>
      </c>
      <c r="D16" s="80">
        <v>9.0</v>
      </c>
      <c r="E16" s="82" t="s">
        <v>2257</v>
      </c>
      <c r="F16" s="80"/>
      <c r="G16" s="80" t="s">
        <v>2233</v>
      </c>
      <c r="H16" s="80" t="s">
        <v>2258</v>
      </c>
      <c r="I16" s="83" t="s">
        <v>2259</v>
      </c>
      <c r="J16" s="80"/>
      <c r="K16" s="84"/>
      <c r="L16" s="84"/>
      <c r="M16" s="80"/>
      <c r="N16" s="82" t="s">
        <v>2235</v>
      </c>
      <c r="O16" s="80" t="s">
        <v>2235</v>
      </c>
      <c r="P16" s="85" t="s">
        <v>2235</v>
      </c>
      <c r="Q16" s="85" t="s">
        <v>2235</v>
      </c>
    </row>
    <row r="17" ht="150.0" customHeight="1">
      <c r="A17" s="65" t="s">
        <v>20</v>
      </c>
      <c r="B17" s="65" t="s">
        <v>2189</v>
      </c>
      <c r="C17" s="65" t="s">
        <v>22</v>
      </c>
      <c r="D17" s="65">
        <v>10.0</v>
      </c>
      <c r="E17" s="67" t="s">
        <v>2260</v>
      </c>
      <c r="F17" s="86"/>
      <c r="G17" s="65" t="s">
        <v>2233</v>
      </c>
      <c r="H17" s="65" t="s">
        <v>2261</v>
      </c>
      <c r="I17" s="69" t="s">
        <v>2262</v>
      </c>
      <c r="J17" s="70"/>
      <c r="K17" s="70"/>
      <c r="L17" s="70"/>
      <c r="M17" s="65" t="s">
        <v>2235</v>
      </c>
      <c r="N17" s="67" t="s">
        <v>2235</v>
      </c>
      <c r="O17" s="65" t="s">
        <v>2236</v>
      </c>
      <c r="P17" s="70" t="s">
        <v>2235</v>
      </c>
      <c r="Q17" s="70"/>
    </row>
    <row r="18" ht="150.0" customHeight="1">
      <c r="A18" s="87" t="s">
        <v>20</v>
      </c>
      <c r="B18" s="87" t="s">
        <v>2189</v>
      </c>
      <c r="C18" s="87" t="s">
        <v>22</v>
      </c>
      <c r="D18" s="87">
        <v>11.0</v>
      </c>
      <c r="E18" s="88" t="s">
        <v>2263</v>
      </c>
      <c r="F18" s="87"/>
      <c r="G18" s="89" t="s">
        <v>2233</v>
      </c>
      <c r="H18" s="87" t="s">
        <v>2264</v>
      </c>
      <c r="I18" s="90" t="s">
        <v>2265</v>
      </c>
      <c r="J18" s="91"/>
      <c r="K18" s="91"/>
      <c r="L18" s="91"/>
      <c r="M18" s="87"/>
      <c r="N18" s="92"/>
      <c r="O18" s="87"/>
      <c r="P18" s="91"/>
      <c r="Q18" s="91"/>
    </row>
    <row r="19" ht="117.75" customHeight="1">
      <c r="A19" s="10" t="s">
        <v>20</v>
      </c>
      <c r="B19" s="18" t="s">
        <v>2189</v>
      </c>
      <c r="C19" s="18" t="s">
        <v>153</v>
      </c>
      <c r="D19" s="18">
        <v>12.0</v>
      </c>
      <c r="E19" s="45" t="s">
        <v>2266</v>
      </c>
      <c r="F19" s="93" t="s">
        <v>2267</v>
      </c>
      <c r="G19" s="10">
        <v>1.0</v>
      </c>
      <c r="H19" s="10">
        <v>21.0</v>
      </c>
      <c r="I19" s="79" t="s">
        <v>2268</v>
      </c>
      <c r="J19" s="48" t="s">
        <v>2240</v>
      </c>
      <c r="K19" s="94" t="s">
        <v>2269</v>
      </c>
      <c r="L19" s="94" t="s">
        <v>2270</v>
      </c>
      <c r="M19" s="48" t="s">
        <v>2196</v>
      </c>
      <c r="N19" s="48" t="s">
        <v>2243</v>
      </c>
      <c r="O19" s="48" t="s">
        <v>2244</v>
      </c>
      <c r="P19" s="48" t="s">
        <v>2245</v>
      </c>
      <c r="Q19" s="48" t="s">
        <v>2246</v>
      </c>
    </row>
    <row r="20" ht="95.25" customHeight="1">
      <c r="A20" s="10" t="s">
        <v>20</v>
      </c>
      <c r="B20" s="20"/>
      <c r="C20" s="20"/>
      <c r="D20" s="20"/>
      <c r="E20" s="20"/>
      <c r="F20" s="19"/>
      <c r="G20" s="10">
        <v>2.0</v>
      </c>
      <c r="H20" s="10">
        <v>22.0</v>
      </c>
      <c r="I20" s="79" t="s">
        <v>2271</v>
      </c>
      <c r="J20" s="48" t="s">
        <v>2240</v>
      </c>
      <c r="K20" s="94" t="s">
        <v>2272</v>
      </c>
      <c r="L20" s="94" t="s">
        <v>2273</v>
      </c>
      <c r="M20" s="48" t="s">
        <v>2196</v>
      </c>
      <c r="N20" s="48" t="s">
        <v>2243</v>
      </c>
      <c r="O20" s="48" t="s">
        <v>2244</v>
      </c>
      <c r="P20" s="48" t="s">
        <v>2245</v>
      </c>
      <c r="Q20" s="48" t="s">
        <v>2246</v>
      </c>
    </row>
    <row r="21" ht="75.75" customHeight="1">
      <c r="A21" s="10" t="s">
        <v>20</v>
      </c>
      <c r="B21" s="18" t="s">
        <v>2189</v>
      </c>
      <c r="C21" s="18" t="s">
        <v>153</v>
      </c>
      <c r="D21" s="18">
        <v>13.0</v>
      </c>
      <c r="E21" s="45" t="s">
        <v>2274</v>
      </c>
      <c r="F21" s="19"/>
      <c r="G21" s="10">
        <v>3.0</v>
      </c>
      <c r="H21" s="10">
        <v>23.0</v>
      </c>
      <c r="I21" s="79" t="s">
        <v>2275</v>
      </c>
      <c r="J21" s="48" t="s">
        <v>2240</v>
      </c>
      <c r="K21" s="94" t="s">
        <v>2276</v>
      </c>
      <c r="L21" s="94" t="s">
        <v>2277</v>
      </c>
      <c r="M21" s="48" t="s">
        <v>2196</v>
      </c>
      <c r="N21" s="48" t="s">
        <v>2243</v>
      </c>
      <c r="O21" s="48" t="s">
        <v>2244</v>
      </c>
      <c r="P21" s="48" t="s">
        <v>2245</v>
      </c>
      <c r="Q21" s="48" t="s">
        <v>2246</v>
      </c>
    </row>
    <row r="22" ht="68.25" customHeight="1">
      <c r="A22" s="10" t="s">
        <v>20</v>
      </c>
      <c r="B22" s="20"/>
      <c r="C22" s="20"/>
      <c r="D22" s="20"/>
      <c r="E22" s="20"/>
      <c r="F22" s="20"/>
      <c r="G22" s="10">
        <v>4.0</v>
      </c>
      <c r="H22" s="10">
        <v>24.0</v>
      </c>
      <c r="I22" s="79" t="s">
        <v>2278</v>
      </c>
      <c r="J22" s="48" t="s">
        <v>2240</v>
      </c>
      <c r="K22" s="94" t="s">
        <v>2279</v>
      </c>
      <c r="L22" s="94" t="s">
        <v>2280</v>
      </c>
      <c r="M22" s="48" t="s">
        <v>2210</v>
      </c>
      <c r="N22" s="48" t="s">
        <v>2243</v>
      </c>
      <c r="O22" s="48" t="s">
        <v>2244</v>
      </c>
      <c r="P22" s="48" t="s">
        <v>2245</v>
      </c>
      <c r="Q22" s="48" t="s">
        <v>2246</v>
      </c>
    </row>
    <row r="23" ht="101.25" customHeight="1">
      <c r="A23" s="65" t="s">
        <v>20</v>
      </c>
      <c r="B23" s="65" t="s">
        <v>2189</v>
      </c>
      <c r="C23" s="65" t="s">
        <v>153</v>
      </c>
      <c r="D23" s="65">
        <v>14.0</v>
      </c>
      <c r="E23" s="67" t="s">
        <v>2281</v>
      </c>
      <c r="F23" s="65"/>
      <c r="G23" s="65" t="s">
        <v>2233</v>
      </c>
      <c r="H23" s="65" t="s">
        <v>2282</v>
      </c>
      <c r="I23" s="69" t="s">
        <v>2283</v>
      </c>
      <c r="J23" s="70"/>
      <c r="K23" s="70"/>
      <c r="L23" s="70"/>
      <c r="M23" s="65" t="s">
        <v>2235</v>
      </c>
      <c r="N23" s="67" t="s">
        <v>2235</v>
      </c>
      <c r="O23" s="65" t="s">
        <v>2236</v>
      </c>
      <c r="P23" s="70" t="s">
        <v>2235</v>
      </c>
      <c r="Q23" s="70"/>
    </row>
    <row r="24" ht="95.25" customHeight="1">
      <c r="A24" s="18" t="s">
        <v>20</v>
      </c>
      <c r="B24" s="18" t="s">
        <v>2189</v>
      </c>
      <c r="C24" s="18" t="s">
        <v>153</v>
      </c>
      <c r="D24" s="18">
        <v>15.0</v>
      </c>
      <c r="E24" s="45" t="s">
        <v>2284</v>
      </c>
      <c r="F24" s="56" t="s">
        <v>2285</v>
      </c>
      <c r="G24" s="10">
        <v>1.0</v>
      </c>
      <c r="H24" s="10">
        <v>27.0</v>
      </c>
      <c r="I24" s="79" t="s">
        <v>2286</v>
      </c>
      <c r="J24" s="48" t="s">
        <v>2193</v>
      </c>
      <c r="K24" s="94" t="s">
        <v>2287</v>
      </c>
      <c r="L24" s="94" t="s">
        <v>2288</v>
      </c>
      <c r="M24" s="48" t="s">
        <v>2196</v>
      </c>
      <c r="N24" s="48" t="s">
        <v>2289</v>
      </c>
      <c r="O24" s="48" t="s">
        <v>2290</v>
      </c>
      <c r="P24" s="48" t="s">
        <v>2196</v>
      </c>
      <c r="Q24" s="48" t="s">
        <v>2196</v>
      </c>
    </row>
    <row r="25" ht="83.25" customHeight="1">
      <c r="A25" s="20"/>
      <c r="B25" s="20"/>
      <c r="C25" s="20"/>
      <c r="D25" s="20"/>
      <c r="E25" s="20"/>
      <c r="F25" s="19"/>
      <c r="G25" s="10">
        <v>2.0</v>
      </c>
      <c r="H25" s="10">
        <v>28.0</v>
      </c>
      <c r="I25" s="79" t="s">
        <v>2291</v>
      </c>
      <c r="J25" s="48" t="s">
        <v>2193</v>
      </c>
      <c r="K25" s="94" t="s">
        <v>2292</v>
      </c>
      <c r="L25" s="94" t="s">
        <v>2293</v>
      </c>
      <c r="M25" s="48" t="s">
        <v>2196</v>
      </c>
      <c r="N25" s="48" t="s">
        <v>2289</v>
      </c>
      <c r="O25" s="48" t="s">
        <v>2290</v>
      </c>
      <c r="P25" s="48" t="s">
        <v>2196</v>
      </c>
      <c r="Q25" s="48" t="s">
        <v>2196</v>
      </c>
    </row>
    <row r="26" ht="75.75" customHeight="1">
      <c r="A26" s="18" t="s">
        <v>20</v>
      </c>
      <c r="B26" s="18" t="s">
        <v>2189</v>
      </c>
      <c r="C26" s="18" t="s">
        <v>153</v>
      </c>
      <c r="D26" s="18">
        <v>16.0</v>
      </c>
      <c r="E26" s="45" t="s">
        <v>2294</v>
      </c>
      <c r="F26" s="19"/>
      <c r="G26" s="10">
        <v>3.0</v>
      </c>
      <c r="H26" s="10">
        <v>29.0</v>
      </c>
      <c r="I26" s="79" t="s">
        <v>2295</v>
      </c>
      <c r="J26" s="48" t="s">
        <v>2240</v>
      </c>
      <c r="K26" s="94" t="s">
        <v>2296</v>
      </c>
      <c r="L26" s="94" t="s">
        <v>2297</v>
      </c>
      <c r="M26" s="48" t="s">
        <v>2196</v>
      </c>
      <c r="N26" s="48" t="s">
        <v>2298</v>
      </c>
      <c r="O26" s="48" t="s">
        <v>2299</v>
      </c>
      <c r="P26" s="48" t="s">
        <v>2196</v>
      </c>
      <c r="Q26" s="48" t="s">
        <v>2196</v>
      </c>
    </row>
    <row r="27" ht="54.75" customHeight="1">
      <c r="A27" s="20"/>
      <c r="B27" s="20"/>
      <c r="C27" s="20"/>
      <c r="D27" s="20"/>
      <c r="E27" s="20"/>
      <c r="F27" s="95"/>
      <c r="G27" s="10">
        <v>4.0</v>
      </c>
      <c r="H27" s="10">
        <v>30.0</v>
      </c>
      <c r="I27" s="79" t="s">
        <v>2300</v>
      </c>
      <c r="J27" s="48" t="s">
        <v>2240</v>
      </c>
      <c r="K27" s="94" t="s">
        <v>2301</v>
      </c>
      <c r="L27" s="94" t="s">
        <v>2302</v>
      </c>
      <c r="M27" s="96" t="s">
        <v>2196</v>
      </c>
      <c r="N27" s="48" t="s">
        <v>2298</v>
      </c>
      <c r="O27" s="48" t="s">
        <v>2299</v>
      </c>
      <c r="P27" s="48" t="s">
        <v>2196</v>
      </c>
      <c r="Q27" s="48" t="s">
        <v>2196</v>
      </c>
    </row>
    <row r="28" ht="54.75" customHeight="1">
      <c r="A28" s="80" t="s">
        <v>20</v>
      </c>
      <c r="B28" s="81" t="s">
        <v>2189</v>
      </c>
      <c r="C28" s="80" t="s">
        <v>153</v>
      </c>
      <c r="D28" s="80">
        <v>17.0</v>
      </c>
      <c r="E28" s="82" t="s">
        <v>2303</v>
      </c>
      <c r="F28" s="80"/>
      <c r="G28" s="80" t="s">
        <v>2233</v>
      </c>
      <c r="H28" s="80" t="s">
        <v>2304</v>
      </c>
      <c r="I28" s="83" t="s">
        <v>2259</v>
      </c>
      <c r="J28" s="80"/>
      <c r="K28" s="84"/>
      <c r="L28" s="84"/>
      <c r="M28" s="80"/>
      <c r="N28" s="82" t="s">
        <v>2235</v>
      </c>
      <c r="O28" s="80" t="s">
        <v>2235</v>
      </c>
      <c r="P28" s="85" t="s">
        <v>2235</v>
      </c>
      <c r="Q28" s="85" t="s">
        <v>2235</v>
      </c>
    </row>
    <row r="29" ht="78.75" customHeight="1">
      <c r="A29" s="18" t="s">
        <v>20</v>
      </c>
      <c r="B29" s="18" t="s">
        <v>2189</v>
      </c>
      <c r="C29" s="18" t="s">
        <v>153</v>
      </c>
      <c r="D29" s="18">
        <v>18.0</v>
      </c>
      <c r="E29" s="45" t="s">
        <v>2305</v>
      </c>
      <c r="F29" s="56" t="s">
        <v>2285</v>
      </c>
      <c r="G29" s="10">
        <v>5.0</v>
      </c>
      <c r="H29" s="10">
        <v>33.0</v>
      </c>
      <c r="I29" s="79" t="s">
        <v>2306</v>
      </c>
      <c r="J29" s="48" t="s">
        <v>2240</v>
      </c>
      <c r="K29" s="94" t="s">
        <v>2307</v>
      </c>
      <c r="L29" s="94" t="s">
        <v>2308</v>
      </c>
      <c r="M29" s="48" t="s">
        <v>2196</v>
      </c>
      <c r="N29" s="48" t="s">
        <v>2298</v>
      </c>
      <c r="O29" s="48" t="s">
        <v>2309</v>
      </c>
      <c r="P29" s="48" t="s">
        <v>2196</v>
      </c>
      <c r="Q29" s="48" t="s">
        <v>2196</v>
      </c>
    </row>
    <row r="30" ht="93.75" customHeight="1">
      <c r="A30" s="20"/>
      <c r="B30" s="20"/>
      <c r="C30" s="20"/>
      <c r="D30" s="20"/>
      <c r="E30" s="20"/>
      <c r="F30" s="19"/>
      <c r="G30" s="10">
        <v>6.0</v>
      </c>
      <c r="H30" s="10">
        <v>34.0</v>
      </c>
      <c r="I30" s="79" t="s">
        <v>2310</v>
      </c>
      <c r="J30" s="48" t="s">
        <v>2240</v>
      </c>
      <c r="K30" s="94" t="s">
        <v>2311</v>
      </c>
      <c r="L30" s="94" t="s">
        <v>2312</v>
      </c>
      <c r="M30" s="48" t="s">
        <v>2196</v>
      </c>
      <c r="N30" s="48" t="s">
        <v>2313</v>
      </c>
      <c r="O30" s="48" t="s">
        <v>2314</v>
      </c>
      <c r="P30" s="48" t="s">
        <v>2196</v>
      </c>
      <c r="Q30" s="48" t="s">
        <v>2196</v>
      </c>
    </row>
    <row r="31" ht="86.25" customHeight="1">
      <c r="A31" s="18" t="s">
        <v>20</v>
      </c>
      <c r="B31" s="18" t="s">
        <v>2189</v>
      </c>
      <c r="C31" s="18" t="s">
        <v>153</v>
      </c>
      <c r="D31" s="18">
        <v>19.0</v>
      </c>
      <c r="E31" s="97" t="s">
        <v>2315</v>
      </c>
      <c r="F31" s="19"/>
      <c r="G31" s="10">
        <v>7.0</v>
      </c>
      <c r="H31" s="10">
        <v>35.0</v>
      </c>
      <c r="I31" s="79" t="s">
        <v>2316</v>
      </c>
      <c r="J31" s="48" t="s">
        <v>2240</v>
      </c>
      <c r="K31" s="94" t="s">
        <v>2317</v>
      </c>
      <c r="L31" s="94" t="s">
        <v>2318</v>
      </c>
      <c r="M31" s="48" t="s">
        <v>2196</v>
      </c>
      <c r="N31" s="48" t="s">
        <v>2298</v>
      </c>
      <c r="O31" s="48" t="s">
        <v>2299</v>
      </c>
      <c r="P31" s="48" t="s">
        <v>2196</v>
      </c>
      <c r="Q31" s="48" t="s">
        <v>2196</v>
      </c>
    </row>
    <row r="32" ht="48.0" customHeight="1">
      <c r="A32" s="20"/>
      <c r="B32" s="20"/>
      <c r="C32" s="20"/>
      <c r="D32" s="20"/>
      <c r="E32" s="20"/>
      <c r="F32" s="95"/>
      <c r="G32" s="10">
        <v>8.0</v>
      </c>
      <c r="H32" s="10">
        <v>36.0</v>
      </c>
      <c r="I32" s="79" t="s">
        <v>2319</v>
      </c>
      <c r="J32" s="48" t="s">
        <v>2193</v>
      </c>
      <c r="K32" s="94" t="s">
        <v>2320</v>
      </c>
      <c r="L32" s="94" t="s">
        <v>2321</v>
      </c>
      <c r="M32" s="48" t="s">
        <v>2210</v>
      </c>
      <c r="N32" s="48" t="s">
        <v>2298</v>
      </c>
      <c r="O32" s="48" t="s">
        <v>2299</v>
      </c>
      <c r="P32" s="48" t="s">
        <v>2196</v>
      </c>
      <c r="Q32" s="48" t="s">
        <v>2196</v>
      </c>
    </row>
    <row r="33" ht="150.0" customHeight="1">
      <c r="A33" s="65" t="s">
        <v>20</v>
      </c>
      <c r="B33" s="65" t="s">
        <v>2189</v>
      </c>
      <c r="C33" s="65" t="s">
        <v>153</v>
      </c>
      <c r="D33" s="65">
        <v>20.0</v>
      </c>
      <c r="E33" s="67" t="s">
        <v>2322</v>
      </c>
      <c r="F33" s="65"/>
      <c r="G33" s="65" t="s">
        <v>2233</v>
      </c>
      <c r="H33" s="65" t="s">
        <v>2323</v>
      </c>
      <c r="I33" s="98" t="s">
        <v>2324</v>
      </c>
      <c r="J33" s="70"/>
      <c r="K33" s="70"/>
      <c r="L33" s="70"/>
      <c r="M33" s="65" t="s">
        <v>2235</v>
      </c>
      <c r="N33" s="67" t="s">
        <v>2235</v>
      </c>
      <c r="O33" s="65" t="s">
        <v>2236</v>
      </c>
      <c r="P33" s="70" t="s">
        <v>2235</v>
      </c>
      <c r="Q33" s="70"/>
    </row>
    <row r="34" ht="51.75" customHeight="1">
      <c r="A34" s="87" t="s">
        <v>20</v>
      </c>
      <c r="B34" s="87" t="s">
        <v>2189</v>
      </c>
      <c r="C34" s="87" t="s">
        <v>153</v>
      </c>
      <c r="D34" s="87">
        <v>21.0</v>
      </c>
      <c r="E34" s="99" t="s">
        <v>2325</v>
      </c>
      <c r="F34" s="100"/>
      <c r="G34" s="87" t="s">
        <v>2233</v>
      </c>
      <c r="H34" s="87" t="s">
        <v>2326</v>
      </c>
      <c r="I34" s="90" t="s">
        <v>2265</v>
      </c>
      <c r="J34" s="91"/>
      <c r="K34" s="91"/>
      <c r="L34" s="91"/>
      <c r="M34" s="87"/>
      <c r="N34" s="92"/>
      <c r="O34" s="87"/>
      <c r="P34" s="91"/>
      <c r="Q34" s="91"/>
    </row>
    <row r="35" ht="99.0" customHeight="1">
      <c r="A35" s="101" t="s">
        <v>20</v>
      </c>
      <c r="B35" s="102" t="s">
        <v>2189</v>
      </c>
      <c r="C35" s="103" t="s">
        <v>264</v>
      </c>
      <c r="D35" s="104">
        <v>26.0</v>
      </c>
      <c r="E35" s="105" t="s">
        <v>2327</v>
      </c>
      <c r="F35" s="104" t="s">
        <v>2328</v>
      </c>
      <c r="G35" s="101">
        <v>1.0</v>
      </c>
      <c r="H35" s="101">
        <v>1.0</v>
      </c>
      <c r="I35" s="106" t="s">
        <v>2329</v>
      </c>
      <c r="J35" s="107" t="s">
        <v>2193</v>
      </c>
      <c r="K35" s="108" t="s">
        <v>2330</v>
      </c>
      <c r="L35" s="109" t="s">
        <v>2331</v>
      </c>
      <c r="M35" s="110" t="s">
        <v>2210</v>
      </c>
      <c r="N35" s="110" t="s">
        <v>2332</v>
      </c>
      <c r="O35" s="110" t="s">
        <v>2333</v>
      </c>
      <c r="P35" s="110" t="s">
        <v>2334</v>
      </c>
      <c r="Q35" s="110" t="s">
        <v>2335</v>
      </c>
    </row>
    <row r="36" ht="99.0" customHeight="1">
      <c r="A36" s="101" t="s">
        <v>20</v>
      </c>
      <c r="B36" s="20"/>
      <c r="C36" s="20"/>
      <c r="D36" s="20"/>
      <c r="E36" s="20"/>
      <c r="F36" s="19"/>
      <c r="G36" s="101">
        <v>2.0</v>
      </c>
      <c r="H36" s="101">
        <v>2.0</v>
      </c>
      <c r="I36" s="106" t="s">
        <v>2336</v>
      </c>
      <c r="J36" s="107" t="s">
        <v>2193</v>
      </c>
      <c r="K36" s="108" t="s">
        <v>2337</v>
      </c>
      <c r="L36" s="109" t="s">
        <v>2338</v>
      </c>
      <c r="M36" s="110" t="s">
        <v>2196</v>
      </c>
      <c r="N36" s="110" t="s">
        <v>2332</v>
      </c>
      <c r="O36" s="110" t="s">
        <v>2333</v>
      </c>
      <c r="P36" s="110" t="s">
        <v>2334</v>
      </c>
      <c r="Q36" s="110" t="s">
        <v>2335</v>
      </c>
    </row>
    <row r="37" ht="99.0" customHeight="1">
      <c r="A37" s="101" t="s">
        <v>20</v>
      </c>
      <c r="B37" s="102" t="s">
        <v>2189</v>
      </c>
      <c r="C37" s="103" t="s">
        <v>264</v>
      </c>
      <c r="D37" s="104">
        <v>27.0</v>
      </c>
      <c r="E37" s="105" t="s">
        <v>2339</v>
      </c>
      <c r="F37" s="19"/>
      <c r="G37" s="101">
        <v>3.0</v>
      </c>
      <c r="H37" s="101">
        <v>3.0</v>
      </c>
      <c r="I37" s="106" t="s">
        <v>2340</v>
      </c>
      <c r="J37" s="107" t="s">
        <v>2240</v>
      </c>
      <c r="K37" s="108" t="s">
        <v>2341</v>
      </c>
      <c r="L37" s="109" t="s">
        <v>2342</v>
      </c>
      <c r="M37" s="110" t="s">
        <v>2196</v>
      </c>
      <c r="N37" s="110" t="s">
        <v>2243</v>
      </c>
      <c r="O37" s="110" t="s">
        <v>2343</v>
      </c>
      <c r="P37" s="110" t="s">
        <v>2334</v>
      </c>
      <c r="Q37" s="110" t="s">
        <v>2335</v>
      </c>
    </row>
    <row r="38" ht="99.0" customHeight="1">
      <c r="A38" s="101" t="s">
        <v>20</v>
      </c>
      <c r="B38" s="20"/>
      <c r="C38" s="20"/>
      <c r="D38" s="20"/>
      <c r="E38" s="20"/>
      <c r="F38" s="19"/>
      <c r="G38" s="101">
        <v>4.0</v>
      </c>
      <c r="H38" s="101">
        <v>4.0</v>
      </c>
      <c r="I38" s="106" t="s">
        <v>2344</v>
      </c>
      <c r="J38" s="107" t="s">
        <v>2240</v>
      </c>
      <c r="K38" s="108" t="s">
        <v>2345</v>
      </c>
      <c r="L38" s="109" t="s">
        <v>2346</v>
      </c>
      <c r="M38" s="110" t="s">
        <v>2196</v>
      </c>
      <c r="N38" s="110" t="s">
        <v>2243</v>
      </c>
      <c r="O38" s="110" t="s">
        <v>2343</v>
      </c>
      <c r="P38" s="110" t="s">
        <v>2334</v>
      </c>
      <c r="Q38" s="110" t="s">
        <v>2335</v>
      </c>
    </row>
    <row r="39" ht="99.0" customHeight="1">
      <c r="A39" s="102" t="s">
        <v>20</v>
      </c>
      <c r="B39" s="102" t="s">
        <v>2189</v>
      </c>
      <c r="C39" s="103" t="s">
        <v>264</v>
      </c>
      <c r="D39" s="102">
        <v>28.0</v>
      </c>
      <c r="E39" s="111" t="s">
        <v>2347</v>
      </c>
      <c r="F39" s="19"/>
      <c r="G39" s="101">
        <v>5.0</v>
      </c>
      <c r="H39" s="112">
        <v>5.0</v>
      </c>
      <c r="I39" s="106" t="s">
        <v>2348</v>
      </c>
      <c r="J39" s="110" t="s">
        <v>2240</v>
      </c>
      <c r="K39" s="106" t="s">
        <v>2349</v>
      </c>
      <c r="L39" s="106" t="s">
        <v>2350</v>
      </c>
      <c r="M39" s="110" t="s">
        <v>2196</v>
      </c>
      <c r="N39" s="113" t="s">
        <v>2243</v>
      </c>
      <c r="O39" s="110" t="s">
        <v>2343</v>
      </c>
      <c r="P39" s="110" t="s">
        <v>2334</v>
      </c>
      <c r="Q39" s="110" t="s">
        <v>2335</v>
      </c>
    </row>
    <row r="40" ht="99.0" customHeight="1">
      <c r="A40" s="20"/>
      <c r="B40" s="20"/>
      <c r="C40" s="20"/>
      <c r="D40" s="19"/>
      <c r="E40" s="19"/>
      <c r="F40" s="19"/>
      <c r="G40" s="101">
        <v>6.0</v>
      </c>
      <c r="H40" s="112">
        <v>6.0</v>
      </c>
      <c r="I40" s="106" t="s">
        <v>2351</v>
      </c>
      <c r="J40" s="110" t="s">
        <v>2240</v>
      </c>
      <c r="K40" s="106" t="s">
        <v>2352</v>
      </c>
      <c r="L40" s="106" t="s">
        <v>2353</v>
      </c>
      <c r="M40" s="110" t="s">
        <v>2196</v>
      </c>
      <c r="N40" s="113" t="s">
        <v>2243</v>
      </c>
      <c r="O40" s="110" t="s">
        <v>2343</v>
      </c>
      <c r="P40" s="110" t="s">
        <v>2334</v>
      </c>
      <c r="Q40" s="110" t="s">
        <v>2335</v>
      </c>
    </row>
    <row r="41" ht="99.0" customHeight="1">
      <c r="A41" s="102" t="s">
        <v>20</v>
      </c>
      <c r="B41" s="102" t="s">
        <v>2189</v>
      </c>
      <c r="C41" s="103" t="s">
        <v>264</v>
      </c>
      <c r="D41" s="102">
        <v>29.0</v>
      </c>
      <c r="E41" s="114" t="s">
        <v>2354</v>
      </c>
      <c r="F41" s="19"/>
      <c r="G41" s="101">
        <v>7.0</v>
      </c>
      <c r="H41" s="112">
        <v>7.0</v>
      </c>
      <c r="I41" s="109" t="s">
        <v>2355</v>
      </c>
      <c r="J41" s="107" t="s">
        <v>2240</v>
      </c>
      <c r="K41" s="109" t="s">
        <v>2356</v>
      </c>
      <c r="L41" s="109" t="s">
        <v>2357</v>
      </c>
      <c r="M41" s="110" t="s">
        <v>2196</v>
      </c>
      <c r="N41" s="110" t="s">
        <v>2332</v>
      </c>
      <c r="O41" s="110" t="s">
        <v>2333</v>
      </c>
      <c r="P41" s="110" t="s">
        <v>2334</v>
      </c>
      <c r="Q41" s="110" t="s">
        <v>2335</v>
      </c>
    </row>
    <row r="42" ht="99.0" customHeight="1">
      <c r="A42" s="20"/>
      <c r="B42" s="20"/>
      <c r="C42" s="20"/>
      <c r="D42" s="20"/>
      <c r="E42" s="20"/>
      <c r="F42" s="20"/>
      <c r="G42" s="101">
        <v>8.0</v>
      </c>
      <c r="H42" s="112">
        <v>8.0</v>
      </c>
      <c r="I42" s="109" t="s">
        <v>2358</v>
      </c>
      <c r="J42" s="107" t="s">
        <v>2240</v>
      </c>
      <c r="K42" s="109" t="s">
        <v>2359</v>
      </c>
      <c r="L42" s="109" t="s">
        <v>2360</v>
      </c>
      <c r="M42" s="110" t="s">
        <v>2210</v>
      </c>
      <c r="N42" s="110" t="s">
        <v>2361</v>
      </c>
      <c r="O42" s="110" t="s">
        <v>2362</v>
      </c>
      <c r="P42" s="110" t="s">
        <v>2334</v>
      </c>
      <c r="Q42" s="110" t="s">
        <v>2335</v>
      </c>
    </row>
    <row r="43" ht="99.0" customHeight="1">
      <c r="A43" s="115" t="s">
        <v>20</v>
      </c>
      <c r="B43" s="115" t="s">
        <v>2189</v>
      </c>
      <c r="C43" s="116" t="s">
        <v>264</v>
      </c>
      <c r="D43" s="115">
        <v>30.0</v>
      </c>
      <c r="E43" s="117" t="s">
        <v>2363</v>
      </c>
      <c r="F43" s="115" t="s">
        <v>2364</v>
      </c>
      <c r="G43" s="118" t="s">
        <v>835</v>
      </c>
      <c r="H43" s="119" t="s">
        <v>1709</v>
      </c>
      <c r="I43" s="120" t="s">
        <v>2364</v>
      </c>
      <c r="J43" s="121"/>
      <c r="K43" s="121"/>
      <c r="L43" s="121"/>
      <c r="M43" s="121"/>
      <c r="N43" s="121"/>
      <c r="O43" s="121"/>
      <c r="P43" s="121"/>
      <c r="Q43" s="121"/>
    </row>
    <row r="44" ht="99.0" customHeight="1">
      <c r="A44" s="102" t="s">
        <v>20</v>
      </c>
      <c r="B44" s="102" t="s">
        <v>2189</v>
      </c>
      <c r="C44" s="103" t="s">
        <v>264</v>
      </c>
      <c r="D44" s="122">
        <v>31.0</v>
      </c>
      <c r="E44" s="114" t="s">
        <v>2365</v>
      </c>
      <c r="F44" s="102" t="s">
        <v>2366</v>
      </c>
      <c r="G44" s="112">
        <v>1.0</v>
      </c>
      <c r="H44" s="112">
        <v>11.0</v>
      </c>
      <c r="I44" s="106" t="s">
        <v>2358</v>
      </c>
      <c r="J44" s="110" t="s">
        <v>2240</v>
      </c>
      <c r="K44" s="106" t="s">
        <v>2367</v>
      </c>
      <c r="L44" s="106" t="s">
        <v>2368</v>
      </c>
      <c r="M44" s="110" t="s">
        <v>2196</v>
      </c>
      <c r="N44" s="113" t="s">
        <v>2369</v>
      </c>
      <c r="O44" s="110" t="s">
        <v>2370</v>
      </c>
      <c r="P44" s="110" t="s">
        <v>2196</v>
      </c>
      <c r="Q44" s="110" t="s">
        <v>2196</v>
      </c>
    </row>
    <row r="45" ht="99.0" customHeight="1">
      <c r="A45" s="20"/>
      <c r="B45" s="20"/>
      <c r="C45" s="20"/>
      <c r="D45" s="123"/>
      <c r="E45" s="20"/>
      <c r="F45" s="19"/>
      <c r="G45" s="112">
        <v>2.0</v>
      </c>
      <c r="H45" s="124">
        <v>12.0</v>
      </c>
      <c r="I45" s="106" t="s">
        <v>2371</v>
      </c>
      <c r="J45" s="110" t="s">
        <v>2240</v>
      </c>
      <c r="K45" s="106" t="s">
        <v>2372</v>
      </c>
      <c r="L45" s="106" t="s">
        <v>2373</v>
      </c>
      <c r="M45" s="110" t="s">
        <v>2196</v>
      </c>
      <c r="N45" s="113" t="s">
        <v>2374</v>
      </c>
      <c r="O45" s="110" t="s">
        <v>2375</v>
      </c>
      <c r="P45" s="110" t="s">
        <v>2196</v>
      </c>
      <c r="Q45" s="110" t="s">
        <v>2196</v>
      </c>
    </row>
    <row r="46" ht="99.0" customHeight="1">
      <c r="A46" s="101" t="s">
        <v>20</v>
      </c>
      <c r="B46" s="101" t="s">
        <v>2189</v>
      </c>
      <c r="C46" s="125" t="s">
        <v>264</v>
      </c>
      <c r="D46" s="122">
        <v>32.0</v>
      </c>
      <c r="E46" s="114" t="s">
        <v>2376</v>
      </c>
      <c r="F46" s="19"/>
      <c r="G46" s="101">
        <v>3.0</v>
      </c>
      <c r="H46" s="126">
        <v>13.0</v>
      </c>
      <c r="I46" s="109" t="s">
        <v>2377</v>
      </c>
      <c r="J46" s="107" t="s">
        <v>2240</v>
      </c>
      <c r="K46" s="109" t="s">
        <v>2378</v>
      </c>
      <c r="L46" s="109" t="s">
        <v>2379</v>
      </c>
      <c r="M46" s="110" t="s">
        <v>2196</v>
      </c>
      <c r="N46" s="110" t="s">
        <v>2374</v>
      </c>
      <c r="O46" s="110" t="s">
        <v>2380</v>
      </c>
      <c r="P46" s="110" t="s">
        <v>2196</v>
      </c>
      <c r="Q46" s="110" t="s">
        <v>2196</v>
      </c>
    </row>
    <row r="47" ht="99.0" customHeight="1">
      <c r="A47" s="101" t="s">
        <v>20</v>
      </c>
      <c r="B47" s="101" t="s">
        <v>2189</v>
      </c>
      <c r="C47" s="125" t="s">
        <v>264</v>
      </c>
      <c r="D47" s="123"/>
      <c r="E47" s="20"/>
      <c r="F47" s="20"/>
      <c r="G47" s="101">
        <v>4.0</v>
      </c>
      <c r="H47" s="101">
        <v>14.0</v>
      </c>
      <c r="I47" s="109" t="s">
        <v>2381</v>
      </c>
      <c r="J47" s="107" t="s">
        <v>2240</v>
      </c>
      <c r="K47" s="109" t="s">
        <v>2382</v>
      </c>
      <c r="L47" s="109" t="s">
        <v>2383</v>
      </c>
      <c r="M47" s="110" t="s">
        <v>2210</v>
      </c>
      <c r="N47" s="110" t="s">
        <v>2369</v>
      </c>
      <c r="O47" s="110" t="s">
        <v>2384</v>
      </c>
      <c r="P47" s="110" t="s">
        <v>2196</v>
      </c>
      <c r="Q47" s="110" t="s">
        <v>2196</v>
      </c>
    </row>
    <row r="48" ht="99.0" customHeight="1">
      <c r="A48" s="127" t="s">
        <v>20</v>
      </c>
      <c r="B48" s="127" t="s">
        <v>2189</v>
      </c>
      <c r="C48" s="128" t="s">
        <v>264</v>
      </c>
      <c r="D48" s="127">
        <v>33.0</v>
      </c>
      <c r="E48" s="129" t="s">
        <v>2385</v>
      </c>
      <c r="F48" s="127" t="s">
        <v>2259</v>
      </c>
      <c r="G48" s="127" t="s">
        <v>835</v>
      </c>
      <c r="H48" s="127" t="s">
        <v>2258</v>
      </c>
      <c r="I48" s="130" t="s">
        <v>2259</v>
      </c>
      <c r="J48" s="131"/>
      <c r="K48" s="131"/>
      <c r="L48" s="131"/>
      <c r="M48" s="131"/>
      <c r="N48" s="131"/>
      <c r="O48" s="131"/>
      <c r="P48" s="131"/>
      <c r="Q48" s="131"/>
    </row>
    <row r="49" ht="99.0" customHeight="1">
      <c r="A49" s="132" t="s">
        <v>20</v>
      </c>
      <c r="B49" s="115" t="s">
        <v>2189</v>
      </c>
      <c r="C49" s="116" t="s">
        <v>264</v>
      </c>
      <c r="D49" s="132">
        <v>34.0</v>
      </c>
      <c r="E49" s="133" t="s">
        <v>2386</v>
      </c>
      <c r="F49" s="115" t="s">
        <v>2387</v>
      </c>
      <c r="G49" s="132" t="s">
        <v>2233</v>
      </c>
      <c r="H49" s="132" t="s">
        <v>2261</v>
      </c>
      <c r="I49" s="120" t="s">
        <v>2387</v>
      </c>
      <c r="J49" s="121"/>
      <c r="K49" s="121"/>
      <c r="L49" s="121"/>
      <c r="M49" s="121"/>
      <c r="N49" s="134"/>
      <c r="O49" s="121"/>
      <c r="P49" s="121"/>
      <c r="Q49" s="121"/>
    </row>
    <row r="50" ht="99.0" customHeight="1">
      <c r="A50" s="102" t="s">
        <v>20</v>
      </c>
      <c r="B50" s="102" t="s">
        <v>2189</v>
      </c>
      <c r="C50" s="103" t="s">
        <v>264</v>
      </c>
      <c r="D50" s="102">
        <v>35.0</v>
      </c>
      <c r="E50" s="114" t="s">
        <v>2388</v>
      </c>
      <c r="F50" s="102" t="s">
        <v>2389</v>
      </c>
      <c r="G50" s="112">
        <v>1.0</v>
      </c>
      <c r="H50" s="112">
        <v>19.0</v>
      </c>
      <c r="I50" s="106" t="s">
        <v>2390</v>
      </c>
      <c r="J50" s="110" t="s">
        <v>2240</v>
      </c>
      <c r="K50" s="106" t="s">
        <v>2391</v>
      </c>
      <c r="L50" s="106" t="s">
        <v>2392</v>
      </c>
      <c r="M50" s="110" t="s">
        <v>2196</v>
      </c>
      <c r="N50" s="113" t="s">
        <v>2369</v>
      </c>
      <c r="O50" s="110" t="s">
        <v>2393</v>
      </c>
      <c r="P50" s="110" t="s">
        <v>2196</v>
      </c>
      <c r="Q50" s="110" t="s">
        <v>2196</v>
      </c>
    </row>
    <row r="51" ht="99.0" customHeight="1">
      <c r="A51" s="20"/>
      <c r="B51" s="20"/>
      <c r="C51" s="20"/>
      <c r="D51" s="20"/>
      <c r="E51" s="20"/>
      <c r="F51" s="19"/>
      <c r="G51" s="112">
        <v>2.0</v>
      </c>
      <c r="H51" s="112">
        <v>20.0</v>
      </c>
      <c r="I51" s="106" t="s">
        <v>2394</v>
      </c>
      <c r="J51" s="110" t="s">
        <v>2240</v>
      </c>
      <c r="K51" s="106" t="s">
        <v>2395</v>
      </c>
      <c r="L51" s="106" t="s">
        <v>2396</v>
      </c>
      <c r="M51" s="110" t="s">
        <v>2196</v>
      </c>
      <c r="N51" s="113" t="s">
        <v>2369</v>
      </c>
      <c r="O51" s="110" t="s">
        <v>2393</v>
      </c>
      <c r="P51" s="110" t="s">
        <v>2196</v>
      </c>
      <c r="Q51" s="110" t="s">
        <v>2196</v>
      </c>
    </row>
    <row r="52" ht="99.0" customHeight="1">
      <c r="A52" s="102" t="s">
        <v>20</v>
      </c>
      <c r="B52" s="102" t="s">
        <v>2189</v>
      </c>
      <c r="C52" s="103" t="s">
        <v>264</v>
      </c>
      <c r="D52" s="102">
        <v>36.0</v>
      </c>
      <c r="E52" s="135" t="s">
        <v>2397</v>
      </c>
      <c r="F52" s="19"/>
      <c r="G52" s="136" t="s">
        <v>2233</v>
      </c>
      <c r="H52" s="137" t="s">
        <v>2398</v>
      </c>
      <c r="I52" s="138" t="s">
        <v>2399</v>
      </c>
      <c r="J52" s="139"/>
      <c r="K52" s="139"/>
      <c r="L52" s="139"/>
      <c r="M52" s="139"/>
      <c r="N52" s="140"/>
      <c r="O52" s="139"/>
      <c r="P52" s="139"/>
      <c r="Q52" s="139"/>
    </row>
    <row r="53" ht="99.0" customHeight="1">
      <c r="A53" s="19"/>
      <c r="B53" s="19"/>
      <c r="C53" s="19"/>
      <c r="D53" s="19"/>
      <c r="E53" s="141"/>
      <c r="F53" s="19"/>
      <c r="G53" s="142">
        <v>3.0</v>
      </c>
      <c r="H53" s="112">
        <v>21.0</v>
      </c>
      <c r="I53" s="106" t="s">
        <v>2400</v>
      </c>
      <c r="J53" s="110" t="s">
        <v>2240</v>
      </c>
      <c r="K53" s="106" t="s">
        <v>2401</v>
      </c>
      <c r="L53" s="106" t="s">
        <v>2402</v>
      </c>
      <c r="M53" s="110" t="s">
        <v>2196</v>
      </c>
      <c r="N53" s="113" t="s">
        <v>2369</v>
      </c>
      <c r="O53" s="110" t="s">
        <v>2393</v>
      </c>
      <c r="P53" s="110" t="s">
        <v>2196</v>
      </c>
      <c r="Q53" s="110" t="s">
        <v>2196</v>
      </c>
    </row>
    <row r="54" ht="99.0" customHeight="1">
      <c r="A54" s="20"/>
      <c r="B54" s="20"/>
      <c r="C54" s="20"/>
      <c r="D54" s="20"/>
      <c r="E54" s="141"/>
      <c r="F54" s="19"/>
      <c r="G54" s="142">
        <v>4.0</v>
      </c>
      <c r="H54" s="112">
        <v>22.0</v>
      </c>
      <c r="I54" s="106" t="s">
        <v>2403</v>
      </c>
      <c r="J54" s="110" t="s">
        <v>2240</v>
      </c>
      <c r="K54" s="106" t="s">
        <v>2404</v>
      </c>
      <c r="L54" s="106" t="s">
        <v>2405</v>
      </c>
      <c r="M54" s="110" t="s">
        <v>2210</v>
      </c>
      <c r="N54" s="113" t="s">
        <v>2369</v>
      </c>
      <c r="O54" s="110" t="s">
        <v>2393</v>
      </c>
      <c r="P54" s="110" t="s">
        <v>2196</v>
      </c>
      <c r="Q54" s="110" t="s">
        <v>2196</v>
      </c>
    </row>
    <row r="55" ht="99.0" customHeight="1">
      <c r="A55" s="127" t="s">
        <v>20</v>
      </c>
      <c r="B55" s="127" t="s">
        <v>2189</v>
      </c>
      <c r="C55" s="128" t="s">
        <v>313</v>
      </c>
      <c r="D55" s="127">
        <v>37.0</v>
      </c>
      <c r="E55" s="143" t="s">
        <v>2406</v>
      </c>
      <c r="F55" s="127" t="s">
        <v>2259</v>
      </c>
      <c r="G55" s="127">
        <v>1.0</v>
      </c>
      <c r="H55" s="127" t="s">
        <v>2407</v>
      </c>
      <c r="I55" s="130" t="s">
        <v>2259</v>
      </c>
      <c r="J55" s="131"/>
      <c r="K55" s="131"/>
      <c r="L55" s="131"/>
      <c r="M55" s="131"/>
      <c r="N55" s="131"/>
      <c r="O55" s="131"/>
      <c r="P55" s="131"/>
      <c r="Q55" s="131"/>
    </row>
    <row r="56" ht="99.0" customHeight="1">
      <c r="A56" s="115" t="s">
        <v>20</v>
      </c>
      <c r="B56" s="115" t="s">
        <v>2189</v>
      </c>
      <c r="C56" s="116" t="s">
        <v>313</v>
      </c>
      <c r="D56" s="115">
        <v>38.0</v>
      </c>
      <c r="E56" s="144" t="s">
        <v>2408</v>
      </c>
      <c r="F56" s="115" t="s">
        <v>2409</v>
      </c>
      <c r="G56" s="115">
        <v>3.0</v>
      </c>
      <c r="H56" s="115" t="s">
        <v>2410</v>
      </c>
      <c r="I56" s="120" t="s">
        <v>2409</v>
      </c>
      <c r="J56" s="121"/>
      <c r="K56" s="121"/>
      <c r="L56" s="121"/>
      <c r="M56" s="121"/>
      <c r="N56" s="121"/>
      <c r="O56" s="121"/>
      <c r="P56" s="121"/>
      <c r="Q56" s="121"/>
    </row>
    <row r="57" ht="99.0" customHeight="1">
      <c r="A57" s="102" t="s">
        <v>20</v>
      </c>
      <c r="B57" s="102" t="s">
        <v>2189</v>
      </c>
      <c r="C57" s="103" t="s">
        <v>313</v>
      </c>
      <c r="D57" s="102">
        <v>39.0</v>
      </c>
      <c r="E57" s="114" t="s">
        <v>2411</v>
      </c>
      <c r="F57" s="102" t="s">
        <v>2412</v>
      </c>
      <c r="G57" s="112">
        <v>1.0</v>
      </c>
      <c r="H57" s="112">
        <v>26.0</v>
      </c>
      <c r="I57" s="106" t="s">
        <v>2413</v>
      </c>
      <c r="J57" s="110" t="s">
        <v>2193</v>
      </c>
      <c r="K57" s="106" t="s">
        <v>2414</v>
      </c>
      <c r="L57" s="106" t="s">
        <v>2415</v>
      </c>
      <c r="M57" s="110" t="s">
        <v>2196</v>
      </c>
      <c r="N57" s="113" t="s">
        <v>2416</v>
      </c>
      <c r="O57" s="110" t="s">
        <v>2417</v>
      </c>
      <c r="P57" s="110" t="s">
        <v>2418</v>
      </c>
      <c r="Q57" s="110" t="s">
        <v>2419</v>
      </c>
    </row>
    <row r="58" ht="99.0" customHeight="1">
      <c r="A58" s="20"/>
      <c r="B58" s="20"/>
      <c r="C58" s="20"/>
      <c r="D58" s="20"/>
      <c r="E58" s="20"/>
      <c r="F58" s="19"/>
      <c r="G58" s="101">
        <v>2.0</v>
      </c>
      <c r="H58" s="101">
        <v>27.0</v>
      </c>
      <c r="I58" s="106" t="s">
        <v>2420</v>
      </c>
      <c r="J58" s="110" t="s">
        <v>2193</v>
      </c>
      <c r="K58" s="106" t="s">
        <v>2421</v>
      </c>
      <c r="L58" s="106" t="s">
        <v>2422</v>
      </c>
      <c r="M58" s="110" t="s">
        <v>2196</v>
      </c>
      <c r="N58" s="110" t="s">
        <v>2423</v>
      </c>
      <c r="O58" s="110" t="s">
        <v>2424</v>
      </c>
      <c r="P58" s="110" t="s">
        <v>2418</v>
      </c>
      <c r="Q58" s="110" t="s">
        <v>2419</v>
      </c>
    </row>
    <row r="59" ht="99.0" customHeight="1">
      <c r="A59" s="104" t="s">
        <v>20</v>
      </c>
      <c r="B59" s="104" t="s">
        <v>2189</v>
      </c>
      <c r="C59" s="103" t="s">
        <v>313</v>
      </c>
      <c r="D59" s="104">
        <v>40.0</v>
      </c>
      <c r="E59" s="105" t="s">
        <v>2425</v>
      </c>
      <c r="F59" s="19"/>
      <c r="G59" s="101">
        <v>3.0</v>
      </c>
      <c r="H59" s="101">
        <v>28.0</v>
      </c>
      <c r="I59" s="106" t="s">
        <v>2426</v>
      </c>
      <c r="J59" s="110" t="s">
        <v>2240</v>
      </c>
      <c r="K59" s="106" t="s">
        <v>2427</v>
      </c>
      <c r="L59" s="106" t="s">
        <v>2428</v>
      </c>
      <c r="M59" s="110" t="s">
        <v>2196</v>
      </c>
      <c r="N59" s="110" t="s">
        <v>2416</v>
      </c>
      <c r="O59" s="110" t="s">
        <v>2417</v>
      </c>
      <c r="P59" s="110" t="s">
        <v>2418</v>
      </c>
      <c r="Q59" s="110" t="s">
        <v>2419</v>
      </c>
    </row>
    <row r="60" ht="99.0" customHeight="1">
      <c r="A60" s="19"/>
      <c r="B60" s="19"/>
      <c r="C60" s="20"/>
      <c r="D60" s="19"/>
      <c r="E60" s="19"/>
      <c r="F60" s="19"/>
      <c r="G60" s="101">
        <v>4.0</v>
      </c>
      <c r="H60" s="101">
        <v>29.0</v>
      </c>
      <c r="I60" s="106" t="s">
        <v>2429</v>
      </c>
      <c r="J60" s="110" t="s">
        <v>2240</v>
      </c>
      <c r="K60" s="106" t="s">
        <v>2430</v>
      </c>
      <c r="L60" s="106" t="s">
        <v>2431</v>
      </c>
      <c r="M60" s="110" t="s">
        <v>2210</v>
      </c>
      <c r="N60" s="110" t="s">
        <v>2416</v>
      </c>
      <c r="O60" s="110" t="s">
        <v>2417</v>
      </c>
      <c r="P60" s="110" t="s">
        <v>2418</v>
      </c>
      <c r="Q60" s="110" t="s">
        <v>2419</v>
      </c>
    </row>
    <row r="61" ht="99.0" customHeight="1">
      <c r="A61" s="104" t="s">
        <v>20</v>
      </c>
      <c r="B61" s="104" t="s">
        <v>2189</v>
      </c>
      <c r="C61" s="103" t="s">
        <v>313</v>
      </c>
      <c r="D61" s="104">
        <v>41.0</v>
      </c>
      <c r="E61" s="145" t="s">
        <v>2432</v>
      </c>
      <c r="F61" s="19"/>
      <c r="G61" s="101">
        <v>5.0</v>
      </c>
      <c r="H61" s="101">
        <v>30.0</v>
      </c>
      <c r="I61" s="106" t="s">
        <v>2433</v>
      </c>
      <c r="J61" s="110" t="s">
        <v>2240</v>
      </c>
      <c r="K61" s="106" t="s">
        <v>2434</v>
      </c>
      <c r="L61" s="106" t="s">
        <v>2435</v>
      </c>
      <c r="M61" s="110" t="s">
        <v>2196</v>
      </c>
      <c r="N61" s="110" t="s">
        <v>2436</v>
      </c>
      <c r="O61" s="110" t="s">
        <v>2437</v>
      </c>
      <c r="P61" s="110" t="s">
        <v>2418</v>
      </c>
      <c r="Q61" s="110" t="s">
        <v>2419</v>
      </c>
    </row>
    <row r="62" ht="99.0" customHeight="1">
      <c r="A62" s="19"/>
      <c r="B62" s="19"/>
      <c r="C62" s="20"/>
      <c r="D62" s="19"/>
      <c r="E62" s="20"/>
      <c r="F62" s="19"/>
      <c r="G62" s="146">
        <v>6.0</v>
      </c>
      <c r="H62" s="146">
        <v>31.0</v>
      </c>
      <c r="I62" s="147" t="s">
        <v>2438</v>
      </c>
      <c r="J62" s="148" t="s">
        <v>2240</v>
      </c>
      <c r="K62" s="106" t="s">
        <v>2439</v>
      </c>
      <c r="L62" s="106" t="s">
        <v>2440</v>
      </c>
      <c r="M62" s="110" t="s">
        <v>2196</v>
      </c>
      <c r="N62" s="149" t="s">
        <v>2441</v>
      </c>
      <c r="O62" s="110" t="s">
        <v>2442</v>
      </c>
      <c r="P62" s="110" t="s">
        <v>2418</v>
      </c>
      <c r="Q62" s="110" t="s">
        <v>2419</v>
      </c>
    </row>
    <row r="63" ht="99.0" customHeight="1">
      <c r="A63" s="150" t="s">
        <v>20</v>
      </c>
      <c r="B63" s="102" t="s">
        <v>2189</v>
      </c>
      <c r="C63" s="103" t="s">
        <v>313</v>
      </c>
      <c r="D63" s="150">
        <v>42.0</v>
      </c>
      <c r="E63" s="145" t="s">
        <v>2443</v>
      </c>
      <c r="F63" s="19"/>
      <c r="G63" s="115" t="s">
        <v>2233</v>
      </c>
      <c r="H63" s="115" t="s">
        <v>2444</v>
      </c>
      <c r="I63" s="120" t="s">
        <v>2445</v>
      </c>
      <c r="J63" s="121"/>
      <c r="K63" s="121"/>
      <c r="L63" s="121"/>
      <c r="M63" s="121"/>
      <c r="N63" s="121"/>
      <c r="O63" s="121"/>
      <c r="P63" s="121"/>
      <c r="Q63" s="121"/>
    </row>
    <row r="64" ht="99.0" customHeight="1">
      <c r="A64" s="19"/>
      <c r="B64" s="19"/>
      <c r="C64" s="19"/>
      <c r="D64" s="19"/>
      <c r="E64" s="19"/>
      <c r="F64" s="19"/>
      <c r="G64" s="101">
        <v>7.0</v>
      </c>
      <c r="H64" s="101">
        <v>32.0</v>
      </c>
      <c r="I64" s="106" t="s">
        <v>2446</v>
      </c>
      <c r="J64" s="110" t="s">
        <v>2240</v>
      </c>
      <c r="K64" s="106" t="s">
        <v>2447</v>
      </c>
      <c r="L64" s="106" t="s">
        <v>2448</v>
      </c>
      <c r="M64" s="110" t="s">
        <v>2196</v>
      </c>
      <c r="N64" s="110" t="s">
        <v>2449</v>
      </c>
      <c r="O64" s="110" t="s">
        <v>2450</v>
      </c>
      <c r="P64" s="110" t="s">
        <v>2418</v>
      </c>
      <c r="Q64" s="110" t="s">
        <v>2419</v>
      </c>
    </row>
    <row r="65" ht="99.0" customHeight="1">
      <c r="A65" s="20"/>
      <c r="B65" s="20"/>
      <c r="C65" s="20"/>
      <c r="D65" s="20"/>
      <c r="E65" s="20"/>
      <c r="F65" s="20"/>
      <c r="G65" s="101">
        <v>8.0</v>
      </c>
      <c r="H65" s="101">
        <v>33.0</v>
      </c>
      <c r="I65" s="106" t="s">
        <v>2451</v>
      </c>
      <c r="J65" s="110" t="s">
        <v>2240</v>
      </c>
      <c r="K65" s="106" t="s">
        <v>2452</v>
      </c>
      <c r="L65" s="106" t="s">
        <v>2453</v>
      </c>
      <c r="M65" s="110" t="s">
        <v>2210</v>
      </c>
      <c r="N65" s="110" t="s">
        <v>2454</v>
      </c>
      <c r="O65" s="110" t="s">
        <v>2455</v>
      </c>
      <c r="P65" s="110" t="s">
        <v>2418</v>
      </c>
      <c r="Q65" s="110" t="s">
        <v>2419</v>
      </c>
    </row>
    <row r="66" ht="99.0" customHeight="1">
      <c r="A66" s="115" t="s">
        <v>20</v>
      </c>
      <c r="B66" s="115" t="s">
        <v>2189</v>
      </c>
      <c r="C66" s="116" t="s">
        <v>313</v>
      </c>
      <c r="D66" s="115">
        <v>43.0</v>
      </c>
      <c r="E66" s="144" t="s">
        <v>2456</v>
      </c>
      <c r="F66" s="119" t="s">
        <v>2457</v>
      </c>
      <c r="G66" s="119" t="s">
        <v>2233</v>
      </c>
      <c r="H66" s="115" t="s">
        <v>2458</v>
      </c>
      <c r="I66" s="151" t="s">
        <v>2457</v>
      </c>
      <c r="J66" s="152"/>
      <c r="K66" s="152"/>
      <c r="L66" s="152"/>
      <c r="M66" s="152"/>
      <c r="N66" s="153"/>
      <c r="O66" s="152"/>
      <c r="P66" s="152"/>
      <c r="Q66" s="152"/>
    </row>
    <row r="67" ht="99.0" customHeight="1">
      <c r="A67" s="115" t="s">
        <v>20</v>
      </c>
      <c r="B67" s="115" t="s">
        <v>2189</v>
      </c>
      <c r="C67" s="116" t="s">
        <v>313</v>
      </c>
      <c r="D67" s="115">
        <v>44.0</v>
      </c>
      <c r="E67" s="144" t="s">
        <v>2459</v>
      </c>
      <c r="F67" s="20"/>
      <c r="G67" s="20"/>
      <c r="H67" s="115" t="s">
        <v>2460</v>
      </c>
      <c r="I67" s="20"/>
      <c r="J67" s="20"/>
      <c r="K67" s="20"/>
      <c r="L67" s="20"/>
      <c r="M67" s="20"/>
      <c r="N67" s="20"/>
      <c r="O67" s="20"/>
      <c r="P67" s="20"/>
      <c r="Q67" s="20"/>
    </row>
    <row r="68" ht="99.0" customHeight="1">
      <c r="A68" s="137" t="s">
        <v>20</v>
      </c>
      <c r="B68" s="137" t="s">
        <v>2189</v>
      </c>
      <c r="C68" s="154" t="s">
        <v>313</v>
      </c>
      <c r="D68" s="137">
        <v>45.0</v>
      </c>
      <c r="E68" s="155" t="s">
        <v>2461</v>
      </c>
      <c r="F68" s="156" t="s">
        <v>2462</v>
      </c>
      <c r="G68" s="137" t="s">
        <v>2233</v>
      </c>
      <c r="H68" s="137" t="s">
        <v>2463</v>
      </c>
      <c r="I68" s="138" t="s">
        <v>2462</v>
      </c>
      <c r="J68" s="139"/>
      <c r="K68" s="139"/>
      <c r="L68" s="139"/>
      <c r="M68" s="139"/>
      <c r="N68" s="140"/>
      <c r="O68" s="139"/>
      <c r="P68" s="139"/>
      <c r="Q68" s="139"/>
    </row>
    <row r="69" ht="99.0" customHeight="1">
      <c r="A69" s="18" t="s">
        <v>20</v>
      </c>
      <c r="B69" s="18" t="s">
        <v>2464</v>
      </c>
      <c r="C69" s="18" t="s">
        <v>22</v>
      </c>
      <c r="D69" s="18">
        <v>1.0</v>
      </c>
      <c r="E69" s="45" t="s">
        <v>2190</v>
      </c>
      <c r="F69" s="157" t="s">
        <v>2465</v>
      </c>
      <c r="G69" s="10">
        <v>1.0</v>
      </c>
      <c r="H69" s="10">
        <v>1.0</v>
      </c>
      <c r="I69" s="79" t="s">
        <v>2466</v>
      </c>
      <c r="J69" s="48" t="s">
        <v>2240</v>
      </c>
      <c r="K69" s="94" t="s">
        <v>2467</v>
      </c>
      <c r="L69" s="94" t="s">
        <v>2468</v>
      </c>
      <c r="M69" s="48" t="s">
        <v>2196</v>
      </c>
      <c r="N69" s="48" t="s">
        <v>2469</v>
      </c>
      <c r="O69" s="48" t="s">
        <v>2470</v>
      </c>
      <c r="P69" s="48" t="s">
        <v>2196</v>
      </c>
      <c r="Q69" s="48" t="s">
        <v>2196</v>
      </c>
    </row>
    <row r="70" ht="70.5" customHeight="1">
      <c r="A70" s="20"/>
      <c r="B70" s="19"/>
      <c r="C70" s="19"/>
      <c r="D70" s="20"/>
      <c r="E70" s="20"/>
      <c r="F70" s="19"/>
      <c r="G70" s="10">
        <v>2.0</v>
      </c>
      <c r="H70" s="10">
        <v>2.0</v>
      </c>
      <c r="I70" s="79" t="s">
        <v>2471</v>
      </c>
      <c r="J70" s="48" t="s">
        <v>2240</v>
      </c>
      <c r="K70" s="94" t="s">
        <v>2472</v>
      </c>
      <c r="L70" s="94" t="s">
        <v>2473</v>
      </c>
      <c r="M70" s="48" t="s">
        <v>2196</v>
      </c>
      <c r="N70" s="48" t="s">
        <v>2469</v>
      </c>
      <c r="O70" s="48" t="s">
        <v>2470</v>
      </c>
      <c r="P70" s="48" t="s">
        <v>2196</v>
      </c>
      <c r="Q70" s="48" t="s">
        <v>2196</v>
      </c>
    </row>
    <row r="71" ht="67.5" customHeight="1">
      <c r="A71" s="18" t="s">
        <v>20</v>
      </c>
      <c r="B71" s="19"/>
      <c r="C71" s="19"/>
      <c r="D71" s="18">
        <v>2.0</v>
      </c>
      <c r="E71" s="45" t="s">
        <v>2203</v>
      </c>
      <c r="F71" s="19"/>
      <c r="G71" s="10">
        <v>3.0</v>
      </c>
      <c r="H71" s="10">
        <v>3.0</v>
      </c>
      <c r="I71" s="79" t="s">
        <v>2474</v>
      </c>
      <c r="J71" s="48" t="s">
        <v>2240</v>
      </c>
      <c r="K71" s="94" t="s">
        <v>2475</v>
      </c>
      <c r="L71" s="94" t="s">
        <v>2476</v>
      </c>
      <c r="M71" s="48" t="s">
        <v>2196</v>
      </c>
      <c r="N71" s="48" t="s">
        <v>2469</v>
      </c>
      <c r="O71" s="48" t="s">
        <v>2470</v>
      </c>
      <c r="P71" s="48" t="s">
        <v>2196</v>
      </c>
      <c r="Q71" s="48" t="s">
        <v>2196</v>
      </c>
    </row>
    <row r="72" ht="63.75" customHeight="1">
      <c r="A72" s="20"/>
      <c r="B72" s="20"/>
      <c r="C72" s="20"/>
      <c r="D72" s="20"/>
      <c r="E72" s="20"/>
      <c r="F72" s="20"/>
      <c r="G72" s="10">
        <v>4.0</v>
      </c>
      <c r="H72" s="10">
        <v>4.0</v>
      </c>
      <c r="I72" s="79" t="s">
        <v>2477</v>
      </c>
      <c r="J72" s="48" t="s">
        <v>2240</v>
      </c>
      <c r="K72" s="94" t="s">
        <v>2478</v>
      </c>
      <c r="L72" s="94" t="s">
        <v>2479</v>
      </c>
      <c r="M72" s="48" t="s">
        <v>2196</v>
      </c>
      <c r="N72" s="48" t="s">
        <v>2469</v>
      </c>
      <c r="O72" s="48" t="s">
        <v>2470</v>
      </c>
      <c r="P72" s="48" t="s">
        <v>2196</v>
      </c>
      <c r="Q72" s="48" t="s">
        <v>2196</v>
      </c>
    </row>
    <row r="73" ht="61.5" customHeight="1">
      <c r="A73" s="50" t="s">
        <v>20</v>
      </c>
      <c r="B73" s="50" t="s">
        <v>2464</v>
      </c>
      <c r="C73" s="50" t="s">
        <v>22</v>
      </c>
      <c r="D73" s="51">
        <v>3.0</v>
      </c>
      <c r="E73" s="52" t="s">
        <v>2211</v>
      </c>
      <c r="F73" s="51" t="s">
        <v>2212</v>
      </c>
      <c r="G73" s="50"/>
      <c r="H73" s="50"/>
      <c r="I73" s="53"/>
      <c r="J73" s="50"/>
      <c r="K73" s="54"/>
      <c r="L73" s="54"/>
      <c r="M73" s="50"/>
      <c r="N73" s="55"/>
      <c r="O73" s="50"/>
      <c r="P73" s="54"/>
      <c r="Q73" s="54"/>
    </row>
    <row r="74" ht="73.5" customHeight="1">
      <c r="A74" s="18" t="s">
        <v>20</v>
      </c>
      <c r="B74" s="18" t="s">
        <v>2464</v>
      </c>
      <c r="C74" s="18" t="s">
        <v>22</v>
      </c>
      <c r="D74" s="59">
        <v>4.0</v>
      </c>
      <c r="E74" s="57" t="s">
        <v>2213</v>
      </c>
      <c r="F74" s="18" t="s">
        <v>2480</v>
      </c>
      <c r="G74" s="10">
        <v>1.0</v>
      </c>
      <c r="H74" s="10">
        <v>5.0</v>
      </c>
      <c r="I74" s="79" t="s">
        <v>2481</v>
      </c>
      <c r="J74" s="48" t="s">
        <v>2193</v>
      </c>
      <c r="K74" s="94" t="s">
        <v>2482</v>
      </c>
      <c r="L74" s="94" t="s">
        <v>2483</v>
      </c>
      <c r="M74" s="48" t="s">
        <v>2196</v>
      </c>
      <c r="N74" s="158" t="s">
        <v>2484</v>
      </c>
      <c r="O74" s="48" t="s">
        <v>2485</v>
      </c>
      <c r="P74" s="48" t="s">
        <v>2196</v>
      </c>
      <c r="Q74" s="48" t="s">
        <v>2196</v>
      </c>
    </row>
    <row r="75" ht="60.75" customHeight="1">
      <c r="A75" s="20"/>
      <c r="B75" s="19"/>
      <c r="C75" s="19"/>
      <c r="D75" s="20"/>
      <c r="E75" s="95"/>
      <c r="F75" s="19"/>
      <c r="G75" s="10">
        <v>2.0</v>
      </c>
      <c r="H75" s="10">
        <v>6.0</v>
      </c>
      <c r="I75" s="79" t="s">
        <v>2486</v>
      </c>
      <c r="J75" s="48" t="s">
        <v>2240</v>
      </c>
      <c r="K75" s="94" t="s">
        <v>2487</v>
      </c>
      <c r="L75" s="94" t="s">
        <v>2488</v>
      </c>
      <c r="M75" s="48" t="s">
        <v>2196</v>
      </c>
      <c r="N75" s="158" t="s">
        <v>2489</v>
      </c>
      <c r="O75" s="48" t="s">
        <v>2490</v>
      </c>
      <c r="P75" s="48" t="s">
        <v>2196</v>
      </c>
      <c r="Q75" s="48" t="s">
        <v>2196</v>
      </c>
    </row>
    <row r="76" ht="75.75" customHeight="1">
      <c r="A76" s="18" t="s">
        <v>20</v>
      </c>
      <c r="B76" s="19"/>
      <c r="C76" s="19"/>
      <c r="D76" s="71">
        <v>5.0</v>
      </c>
      <c r="E76" s="159" t="s">
        <v>2223</v>
      </c>
      <c r="F76" s="19"/>
      <c r="G76" s="10">
        <v>3.0</v>
      </c>
      <c r="H76" s="10">
        <v>7.0</v>
      </c>
      <c r="I76" s="79" t="s">
        <v>2491</v>
      </c>
      <c r="J76" s="48" t="s">
        <v>2240</v>
      </c>
      <c r="K76" s="94" t="s">
        <v>2492</v>
      </c>
      <c r="L76" s="94" t="s">
        <v>2493</v>
      </c>
      <c r="M76" s="48" t="s">
        <v>2196</v>
      </c>
      <c r="N76" s="158" t="s">
        <v>2494</v>
      </c>
      <c r="O76" s="48" t="s">
        <v>2495</v>
      </c>
      <c r="P76" s="48" t="s">
        <v>2196</v>
      </c>
      <c r="Q76" s="48" t="s">
        <v>2196</v>
      </c>
    </row>
    <row r="77" ht="48.0" customHeight="1">
      <c r="A77" s="20"/>
      <c r="B77" s="20"/>
      <c r="C77" s="20"/>
      <c r="D77" s="76"/>
      <c r="E77" s="20"/>
      <c r="F77" s="20"/>
      <c r="G77" s="10">
        <v>4.0</v>
      </c>
      <c r="H77" s="10">
        <v>8.0</v>
      </c>
      <c r="I77" s="79" t="s">
        <v>2496</v>
      </c>
      <c r="J77" s="48" t="s">
        <v>2240</v>
      </c>
      <c r="K77" s="94" t="s">
        <v>2497</v>
      </c>
      <c r="L77" s="94" t="s">
        <v>2498</v>
      </c>
      <c r="M77" s="96" t="s">
        <v>2196</v>
      </c>
      <c r="N77" s="158" t="s">
        <v>2499</v>
      </c>
      <c r="O77" s="48" t="s">
        <v>2500</v>
      </c>
      <c r="P77" s="48" t="s">
        <v>2196</v>
      </c>
      <c r="Q77" s="48" t="s">
        <v>2196</v>
      </c>
    </row>
    <row r="78" ht="87.75" customHeight="1">
      <c r="A78" s="65" t="s">
        <v>20</v>
      </c>
      <c r="B78" s="65" t="s">
        <v>2464</v>
      </c>
      <c r="C78" s="65" t="s">
        <v>22</v>
      </c>
      <c r="D78" s="65">
        <v>6.0</v>
      </c>
      <c r="E78" s="160" t="s">
        <v>2232</v>
      </c>
      <c r="F78" s="86"/>
      <c r="G78" s="65" t="s">
        <v>2233</v>
      </c>
      <c r="H78" s="65" t="s">
        <v>1709</v>
      </c>
      <c r="I78" s="69" t="s">
        <v>2501</v>
      </c>
      <c r="J78" s="70"/>
      <c r="K78" s="70"/>
      <c r="L78" s="70"/>
      <c r="M78" s="65" t="s">
        <v>2235</v>
      </c>
      <c r="N78" s="67" t="s">
        <v>2235</v>
      </c>
      <c r="O78" s="65" t="s">
        <v>2236</v>
      </c>
      <c r="P78" s="70" t="s">
        <v>2235</v>
      </c>
      <c r="Q78" s="70"/>
    </row>
    <row r="79" ht="71.25" customHeight="1">
      <c r="A79" s="18" t="s">
        <v>20</v>
      </c>
      <c r="B79" s="18" t="s">
        <v>2464</v>
      </c>
      <c r="C79" s="18" t="s">
        <v>22</v>
      </c>
      <c r="D79" s="59">
        <v>7.0</v>
      </c>
      <c r="E79" s="45" t="s">
        <v>2237</v>
      </c>
      <c r="F79" s="18" t="s">
        <v>2502</v>
      </c>
      <c r="G79" s="61">
        <v>1.0</v>
      </c>
      <c r="H79" s="10">
        <v>11.0</v>
      </c>
      <c r="I79" s="46" t="s">
        <v>2503</v>
      </c>
      <c r="J79" s="48" t="s">
        <v>2193</v>
      </c>
      <c r="K79" s="94" t="s">
        <v>2504</v>
      </c>
      <c r="L79" s="94" t="s">
        <v>2505</v>
      </c>
      <c r="M79" s="48" t="s">
        <v>2196</v>
      </c>
      <c r="N79" s="158" t="s">
        <v>2506</v>
      </c>
      <c r="O79" s="161" t="s">
        <v>2507</v>
      </c>
      <c r="P79" s="48" t="s">
        <v>2196</v>
      </c>
      <c r="Q79" s="48" t="s">
        <v>2196</v>
      </c>
    </row>
    <row r="80" ht="64.5" customHeight="1">
      <c r="A80" s="20"/>
      <c r="B80" s="19"/>
      <c r="C80" s="19"/>
      <c r="D80" s="20"/>
      <c r="E80" s="20"/>
      <c r="F80" s="19"/>
      <c r="G80" s="61">
        <v>2.0</v>
      </c>
      <c r="H80" s="10">
        <v>12.0</v>
      </c>
      <c r="I80" s="46" t="s">
        <v>2508</v>
      </c>
      <c r="J80" s="48" t="s">
        <v>2193</v>
      </c>
      <c r="K80" s="94" t="s">
        <v>2509</v>
      </c>
      <c r="L80" s="94" t="s">
        <v>2510</v>
      </c>
      <c r="M80" s="48" t="s">
        <v>2196</v>
      </c>
      <c r="N80" s="158" t="s">
        <v>2506</v>
      </c>
      <c r="O80" s="161" t="s">
        <v>2507</v>
      </c>
      <c r="P80" s="48" t="s">
        <v>2196</v>
      </c>
      <c r="Q80" s="48" t="s">
        <v>2196</v>
      </c>
    </row>
    <row r="81" ht="63.75" customHeight="1">
      <c r="A81" s="18" t="s">
        <v>20</v>
      </c>
      <c r="B81" s="19"/>
      <c r="C81" s="19"/>
      <c r="D81" s="59">
        <v>8.0</v>
      </c>
      <c r="E81" s="159" t="s">
        <v>2250</v>
      </c>
      <c r="F81" s="19"/>
      <c r="G81" s="61">
        <v>3.0</v>
      </c>
      <c r="H81" s="10">
        <v>13.0</v>
      </c>
      <c r="I81" s="46" t="s">
        <v>2511</v>
      </c>
      <c r="J81" s="48" t="s">
        <v>2193</v>
      </c>
      <c r="K81" s="94" t="s">
        <v>2512</v>
      </c>
      <c r="L81" s="94" t="s">
        <v>2513</v>
      </c>
      <c r="M81" s="48" t="s">
        <v>2196</v>
      </c>
      <c r="N81" s="158" t="s">
        <v>2506</v>
      </c>
      <c r="O81" s="161" t="s">
        <v>2507</v>
      </c>
      <c r="P81" s="48" t="s">
        <v>2196</v>
      </c>
      <c r="Q81" s="48" t="s">
        <v>2196</v>
      </c>
    </row>
    <row r="82" ht="63.0" customHeight="1">
      <c r="A82" s="20"/>
      <c r="B82" s="20"/>
      <c r="C82" s="20"/>
      <c r="D82" s="20"/>
      <c r="E82" s="20"/>
      <c r="F82" s="20"/>
      <c r="G82" s="61">
        <v>4.0</v>
      </c>
      <c r="H82" s="10">
        <v>14.0</v>
      </c>
      <c r="I82" s="46" t="s">
        <v>2514</v>
      </c>
      <c r="J82" s="48" t="s">
        <v>2193</v>
      </c>
      <c r="K82" s="94" t="s">
        <v>2515</v>
      </c>
      <c r="L82" s="94" t="s">
        <v>2516</v>
      </c>
      <c r="M82" s="48" t="s">
        <v>2196</v>
      </c>
      <c r="N82" s="158" t="s">
        <v>2517</v>
      </c>
      <c r="O82" s="48" t="s">
        <v>2518</v>
      </c>
      <c r="P82" s="48" t="s">
        <v>2196</v>
      </c>
      <c r="Q82" s="48" t="s">
        <v>2196</v>
      </c>
    </row>
    <row r="83" ht="63.0" customHeight="1">
      <c r="A83" s="80" t="s">
        <v>20</v>
      </c>
      <c r="B83" s="81" t="s">
        <v>2464</v>
      </c>
      <c r="C83" s="80" t="s">
        <v>22</v>
      </c>
      <c r="D83" s="80">
        <v>9.0</v>
      </c>
      <c r="E83" s="82" t="s">
        <v>2257</v>
      </c>
      <c r="F83" s="80"/>
      <c r="G83" s="80" t="s">
        <v>2233</v>
      </c>
      <c r="H83" s="80" t="s">
        <v>2258</v>
      </c>
      <c r="I83" s="83" t="s">
        <v>2259</v>
      </c>
      <c r="J83" s="80"/>
      <c r="K83" s="84"/>
      <c r="L83" s="84"/>
      <c r="M83" s="80"/>
      <c r="N83" s="82" t="s">
        <v>2235</v>
      </c>
      <c r="O83" s="80" t="s">
        <v>2235</v>
      </c>
      <c r="P83" s="85" t="s">
        <v>2235</v>
      </c>
      <c r="Q83" s="85" t="s">
        <v>2235</v>
      </c>
    </row>
    <row r="84" ht="100.5" customHeight="1">
      <c r="A84" s="65" t="s">
        <v>20</v>
      </c>
      <c r="B84" s="65" t="s">
        <v>2464</v>
      </c>
      <c r="C84" s="65" t="s">
        <v>22</v>
      </c>
      <c r="D84" s="65">
        <v>10.0</v>
      </c>
      <c r="E84" s="67" t="s">
        <v>2260</v>
      </c>
      <c r="F84" s="65"/>
      <c r="G84" s="65" t="s">
        <v>2233</v>
      </c>
      <c r="H84" s="65" t="s">
        <v>2261</v>
      </c>
      <c r="I84" s="69" t="s">
        <v>2519</v>
      </c>
      <c r="J84" s="70"/>
      <c r="K84" s="70"/>
      <c r="L84" s="70"/>
      <c r="M84" s="65" t="s">
        <v>2235</v>
      </c>
      <c r="N84" s="67" t="s">
        <v>2235</v>
      </c>
      <c r="O84" s="65" t="s">
        <v>2236</v>
      </c>
      <c r="P84" s="70" t="s">
        <v>2235</v>
      </c>
      <c r="Q84" s="70"/>
    </row>
    <row r="85" ht="92.25" customHeight="1">
      <c r="A85" s="87" t="s">
        <v>20</v>
      </c>
      <c r="B85" s="87" t="s">
        <v>2464</v>
      </c>
      <c r="C85" s="87" t="s">
        <v>22</v>
      </c>
      <c r="D85" s="87">
        <v>11.0</v>
      </c>
      <c r="E85" s="162" t="s">
        <v>2263</v>
      </c>
      <c r="F85" s="100"/>
      <c r="G85" s="87" t="s">
        <v>2233</v>
      </c>
      <c r="H85" s="87" t="s">
        <v>2264</v>
      </c>
      <c r="I85" s="90" t="s">
        <v>2265</v>
      </c>
      <c r="J85" s="91"/>
      <c r="K85" s="91"/>
      <c r="L85" s="91"/>
      <c r="M85" s="87"/>
      <c r="N85" s="92"/>
      <c r="O85" s="87"/>
      <c r="P85" s="91"/>
      <c r="Q85" s="91"/>
    </row>
    <row r="86" ht="87.75" customHeight="1">
      <c r="A86" s="18" t="s">
        <v>20</v>
      </c>
      <c r="B86" s="18" t="s">
        <v>2464</v>
      </c>
      <c r="C86" s="18" t="s">
        <v>153</v>
      </c>
      <c r="D86" s="18">
        <v>12.0</v>
      </c>
      <c r="E86" s="45" t="s">
        <v>2266</v>
      </c>
      <c r="F86" s="18" t="s">
        <v>2520</v>
      </c>
      <c r="G86" s="10">
        <v>1.0</v>
      </c>
      <c r="H86" s="10">
        <v>21.0</v>
      </c>
      <c r="I86" s="79" t="s">
        <v>2521</v>
      </c>
      <c r="J86" s="48" t="s">
        <v>2193</v>
      </c>
      <c r="K86" s="94" t="s">
        <v>2522</v>
      </c>
      <c r="L86" s="94" t="s">
        <v>2523</v>
      </c>
      <c r="M86" s="48" t="s">
        <v>2210</v>
      </c>
      <c r="N86" s="48" t="s">
        <v>2524</v>
      </c>
      <c r="O86" s="158" t="s">
        <v>2525</v>
      </c>
      <c r="P86" s="48" t="s">
        <v>2196</v>
      </c>
      <c r="Q86" s="48" t="s">
        <v>2196</v>
      </c>
    </row>
    <row r="87" ht="81.75" customHeight="1">
      <c r="A87" s="20"/>
      <c r="B87" s="20"/>
      <c r="C87" s="20"/>
      <c r="D87" s="20"/>
      <c r="E87" s="20"/>
      <c r="F87" s="19"/>
      <c r="G87" s="10">
        <v>2.0</v>
      </c>
      <c r="H87" s="10">
        <v>22.0</v>
      </c>
      <c r="I87" s="79" t="s">
        <v>2526</v>
      </c>
      <c r="J87" s="48" t="s">
        <v>2240</v>
      </c>
      <c r="K87" s="94" t="s">
        <v>2527</v>
      </c>
      <c r="L87" s="94" t="s">
        <v>2528</v>
      </c>
      <c r="M87" s="48" t="s">
        <v>2196</v>
      </c>
      <c r="N87" s="48" t="s">
        <v>2524</v>
      </c>
      <c r="O87" s="158" t="s">
        <v>2525</v>
      </c>
      <c r="P87" s="48" t="s">
        <v>2196</v>
      </c>
      <c r="Q87" s="48" t="s">
        <v>2196</v>
      </c>
    </row>
    <row r="88" ht="62.25" customHeight="1">
      <c r="A88" s="18" t="s">
        <v>20</v>
      </c>
      <c r="B88" s="18" t="s">
        <v>2464</v>
      </c>
      <c r="C88" s="18" t="s">
        <v>153</v>
      </c>
      <c r="D88" s="18">
        <v>13.0</v>
      </c>
      <c r="E88" s="45" t="s">
        <v>2274</v>
      </c>
      <c r="F88" s="19"/>
      <c r="G88" s="10">
        <v>3.0</v>
      </c>
      <c r="H88" s="10">
        <v>23.0</v>
      </c>
      <c r="I88" s="79" t="s">
        <v>2529</v>
      </c>
      <c r="J88" s="48" t="s">
        <v>2240</v>
      </c>
      <c r="K88" s="94" t="s">
        <v>2530</v>
      </c>
      <c r="L88" s="94" t="s">
        <v>2531</v>
      </c>
      <c r="M88" s="48" t="s">
        <v>2196</v>
      </c>
      <c r="N88" s="48" t="s">
        <v>2524</v>
      </c>
      <c r="O88" s="158" t="s">
        <v>2525</v>
      </c>
      <c r="P88" s="48" t="s">
        <v>2196</v>
      </c>
      <c r="Q88" s="48" t="s">
        <v>2196</v>
      </c>
    </row>
    <row r="89" ht="71.25" customHeight="1">
      <c r="A89" s="20"/>
      <c r="B89" s="20"/>
      <c r="C89" s="20"/>
      <c r="D89" s="20"/>
      <c r="E89" s="20"/>
      <c r="F89" s="20"/>
      <c r="G89" s="10">
        <v>4.0</v>
      </c>
      <c r="H89" s="10">
        <v>24.0</v>
      </c>
      <c r="I89" s="79" t="s">
        <v>2532</v>
      </c>
      <c r="J89" s="48" t="s">
        <v>2193</v>
      </c>
      <c r="K89" s="94" t="s">
        <v>2533</v>
      </c>
      <c r="L89" s="94" t="s">
        <v>2534</v>
      </c>
      <c r="M89" s="48" t="s">
        <v>2210</v>
      </c>
      <c r="N89" s="48" t="s">
        <v>2524</v>
      </c>
      <c r="O89" s="158" t="s">
        <v>2525</v>
      </c>
      <c r="P89" s="48" t="s">
        <v>2196</v>
      </c>
      <c r="Q89" s="48" t="s">
        <v>2196</v>
      </c>
    </row>
    <row r="90" ht="150.0" customHeight="1">
      <c r="A90" s="65" t="s">
        <v>20</v>
      </c>
      <c r="B90" s="65" t="s">
        <v>2464</v>
      </c>
      <c r="C90" s="65" t="s">
        <v>153</v>
      </c>
      <c r="D90" s="65">
        <v>14.0</v>
      </c>
      <c r="E90" s="67" t="s">
        <v>2281</v>
      </c>
      <c r="F90" s="65"/>
      <c r="G90" s="65" t="s">
        <v>2233</v>
      </c>
      <c r="H90" s="65" t="s">
        <v>2282</v>
      </c>
      <c r="I90" s="69" t="s">
        <v>2535</v>
      </c>
      <c r="J90" s="70"/>
      <c r="K90" s="70"/>
      <c r="L90" s="70"/>
      <c r="M90" s="65" t="s">
        <v>2235</v>
      </c>
      <c r="N90" s="67" t="s">
        <v>2235</v>
      </c>
      <c r="O90" s="65" t="s">
        <v>2236</v>
      </c>
      <c r="P90" s="70" t="s">
        <v>2235</v>
      </c>
      <c r="Q90" s="70"/>
    </row>
    <row r="91" ht="100.5" customHeight="1">
      <c r="A91" s="18" t="s">
        <v>20</v>
      </c>
      <c r="B91" s="18" t="s">
        <v>2464</v>
      </c>
      <c r="C91" s="18" t="s">
        <v>153</v>
      </c>
      <c r="D91" s="18">
        <v>15.0</v>
      </c>
      <c r="E91" s="45" t="s">
        <v>2284</v>
      </c>
      <c r="F91" s="56" t="s">
        <v>2536</v>
      </c>
      <c r="G91" s="48">
        <v>1.0</v>
      </c>
      <c r="H91" s="48">
        <v>27.0</v>
      </c>
      <c r="I91" s="46" t="s">
        <v>2537</v>
      </c>
      <c r="J91" s="49" t="s">
        <v>2240</v>
      </c>
      <c r="K91" s="163" t="s">
        <v>2538</v>
      </c>
      <c r="L91" s="163" t="s">
        <v>2539</v>
      </c>
      <c r="M91" s="49" t="s">
        <v>2196</v>
      </c>
      <c r="N91" s="49" t="s">
        <v>2540</v>
      </c>
      <c r="O91" s="49" t="s">
        <v>2541</v>
      </c>
      <c r="P91" s="164"/>
      <c r="Q91" s="164"/>
    </row>
    <row r="92" ht="100.5" customHeight="1">
      <c r="A92" s="20"/>
      <c r="B92" s="20"/>
      <c r="C92" s="20"/>
      <c r="D92" s="20"/>
      <c r="E92" s="20"/>
      <c r="F92" s="19"/>
      <c r="G92" s="48">
        <v>2.0</v>
      </c>
      <c r="H92" s="48">
        <v>28.0</v>
      </c>
      <c r="I92" s="46" t="s">
        <v>2542</v>
      </c>
      <c r="J92" s="49" t="s">
        <v>2240</v>
      </c>
      <c r="K92" s="163" t="s">
        <v>2543</v>
      </c>
      <c r="L92" s="163" t="s">
        <v>2544</v>
      </c>
      <c r="M92" s="49" t="s">
        <v>2196</v>
      </c>
      <c r="N92" s="49" t="s">
        <v>2540</v>
      </c>
      <c r="O92" s="49" t="s">
        <v>2541</v>
      </c>
      <c r="P92" s="164"/>
      <c r="Q92" s="164"/>
    </row>
    <row r="93" ht="100.5" customHeight="1">
      <c r="A93" s="18" t="s">
        <v>20</v>
      </c>
      <c r="B93" s="18" t="s">
        <v>2464</v>
      </c>
      <c r="C93" s="18" t="s">
        <v>153</v>
      </c>
      <c r="D93" s="59">
        <v>16.0</v>
      </c>
      <c r="E93" s="45" t="s">
        <v>2294</v>
      </c>
      <c r="F93" s="19"/>
      <c r="G93" s="48">
        <v>3.0</v>
      </c>
      <c r="H93" s="48">
        <v>29.0</v>
      </c>
      <c r="I93" s="46" t="s">
        <v>2545</v>
      </c>
      <c r="J93" s="49" t="s">
        <v>2240</v>
      </c>
      <c r="K93" s="163" t="s">
        <v>2546</v>
      </c>
      <c r="L93" s="163" t="s">
        <v>2547</v>
      </c>
      <c r="M93" s="49" t="s">
        <v>2196</v>
      </c>
      <c r="N93" s="49" t="s">
        <v>2540</v>
      </c>
      <c r="O93" s="49" t="s">
        <v>2541</v>
      </c>
      <c r="P93" s="164"/>
      <c r="Q93" s="164"/>
    </row>
    <row r="94" ht="100.5" customHeight="1">
      <c r="A94" s="20"/>
      <c r="B94" s="20"/>
      <c r="C94" s="20"/>
      <c r="D94" s="20"/>
      <c r="E94" s="20"/>
      <c r="F94" s="95"/>
      <c r="G94" s="48">
        <v>4.0</v>
      </c>
      <c r="H94" s="48">
        <v>30.0</v>
      </c>
      <c r="I94" s="46" t="s">
        <v>2548</v>
      </c>
      <c r="J94" s="49" t="s">
        <v>2240</v>
      </c>
      <c r="K94" s="163" t="s">
        <v>2549</v>
      </c>
      <c r="L94" s="163" t="s">
        <v>2550</v>
      </c>
      <c r="M94" s="49" t="s">
        <v>2210</v>
      </c>
      <c r="N94" s="49" t="s">
        <v>2540</v>
      </c>
      <c r="O94" s="49" t="s">
        <v>2541</v>
      </c>
      <c r="P94" s="164"/>
      <c r="Q94" s="164"/>
    </row>
    <row r="95" ht="68.25" customHeight="1">
      <c r="A95" s="80" t="s">
        <v>20</v>
      </c>
      <c r="B95" s="81" t="s">
        <v>2464</v>
      </c>
      <c r="C95" s="80" t="s">
        <v>153</v>
      </c>
      <c r="D95" s="80">
        <v>17.0</v>
      </c>
      <c r="E95" s="82" t="s">
        <v>2303</v>
      </c>
      <c r="F95" s="80"/>
      <c r="G95" s="80" t="s">
        <v>2233</v>
      </c>
      <c r="H95" s="80" t="s">
        <v>2304</v>
      </c>
      <c r="I95" s="83" t="s">
        <v>2259</v>
      </c>
      <c r="J95" s="80"/>
      <c r="K95" s="84"/>
      <c r="L95" s="84"/>
      <c r="M95" s="80"/>
      <c r="N95" s="82" t="s">
        <v>2235</v>
      </c>
      <c r="O95" s="80" t="s">
        <v>2235</v>
      </c>
      <c r="P95" s="85" t="s">
        <v>2235</v>
      </c>
      <c r="Q95" s="85" t="s">
        <v>2235</v>
      </c>
    </row>
    <row r="96" ht="100.5" customHeight="1">
      <c r="A96" s="18" t="s">
        <v>20</v>
      </c>
      <c r="B96" s="18" t="s">
        <v>2464</v>
      </c>
      <c r="C96" s="18" t="s">
        <v>153</v>
      </c>
      <c r="D96" s="59">
        <v>18.0</v>
      </c>
      <c r="E96" s="45" t="s">
        <v>2305</v>
      </c>
      <c r="F96" s="56" t="s">
        <v>2536</v>
      </c>
      <c r="G96" s="48">
        <v>5.0</v>
      </c>
      <c r="H96" s="48">
        <v>33.0</v>
      </c>
      <c r="I96" s="79" t="s">
        <v>2551</v>
      </c>
      <c r="J96" s="48" t="s">
        <v>2240</v>
      </c>
      <c r="K96" s="94" t="s">
        <v>2552</v>
      </c>
      <c r="L96" s="94" t="s">
        <v>2553</v>
      </c>
      <c r="M96" s="48" t="s">
        <v>2196</v>
      </c>
      <c r="N96" s="48" t="s">
        <v>2540</v>
      </c>
      <c r="O96" s="48" t="s">
        <v>2541</v>
      </c>
      <c r="P96" s="165"/>
      <c r="Q96" s="165"/>
    </row>
    <row r="97" ht="100.5" customHeight="1">
      <c r="A97" s="20"/>
      <c r="B97" s="20"/>
      <c r="C97" s="20"/>
      <c r="D97" s="20"/>
      <c r="E97" s="20"/>
      <c r="F97" s="19"/>
      <c r="G97" s="48">
        <v>6.0</v>
      </c>
      <c r="H97" s="48">
        <v>34.0</v>
      </c>
      <c r="I97" s="79" t="s">
        <v>2554</v>
      </c>
      <c r="J97" s="48" t="s">
        <v>2193</v>
      </c>
      <c r="K97" s="94" t="s">
        <v>2555</v>
      </c>
      <c r="L97" s="94" t="s">
        <v>2556</v>
      </c>
      <c r="M97" s="48" t="s">
        <v>2196</v>
      </c>
      <c r="N97" s="48" t="s">
        <v>2540</v>
      </c>
      <c r="O97" s="48" t="s">
        <v>2541</v>
      </c>
      <c r="P97" s="165"/>
      <c r="Q97" s="165"/>
    </row>
    <row r="98" ht="100.5" customHeight="1">
      <c r="A98" s="18" t="s">
        <v>20</v>
      </c>
      <c r="B98" s="18" t="s">
        <v>2464</v>
      </c>
      <c r="C98" s="18" t="s">
        <v>153</v>
      </c>
      <c r="D98" s="59">
        <v>19.0</v>
      </c>
      <c r="E98" s="45" t="s">
        <v>2315</v>
      </c>
      <c r="F98" s="19"/>
      <c r="G98" s="48">
        <v>7.0</v>
      </c>
      <c r="H98" s="48">
        <v>35.0</v>
      </c>
      <c r="I98" s="79" t="s">
        <v>2557</v>
      </c>
      <c r="J98" s="48" t="s">
        <v>2240</v>
      </c>
      <c r="K98" s="94" t="s">
        <v>2558</v>
      </c>
      <c r="L98" s="94" t="s">
        <v>2559</v>
      </c>
      <c r="M98" s="48" t="s">
        <v>2196</v>
      </c>
      <c r="N98" s="48" t="s">
        <v>2540</v>
      </c>
      <c r="O98" s="48" t="s">
        <v>2541</v>
      </c>
      <c r="P98" s="165"/>
      <c r="Q98" s="165"/>
    </row>
    <row r="99" ht="100.5" customHeight="1">
      <c r="A99" s="20"/>
      <c r="B99" s="20"/>
      <c r="C99" s="20"/>
      <c r="D99" s="20"/>
      <c r="E99" s="20"/>
      <c r="F99" s="95"/>
      <c r="G99" s="48">
        <v>8.0</v>
      </c>
      <c r="H99" s="48">
        <v>36.0</v>
      </c>
      <c r="I99" s="79" t="s">
        <v>2560</v>
      </c>
      <c r="J99" s="48" t="s">
        <v>2240</v>
      </c>
      <c r="K99" s="94" t="s">
        <v>2561</v>
      </c>
      <c r="L99" s="94" t="s">
        <v>2562</v>
      </c>
      <c r="M99" s="48" t="s">
        <v>2210</v>
      </c>
      <c r="N99" s="48" t="s">
        <v>2540</v>
      </c>
      <c r="O99" s="48" t="s">
        <v>2541</v>
      </c>
      <c r="P99" s="165"/>
      <c r="Q99" s="165"/>
    </row>
    <row r="100" ht="100.5" customHeight="1">
      <c r="A100" s="65" t="s">
        <v>20</v>
      </c>
      <c r="B100" s="65" t="s">
        <v>2464</v>
      </c>
      <c r="C100" s="65" t="s">
        <v>153</v>
      </c>
      <c r="D100" s="65">
        <v>20.0</v>
      </c>
      <c r="E100" s="67" t="s">
        <v>2322</v>
      </c>
      <c r="F100" s="65"/>
      <c r="G100" s="65" t="s">
        <v>2233</v>
      </c>
      <c r="H100" s="65" t="s">
        <v>2323</v>
      </c>
      <c r="I100" s="98" t="s">
        <v>2563</v>
      </c>
      <c r="J100" s="70"/>
      <c r="K100" s="70"/>
      <c r="L100" s="70"/>
      <c r="M100" s="65" t="s">
        <v>2235</v>
      </c>
      <c r="N100" s="67" t="s">
        <v>2235</v>
      </c>
      <c r="O100" s="65" t="s">
        <v>2236</v>
      </c>
      <c r="P100" s="70" t="s">
        <v>2235</v>
      </c>
      <c r="Q100" s="70"/>
    </row>
    <row r="101" ht="92.25" customHeight="1">
      <c r="A101" s="87" t="s">
        <v>20</v>
      </c>
      <c r="B101" s="87" t="s">
        <v>2464</v>
      </c>
      <c r="C101" s="87" t="s">
        <v>153</v>
      </c>
      <c r="D101" s="87">
        <v>21.0</v>
      </c>
      <c r="E101" s="99" t="s">
        <v>2325</v>
      </c>
      <c r="F101" s="100"/>
      <c r="G101" s="87" t="s">
        <v>2233</v>
      </c>
      <c r="H101" s="87" t="s">
        <v>2326</v>
      </c>
      <c r="I101" s="90" t="s">
        <v>2564</v>
      </c>
      <c r="J101" s="91"/>
      <c r="K101" s="91"/>
      <c r="L101" s="91"/>
      <c r="M101" s="87"/>
      <c r="N101" s="92"/>
      <c r="O101" s="87"/>
      <c r="P101" s="91"/>
      <c r="Q101" s="91"/>
    </row>
    <row r="102" ht="93.0" customHeight="1">
      <c r="A102" s="101" t="s">
        <v>20</v>
      </c>
      <c r="B102" s="104" t="s">
        <v>2464</v>
      </c>
      <c r="C102" s="103" t="s">
        <v>264</v>
      </c>
      <c r="D102" s="104">
        <v>26.0</v>
      </c>
      <c r="E102" s="105" t="s">
        <v>2327</v>
      </c>
      <c r="F102" s="104" t="s">
        <v>2565</v>
      </c>
      <c r="G102" s="101">
        <v>1.0</v>
      </c>
      <c r="H102" s="101">
        <v>1.0</v>
      </c>
      <c r="I102" s="106" t="s">
        <v>2566</v>
      </c>
      <c r="J102" s="110" t="s">
        <v>2240</v>
      </c>
      <c r="K102" s="106" t="s">
        <v>2567</v>
      </c>
      <c r="L102" s="106" t="s">
        <v>2568</v>
      </c>
      <c r="M102" s="110" t="s">
        <v>2196</v>
      </c>
      <c r="N102" s="113" t="s">
        <v>2569</v>
      </c>
      <c r="O102" s="110" t="s">
        <v>2570</v>
      </c>
      <c r="P102" s="110" t="s">
        <v>2571</v>
      </c>
      <c r="Q102" s="110" t="s">
        <v>2572</v>
      </c>
    </row>
    <row r="103" ht="93.0" customHeight="1">
      <c r="A103" s="101" t="s">
        <v>20</v>
      </c>
      <c r="B103" s="20"/>
      <c r="C103" s="20"/>
      <c r="D103" s="20"/>
      <c r="E103" s="20"/>
      <c r="F103" s="19"/>
      <c r="G103" s="101">
        <v>2.0</v>
      </c>
      <c r="H103" s="101">
        <v>2.0</v>
      </c>
      <c r="I103" s="106" t="s">
        <v>2573</v>
      </c>
      <c r="J103" s="110" t="s">
        <v>2240</v>
      </c>
      <c r="K103" s="106" t="s">
        <v>2574</v>
      </c>
      <c r="L103" s="106" t="s">
        <v>2575</v>
      </c>
      <c r="M103" s="110" t="s">
        <v>2196</v>
      </c>
      <c r="N103" s="113" t="s">
        <v>2576</v>
      </c>
      <c r="O103" s="110" t="s">
        <v>2577</v>
      </c>
      <c r="P103" s="110" t="s">
        <v>2571</v>
      </c>
      <c r="Q103" s="110" t="s">
        <v>2572</v>
      </c>
    </row>
    <row r="104" ht="93.0" customHeight="1">
      <c r="A104" s="101" t="s">
        <v>20</v>
      </c>
      <c r="B104" s="104" t="s">
        <v>2464</v>
      </c>
      <c r="C104" s="103" t="s">
        <v>264</v>
      </c>
      <c r="D104" s="104">
        <v>27.0</v>
      </c>
      <c r="E104" s="105" t="s">
        <v>2339</v>
      </c>
      <c r="F104" s="19"/>
      <c r="G104" s="101">
        <v>3.0</v>
      </c>
      <c r="H104" s="101">
        <v>3.0</v>
      </c>
      <c r="I104" s="106" t="s">
        <v>2578</v>
      </c>
      <c r="J104" s="110" t="s">
        <v>2240</v>
      </c>
      <c r="K104" s="106" t="s">
        <v>2579</v>
      </c>
      <c r="L104" s="106" t="s">
        <v>2580</v>
      </c>
      <c r="M104" s="110" t="s">
        <v>2196</v>
      </c>
      <c r="N104" s="113" t="s">
        <v>2581</v>
      </c>
      <c r="O104" s="110" t="s">
        <v>2582</v>
      </c>
      <c r="P104" s="110" t="s">
        <v>2571</v>
      </c>
      <c r="Q104" s="110" t="s">
        <v>2572</v>
      </c>
    </row>
    <row r="105" ht="93.0" customHeight="1">
      <c r="A105" s="101" t="s">
        <v>20</v>
      </c>
      <c r="B105" s="20"/>
      <c r="C105" s="20"/>
      <c r="D105" s="20"/>
      <c r="E105" s="20"/>
      <c r="F105" s="19"/>
      <c r="G105" s="101">
        <v>4.0</v>
      </c>
      <c r="H105" s="101">
        <v>4.0</v>
      </c>
      <c r="I105" s="106" t="s">
        <v>2583</v>
      </c>
      <c r="J105" s="110" t="s">
        <v>2240</v>
      </c>
      <c r="K105" s="166" t="s">
        <v>2584</v>
      </c>
      <c r="L105" s="106" t="s">
        <v>2585</v>
      </c>
      <c r="M105" s="110" t="s">
        <v>2210</v>
      </c>
      <c r="N105" s="113" t="s">
        <v>2569</v>
      </c>
      <c r="O105" s="110" t="s">
        <v>2570</v>
      </c>
      <c r="P105" s="110" t="s">
        <v>2571</v>
      </c>
      <c r="Q105" s="110" t="s">
        <v>2572</v>
      </c>
    </row>
    <row r="106" ht="93.0" customHeight="1">
      <c r="A106" s="102" t="s">
        <v>20</v>
      </c>
      <c r="B106" s="104" t="s">
        <v>2464</v>
      </c>
      <c r="C106" s="103" t="s">
        <v>264</v>
      </c>
      <c r="D106" s="102">
        <v>28.0</v>
      </c>
      <c r="E106" s="111" t="s">
        <v>2347</v>
      </c>
      <c r="F106" s="19"/>
      <c r="G106" s="112">
        <v>5.0</v>
      </c>
      <c r="H106" s="112">
        <v>5.0</v>
      </c>
      <c r="I106" s="106" t="s">
        <v>2586</v>
      </c>
      <c r="J106" s="110" t="s">
        <v>2240</v>
      </c>
      <c r="K106" s="106" t="s">
        <v>2587</v>
      </c>
      <c r="L106" s="106" t="s">
        <v>2588</v>
      </c>
      <c r="M106" s="110" t="s">
        <v>2196</v>
      </c>
      <c r="N106" s="113" t="s">
        <v>2581</v>
      </c>
      <c r="O106" s="110" t="s">
        <v>2582</v>
      </c>
      <c r="P106" s="110" t="s">
        <v>2571</v>
      </c>
      <c r="Q106" s="110" t="s">
        <v>2572</v>
      </c>
    </row>
    <row r="107" ht="93.0" customHeight="1">
      <c r="A107" s="20"/>
      <c r="B107" s="20"/>
      <c r="C107" s="20"/>
      <c r="D107" s="19"/>
      <c r="E107" s="19"/>
      <c r="F107" s="19"/>
      <c r="G107" s="101">
        <v>6.0</v>
      </c>
      <c r="H107" s="101">
        <v>6.0</v>
      </c>
      <c r="I107" s="106" t="s">
        <v>2589</v>
      </c>
      <c r="J107" s="110" t="s">
        <v>2240</v>
      </c>
      <c r="K107" s="106" t="s">
        <v>2590</v>
      </c>
      <c r="L107" s="106" t="s">
        <v>2591</v>
      </c>
      <c r="M107" s="110" t="s">
        <v>2196</v>
      </c>
      <c r="N107" s="113" t="s">
        <v>2576</v>
      </c>
      <c r="O107" s="110" t="s">
        <v>2577</v>
      </c>
      <c r="P107" s="110" t="s">
        <v>2571</v>
      </c>
      <c r="Q107" s="110" t="s">
        <v>2572</v>
      </c>
    </row>
    <row r="108" ht="93.0" customHeight="1">
      <c r="A108" s="102" t="s">
        <v>20</v>
      </c>
      <c r="B108" s="104" t="s">
        <v>2464</v>
      </c>
      <c r="C108" s="103" t="s">
        <v>264</v>
      </c>
      <c r="D108" s="102">
        <v>29.0</v>
      </c>
      <c r="E108" s="114" t="s">
        <v>2354</v>
      </c>
      <c r="F108" s="19"/>
      <c r="G108" s="101">
        <v>7.0</v>
      </c>
      <c r="H108" s="101">
        <v>7.0</v>
      </c>
      <c r="I108" s="106" t="s">
        <v>2592</v>
      </c>
      <c r="J108" s="110" t="s">
        <v>2240</v>
      </c>
      <c r="K108" s="106" t="s">
        <v>2593</v>
      </c>
      <c r="L108" s="106" t="s">
        <v>2594</v>
      </c>
      <c r="M108" s="110" t="s">
        <v>2196</v>
      </c>
      <c r="N108" s="113" t="s">
        <v>2581</v>
      </c>
      <c r="O108" s="110" t="s">
        <v>2595</v>
      </c>
      <c r="P108" s="110" t="s">
        <v>2571</v>
      </c>
      <c r="Q108" s="110" t="s">
        <v>2572</v>
      </c>
    </row>
    <row r="109" ht="93.0" customHeight="1">
      <c r="A109" s="20"/>
      <c r="B109" s="20"/>
      <c r="C109" s="20"/>
      <c r="D109" s="20"/>
      <c r="E109" s="20"/>
      <c r="F109" s="20"/>
      <c r="G109" s="101">
        <v>8.0</v>
      </c>
      <c r="H109" s="101">
        <v>8.0</v>
      </c>
      <c r="I109" s="106" t="s">
        <v>2596</v>
      </c>
      <c r="J109" s="110" t="s">
        <v>2240</v>
      </c>
      <c r="K109" s="106" t="s">
        <v>2597</v>
      </c>
      <c r="L109" s="106" t="s">
        <v>2598</v>
      </c>
      <c r="M109" s="110" t="s">
        <v>2210</v>
      </c>
      <c r="N109" s="113" t="s">
        <v>2581</v>
      </c>
      <c r="O109" s="110" t="s">
        <v>2595</v>
      </c>
      <c r="P109" s="110" t="s">
        <v>2571</v>
      </c>
      <c r="Q109" s="110" t="s">
        <v>2572</v>
      </c>
    </row>
    <row r="110" ht="93.0" customHeight="1">
      <c r="A110" s="115" t="s">
        <v>20</v>
      </c>
      <c r="B110" s="115" t="s">
        <v>2464</v>
      </c>
      <c r="C110" s="116" t="s">
        <v>264</v>
      </c>
      <c r="D110" s="115">
        <v>30.0</v>
      </c>
      <c r="E110" s="117" t="s">
        <v>2363</v>
      </c>
      <c r="F110" s="115" t="s">
        <v>2599</v>
      </c>
      <c r="G110" s="132"/>
      <c r="H110" s="115" t="s">
        <v>1709</v>
      </c>
      <c r="I110" s="120" t="s">
        <v>2599</v>
      </c>
      <c r="J110" s="121"/>
      <c r="K110" s="121"/>
      <c r="L110" s="121"/>
      <c r="M110" s="121"/>
      <c r="N110" s="134"/>
      <c r="O110" s="121"/>
      <c r="P110" s="121"/>
      <c r="Q110" s="121"/>
    </row>
    <row r="111" ht="93.0" customHeight="1">
      <c r="A111" s="102" t="s">
        <v>20</v>
      </c>
      <c r="B111" s="102" t="s">
        <v>2464</v>
      </c>
      <c r="C111" s="103" t="s">
        <v>264</v>
      </c>
      <c r="D111" s="122">
        <v>31.0</v>
      </c>
      <c r="E111" s="114" t="s">
        <v>2365</v>
      </c>
      <c r="F111" s="102" t="s">
        <v>2600</v>
      </c>
      <c r="G111" s="167">
        <v>1.0</v>
      </c>
      <c r="H111" s="167">
        <v>11.0</v>
      </c>
      <c r="I111" s="168" t="s">
        <v>2601</v>
      </c>
      <c r="J111" s="169" t="s">
        <v>2240</v>
      </c>
      <c r="K111" s="168" t="s">
        <v>2602</v>
      </c>
      <c r="L111" s="168" t="s">
        <v>2603</v>
      </c>
      <c r="M111" s="169" t="s">
        <v>2196</v>
      </c>
      <c r="N111" s="170" t="s">
        <v>2604</v>
      </c>
      <c r="O111" s="107" t="s">
        <v>2605</v>
      </c>
      <c r="P111" s="169" t="s">
        <v>2196</v>
      </c>
      <c r="Q111" s="169" t="s">
        <v>2196</v>
      </c>
    </row>
    <row r="112" ht="93.0" customHeight="1">
      <c r="A112" s="20"/>
      <c r="B112" s="20"/>
      <c r="C112" s="20"/>
      <c r="D112" s="123"/>
      <c r="E112" s="20"/>
      <c r="F112" s="19"/>
      <c r="G112" s="171">
        <v>2.0</v>
      </c>
      <c r="H112" s="101">
        <v>12.0</v>
      </c>
      <c r="I112" s="106" t="s">
        <v>2606</v>
      </c>
      <c r="J112" s="110" t="s">
        <v>2240</v>
      </c>
      <c r="K112" s="106" t="s">
        <v>2607</v>
      </c>
      <c r="L112" s="106" t="s">
        <v>2608</v>
      </c>
      <c r="M112" s="110" t="s">
        <v>2196</v>
      </c>
      <c r="N112" s="170" t="s">
        <v>2604</v>
      </c>
      <c r="O112" s="107" t="s">
        <v>2605</v>
      </c>
      <c r="P112" s="110" t="s">
        <v>2196</v>
      </c>
      <c r="Q112" s="110" t="s">
        <v>2196</v>
      </c>
    </row>
    <row r="113" ht="93.0" customHeight="1">
      <c r="A113" s="101" t="s">
        <v>20</v>
      </c>
      <c r="B113" s="104" t="s">
        <v>2464</v>
      </c>
      <c r="C113" s="103" t="s">
        <v>264</v>
      </c>
      <c r="D113" s="122">
        <v>32.0</v>
      </c>
      <c r="E113" s="114" t="s">
        <v>2376</v>
      </c>
      <c r="F113" s="19"/>
      <c r="G113" s="171">
        <v>3.0</v>
      </c>
      <c r="H113" s="101">
        <v>13.0</v>
      </c>
      <c r="I113" s="106" t="s">
        <v>2609</v>
      </c>
      <c r="J113" s="110" t="s">
        <v>2240</v>
      </c>
      <c r="K113" s="106" t="s">
        <v>2610</v>
      </c>
      <c r="L113" s="106" t="s">
        <v>2611</v>
      </c>
      <c r="M113" s="110" t="s">
        <v>2196</v>
      </c>
      <c r="N113" s="170" t="s">
        <v>2604</v>
      </c>
      <c r="O113" s="107" t="s">
        <v>2605</v>
      </c>
      <c r="P113" s="110" t="s">
        <v>2196</v>
      </c>
      <c r="Q113" s="110" t="s">
        <v>2196</v>
      </c>
    </row>
    <row r="114" ht="93.0" customHeight="1">
      <c r="A114" s="101" t="s">
        <v>20</v>
      </c>
      <c r="B114" s="20"/>
      <c r="C114" s="20"/>
      <c r="D114" s="123"/>
      <c r="E114" s="20"/>
      <c r="F114" s="20"/>
      <c r="G114" s="171">
        <v>4.0</v>
      </c>
      <c r="H114" s="101">
        <v>14.0</v>
      </c>
      <c r="I114" s="106" t="s">
        <v>2612</v>
      </c>
      <c r="J114" s="110" t="s">
        <v>2240</v>
      </c>
      <c r="K114" s="106" t="s">
        <v>2613</v>
      </c>
      <c r="L114" s="106" t="s">
        <v>2614</v>
      </c>
      <c r="M114" s="110" t="s">
        <v>2210</v>
      </c>
      <c r="N114" s="170" t="s">
        <v>2604</v>
      </c>
      <c r="O114" s="107" t="s">
        <v>2605</v>
      </c>
      <c r="P114" s="110" t="s">
        <v>2196</v>
      </c>
      <c r="Q114" s="110" t="s">
        <v>2196</v>
      </c>
    </row>
    <row r="115" ht="93.0" customHeight="1">
      <c r="A115" s="127" t="s">
        <v>20</v>
      </c>
      <c r="B115" s="127" t="s">
        <v>2464</v>
      </c>
      <c r="C115" s="128" t="s">
        <v>264</v>
      </c>
      <c r="D115" s="127">
        <v>33.0</v>
      </c>
      <c r="E115" s="129" t="s">
        <v>2385</v>
      </c>
      <c r="F115" s="127" t="s">
        <v>2259</v>
      </c>
      <c r="G115" s="172"/>
      <c r="H115" s="172" t="s">
        <v>2258</v>
      </c>
      <c r="I115" s="131"/>
      <c r="J115" s="131"/>
      <c r="K115" s="131"/>
      <c r="L115" s="131"/>
      <c r="M115" s="131"/>
      <c r="N115" s="173"/>
      <c r="O115" s="131"/>
      <c r="P115" s="131"/>
      <c r="Q115" s="131"/>
    </row>
    <row r="116" ht="93.0" customHeight="1">
      <c r="A116" s="132" t="s">
        <v>20</v>
      </c>
      <c r="B116" s="115" t="s">
        <v>2464</v>
      </c>
      <c r="C116" s="116" t="s">
        <v>264</v>
      </c>
      <c r="D116" s="132">
        <v>34.0</v>
      </c>
      <c r="E116" s="133" t="s">
        <v>2386</v>
      </c>
      <c r="F116" s="115" t="s">
        <v>2615</v>
      </c>
      <c r="G116" s="132"/>
      <c r="H116" s="115" t="s">
        <v>2261</v>
      </c>
      <c r="I116" s="120" t="s">
        <v>2615</v>
      </c>
      <c r="J116" s="121"/>
      <c r="K116" s="121"/>
      <c r="L116" s="121"/>
      <c r="M116" s="121"/>
      <c r="N116" s="134"/>
      <c r="O116" s="121"/>
      <c r="P116" s="121"/>
      <c r="Q116" s="121"/>
    </row>
    <row r="117" ht="93.0" customHeight="1">
      <c r="A117" s="102" t="s">
        <v>20</v>
      </c>
      <c r="B117" s="102" t="s">
        <v>2464</v>
      </c>
      <c r="C117" s="103" t="s">
        <v>264</v>
      </c>
      <c r="D117" s="102">
        <v>35.0</v>
      </c>
      <c r="E117" s="114" t="s">
        <v>2388</v>
      </c>
      <c r="F117" s="102" t="s">
        <v>2616</v>
      </c>
      <c r="G117" s="146">
        <v>1.0</v>
      </c>
      <c r="H117" s="146">
        <v>19.0</v>
      </c>
      <c r="I117" s="174" t="s">
        <v>2617</v>
      </c>
      <c r="J117" s="148" t="s">
        <v>2193</v>
      </c>
      <c r="K117" s="147" t="s">
        <v>2618</v>
      </c>
      <c r="L117" s="147" t="s">
        <v>2619</v>
      </c>
      <c r="M117" s="148" t="s">
        <v>2196</v>
      </c>
      <c r="N117" s="113" t="s">
        <v>2620</v>
      </c>
      <c r="O117" s="110" t="s">
        <v>2621</v>
      </c>
      <c r="P117" s="148" t="s">
        <v>2196</v>
      </c>
      <c r="Q117" s="148" t="s">
        <v>2196</v>
      </c>
    </row>
    <row r="118" ht="93.0" customHeight="1">
      <c r="A118" s="20"/>
      <c r="B118" s="20"/>
      <c r="C118" s="20"/>
      <c r="D118" s="20"/>
      <c r="E118" s="20"/>
      <c r="F118" s="19"/>
      <c r="G118" s="112">
        <v>2.0</v>
      </c>
      <c r="H118" s="112">
        <v>20.0</v>
      </c>
      <c r="I118" s="106" t="s">
        <v>2622</v>
      </c>
      <c r="J118" s="110" t="s">
        <v>2193</v>
      </c>
      <c r="K118" s="106" t="s">
        <v>2623</v>
      </c>
      <c r="L118" s="106" t="s">
        <v>2624</v>
      </c>
      <c r="M118" s="110" t="s">
        <v>2196</v>
      </c>
      <c r="N118" s="113" t="s">
        <v>2620</v>
      </c>
      <c r="O118" s="110" t="s">
        <v>2621</v>
      </c>
      <c r="P118" s="110" t="s">
        <v>2196</v>
      </c>
      <c r="Q118" s="110" t="s">
        <v>2196</v>
      </c>
    </row>
    <row r="119" ht="93.0" customHeight="1">
      <c r="A119" s="102" t="s">
        <v>20</v>
      </c>
      <c r="B119" s="102" t="s">
        <v>2464</v>
      </c>
      <c r="C119" s="103" t="s">
        <v>264</v>
      </c>
      <c r="D119" s="102">
        <v>36.0</v>
      </c>
      <c r="E119" s="135" t="s">
        <v>2397</v>
      </c>
      <c r="F119" s="19"/>
      <c r="G119" s="136" t="s">
        <v>2233</v>
      </c>
      <c r="H119" s="137" t="s">
        <v>2398</v>
      </c>
      <c r="I119" s="138" t="s">
        <v>2399</v>
      </c>
      <c r="J119" s="139"/>
      <c r="K119" s="139"/>
      <c r="L119" s="139"/>
      <c r="M119" s="139"/>
      <c r="N119" s="140"/>
      <c r="O119" s="139"/>
      <c r="P119" s="139"/>
      <c r="Q119" s="139"/>
    </row>
    <row r="120" ht="93.0" customHeight="1">
      <c r="A120" s="19"/>
      <c r="B120" s="19"/>
      <c r="C120" s="19"/>
      <c r="D120" s="19"/>
      <c r="E120" s="141"/>
      <c r="F120" s="19"/>
      <c r="G120" s="101">
        <v>3.0</v>
      </c>
      <c r="H120" s="101">
        <v>21.0</v>
      </c>
      <c r="I120" s="106" t="s">
        <v>2625</v>
      </c>
      <c r="J120" s="110" t="s">
        <v>2193</v>
      </c>
      <c r="K120" s="106" t="s">
        <v>2626</v>
      </c>
      <c r="L120" s="106" t="s">
        <v>2627</v>
      </c>
      <c r="M120" s="110" t="s">
        <v>2196</v>
      </c>
      <c r="N120" s="113" t="s">
        <v>2620</v>
      </c>
      <c r="O120" s="110" t="s">
        <v>2621</v>
      </c>
      <c r="P120" s="110" t="s">
        <v>2196</v>
      </c>
      <c r="Q120" s="110" t="s">
        <v>2196</v>
      </c>
    </row>
    <row r="121" ht="93.0" customHeight="1">
      <c r="A121" s="20"/>
      <c r="B121" s="20"/>
      <c r="C121" s="20"/>
      <c r="D121" s="20"/>
      <c r="E121" s="141"/>
      <c r="F121" s="19"/>
      <c r="G121" s="101">
        <v>4.0</v>
      </c>
      <c r="H121" s="101">
        <v>22.0</v>
      </c>
      <c r="I121" s="106" t="s">
        <v>2628</v>
      </c>
      <c r="J121" s="110" t="s">
        <v>2193</v>
      </c>
      <c r="K121" s="106" t="s">
        <v>2629</v>
      </c>
      <c r="L121" s="106" t="s">
        <v>2630</v>
      </c>
      <c r="M121" s="110" t="s">
        <v>2210</v>
      </c>
      <c r="N121" s="113" t="s">
        <v>2620</v>
      </c>
      <c r="O121" s="110" t="s">
        <v>2621</v>
      </c>
      <c r="P121" s="110" t="s">
        <v>2196</v>
      </c>
      <c r="Q121" s="110" t="s">
        <v>2196</v>
      </c>
    </row>
    <row r="122" ht="93.0" customHeight="1">
      <c r="A122" s="127" t="s">
        <v>20</v>
      </c>
      <c r="B122" s="127" t="s">
        <v>2464</v>
      </c>
      <c r="C122" s="128" t="s">
        <v>313</v>
      </c>
      <c r="D122" s="127">
        <v>37.0</v>
      </c>
      <c r="E122" s="143" t="s">
        <v>2406</v>
      </c>
      <c r="F122" s="127" t="s">
        <v>2259</v>
      </c>
      <c r="G122" s="172"/>
      <c r="H122" s="127" t="s">
        <v>2407</v>
      </c>
      <c r="I122" s="131"/>
      <c r="J122" s="131"/>
      <c r="K122" s="131"/>
      <c r="L122" s="131"/>
      <c r="M122" s="131"/>
      <c r="N122" s="173"/>
      <c r="O122" s="173"/>
      <c r="P122" s="131"/>
      <c r="Q122" s="131"/>
    </row>
    <row r="123" ht="93.0" customHeight="1">
      <c r="A123" s="115" t="s">
        <v>20</v>
      </c>
      <c r="B123" s="115" t="s">
        <v>2464</v>
      </c>
      <c r="C123" s="116" t="s">
        <v>313</v>
      </c>
      <c r="D123" s="115">
        <v>38.0</v>
      </c>
      <c r="E123" s="144" t="s">
        <v>2408</v>
      </c>
      <c r="F123" s="115" t="s">
        <v>2631</v>
      </c>
      <c r="G123" s="132"/>
      <c r="H123" s="115" t="s">
        <v>2410</v>
      </c>
      <c r="I123" s="120" t="s">
        <v>2631</v>
      </c>
      <c r="J123" s="121"/>
      <c r="K123" s="121"/>
      <c r="L123" s="121"/>
      <c r="M123" s="121"/>
      <c r="N123" s="134"/>
      <c r="O123" s="121"/>
      <c r="P123" s="121"/>
      <c r="Q123" s="121"/>
    </row>
    <row r="124" ht="93.0" customHeight="1">
      <c r="A124" s="102" t="s">
        <v>20</v>
      </c>
      <c r="B124" s="102" t="s">
        <v>2464</v>
      </c>
      <c r="C124" s="103" t="s">
        <v>313</v>
      </c>
      <c r="D124" s="102">
        <v>39.0</v>
      </c>
      <c r="E124" s="114" t="s">
        <v>2411</v>
      </c>
      <c r="F124" s="102" t="s">
        <v>2632</v>
      </c>
      <c r="G124" s="112">
        <v>1.0</v>
      </c>
      <c r="H124" s="112">
        <v>26.0</v>
      </c>
      <c r="I124" s="106" t="s">
        <v>2633</v>
      </c>
      <c r="J124" s="110" t="s">
        <v>2240</v>
      </c>
      <c r="K124" s="106" t="s">
        <v>2634</v>
      </c>
      <c r="L124" s="106" t="s">
        <v>2635</v>
      </c>
      <c r="M124" s="110" t="s">
        <v>2196</v>
      </c>
      <c r="N124" s="113" t="s">
        <v>2636</v>
      </c>
      <c r="O124" s="110" t="s">
        <v>2637</v>
      </c>
      <c r="P124" s="110" t="s">
        <v>2196</v>
      </c>
      <c r="Q124" s="110" t="s">
        <v>2196</v>
      </c>
    </row>
    <row r="125" ht="93.0" customHeight="1">
      <c r="A125" s="20"/>
      <c r="B125" s="20"/>
      <c r="C125" s="20"/>
      <c r="D125" s="20"/>
      <c r="E125" s="20"/>
      <c r="F125" s="19"/>
      <c r="G125" s="112">
        <v>2.0</v>
      </c>
      <c r="H125" s="112">
        <v>27.0</v>
      </c>
      <c r="I125" s="106" t="s">
        <v>2638</v>
      </c>
      <c r="J125" s="110" t="s">
        <v>2240</v>
      </c>
      <c r="K125" s="106" t="s">
        <v>2639</v>
      </c>
      <c r="L125" s="106" t="s">
        <v>2640</v>
      </c>
      <c r="M125" s="110" t="s">
        <v>2196</v>
      </c>
      <c r="N125" s="113" t="s">
        <v>2636</v>
      </c>
      <c r="O125" s="110" t="s">
        <v>2637</v>
      </c>
      <c r="P125" s="110" t="s">
        <v>2196</v>
      </c>
      <c r="Q125" s="110" t="s">
        <v>2196</v>
      </c>
    </row>
    <row r="126" ht="93.0" customHeight="1">
      <c r="A126" s="104" t="s">
        <v>20</v>
      </c>
      <c r="B126" s="104" t="s">
        <v>2464</v>
      </c>
      <c r="C126" s="103" t="s">
        <v>313</v>
      </c>
      <c r="D126" s="104">
        <v>40.0</v>
      </c>
      <c r="E126" s="105" t="s">
        <v>2425</v>
      </c>
      <c r="F126" s="19"/>
      <c r="G126" s="112">
        <v>3.0</v>
      </c>
      <c r="H126" s="112">
        <v>28.0</v>
      </c>
      <c r="I126" s="106" t="s">
        <v>2641</v>
      </c>
      <c r="J126" s="110" t="s">
        <v>2240</v>
      </c>
      <c r="K126" s="106" t="s">
        <v>2642</v>
      </c>
      <c r="L126" s="106" t="s">
        <v>2643</v>
      </c>
      <c r="M126" s="110" t="s">
        <v>2196</v>
      </c>
      <c r="N126" s="113" t="s">
        <v>2636</v>
      </c>
      <c r="O126" s="110" t="s">
        <v>2637</v>
      </c>
      <c r="P126" s="110" t="s">
        <v>2196</v>
      </c>
      <c r="Q126" s="110" t="s">
        <v>2196</v>
      </c>
    </row>
    <row r="127" ht="93.0" customHeight="1">
      <c r="A127" s="19"/>
      <c r="B127" s="19"/>
      <c r="C127" s="20"/>
      <c r="D127" s="19"/>
      <c r="E127" s="19"/>
      <c r="F127" s="19"/>
      <c r="G127" s="112">
        <v>4.0</v>
      </c>
      <c r="H127" s="112">
        <v>29.0</v>
      </c>
      <c r="I127" s="106" t="s">
        <v>2644</v>
      </c>
      <c r="J127" s="110" t="s">
        <v>2240</v>
      </c>
      <c r="K127" s="106" t="s">
        <v>2645</v>
      </c>
      <c r="L127" s="106" t="s">
        <v>2646</v>
      </c>
      <c r="M127" s="110" t="s">
        <v>2210</v>
      </c>
      <c r="N127" s="113" t="s">
        <v>2636</v>
      </c>
      <c r="O127" s="110" t="s">
        <v>2637</v>
      </c>
      <c r="P127" s="110" t="s">
        <v>2196</v>
      </c>
      <c r="Q127" s="110" t="s">
        <v>2196</v>
      </c>
    </row>
    <row r="128" ht="93.0" customHeight="1">
      <c r="A128" s="104" t="s">
        <v>20</v>
      </c>
      <c r="B128" s="104" t="s">
        <v>2464</v>
      </c>
      <c r="C128" s="103" t="s">
        <v>313</v>
      </c>
      <c r="D128" s="104">
        <v>41.0</v>
      </c>
      <c r="E128" s="145" t="s">
        <v>2432</v>
      </c>
      <c r="F128" s="19"/>
      <c r="G128" s="146">
        <v>5.0</v>
      </c>
      <c r="H128" s="146">
        <v>30.0</v>
      </c>
      <c r="I128" s="147" t="s">
        <v>2647</v>
      </c>
      <c r="J128" s="148" t="s">
        <v>2240</v>
      </c>
      <c r="K128" s="106" t="s">
        <v>2648</v>
      </c>
      <c r="L128" s="147" t="s">
        <v>2649</v>
      </c>
      <c r="M128" s="110" t="s">
        <v>2196</v>
      </c>
      <c r="N128" s="113" t="s">
        <v>2636</v>
      </c>
      <c r="O128" s="110" t="s">
        <v>2637</v>
      </c>
      <c r="P128" s="110" t="s">
        <v>2196</v>
      </c>
      <c r="Q128" s="110" t="s">
        <v>2196</v>
      </c>
    </row>
    <row r="129" ht="93.0" customHeight="1">
      <c r="A129" s="19"/>
      <c r="B129" s="19"/>
      <c r="C129" s="20"/>
      <c r="D129" s="19"/>
      <c r="E129" s="20"/>
      <c r="F129" s="19"/>
      <c r="G129" s="112">
        <v>6.0</v>
      </c>
      <c r="H129" s="112">
        <v>31.0</v>
      </c>
      <c r="I129" s="106" t="s">
        <v>2650</v>
      </c>
      <c r="J129" s="110" t="s">
        <v>2240</v>
      </c>
      <c r="K129" s="106" t="s">
        <v>2651</v>
      </c>
      <c r="L129" s="106" t="s">
        <v>2652</v>
      </c>
      <c r="M129" s="110" t="s">
        <v>2196</v>
      </c>
      <c r="N129" s="113" t="s">
        <v>2636</v>
      </c>
      <c r="O129" s="110" t="s">
        <v>2637</v>
      </c>
      <c r="P129" s="110" t="s">
        <v>2196</v>
      </c>
      <c r="Q129" s="110" t="s">
        <v>2196</v>
      </c>
    </row>
    <row r="130" ht="93.0" customHeight="1">
      <c r="A130" s="150" t="s">
        <v>20</v>
      </c>
      <c r="B130" s="102" t="s">
        <v>2464</v>
      </c>
      <c r="C130" s="103" t="s">
        <v>313</v>
      </c>
      <c r="D130" s="150">
        <v>42.0</v>
      </c>
      <c r="E130" s="145" t="s">
        <v>2443</v>
      </c>
      <c r="F130" s="19"/>
      <c r="G130" s="115" t="s">
        <v>2233</v>
      </c>
      <c r="H130" s="115" t="s">
        <v>2444</v>
      </c>
      <c r="I130" s="120" t="s">
        <v>2445</v>
      </c>
      <c r="J130" s="121"/>
      <c r="K130" s="121"/>
      <c r="L130" s="121"/>
      <c r="M130" s="121"/>
      <c r="N130" s="134"/>
      <c r="O130" s="121"/>
      <c r="P130" s="121"/>
      <c r="Q130" s="121"/>
    </row>
    <row r="131" ht="93.0" customHeight="1">
      <c r="A131" s="19"/>
      <c r="B131" s="19"/>
      <c r="C131" s="19"/>
      <c r="D131" s="19"/>
      <c r="E131" s="19"/>
      <c r="F131" s="19"/>
      <c r="G131" s="112">
        <v>7.0</v>
      </c>
      <c r="H131" s="112">
        <v>32.0</v>
      </c>
      <c r="I131" s="106" t="s">
        <v>2653</v>
      </c>
      <c r="J131" s="110" t="s">
        <v>2240</v>
      </c>
      <c r="K131" s="106" t="s">
        <v>2654</v>
      </c>
      <c r="L131" s="106" t="s">
        <v>2655</v>
      </c>
      <c r="M131" s="110" t="s">
        <v>2196</v>
      </c>
      <c r="N131" s="113" t="s">
        <v>2656</v>
      </c>
      <c r="O131" s="110" t="s">
        <v>2657</v>
      </c>
      <c r="P131" s="110" t="s">
        <v>2196</v>
      </c>
      <c r="Q131" s="110" t="s">
        <v>2196</v>
      </c>
    </row>
    <row r="132" ht="93.0" customHeight="1">
      <c r="A132" s="20"/>
      <c r="B132" s="20"/>
      <c r="C132" s="20"/>
      <c r="D132" s="20"/>
      <c r="E132" s="20"/>
      <c r="F132" s="20"/>
      <c r="G132" s="112">
        <v>8.0</v>
      </c>
      <c r="H132" s="112">
        <v>33.0</v>
      </c>
      <c r="I132" s="106" t="s">
        <v>2658</v>
      </c>
      <c r="J132" s="110" t="s">
        <v>2240</v>
      </c>
      <c r="K132" s="106" t="s">
        <v>2659</v>
      </c>
      <c r="L132" s="106" t="s">
        <v>2659</v>
      </c>
      <c r="M132" s="110" t="s">
        <v>2210</v>
      </c>
      <c r="N132" s="113" t="s">
        <v>2636</v>
      </c>
      <c r="O132" s="110" t="s">
        <v>2637</v>
      </c>
      <c r="P132" s="110" t="s">
        <v>2196</v>
      </c>
      <c r="Q132" s="110" t="s">
        <v>2196</v>
      </c>
    </row>
    <row r="133" ht="93.0" customHeight="1">
      <c r="A133" s="115" t="s">
        <v>20</v>
      </c>
      <c r="B133" s="115" t="s">
        <v>2464</v>
      </c>
      <c r="C133" s="116" t="s">
        <v>313</v>
      </c>
      <c r="D133" s="115">
        <v>43.0</v>
      </c>
      <c r="E133" s="144" t="s">
        <v>2456</v>
      </c>
      <c r="F133" s="119" t="s">
        <v>2660</v>
      </c>
      <c r="G133" s="175"/>
      <c r="H133" s="115" t="s">
        <v>2458</v>
      </c>
      <c r="I133" s="151" t="s">
        <v>2660</v>
      </c>
      <c r="J133" s="152"/>
      <c r="K133" s="152"/>
      <c r="L133" s="152"/>
      <c r="M133" s="152"/>
      <c r="N133" s="153"/>
      <c r="O133" s="152"/>
      <c r="P133" s="152"/>
      <c r="Q133" s="152"/>
    </row>
    <row r="134" ht="93.0" customHeight="1">
      <c r="A134" s="115" t="s">
        <v>20</v>
      </c>
      <c r="B134" s="115" t="s">
        <v>2464</v>
      </c>
      <c r="C134" s="116" t="s">
        <v>313</v>
      </c>
      <c r="D134" s="115">
        <v>44.0</v>
      </c>
      <c r="E134" s="144" t="s">
        <v>2459</v>
      </c>
      <c r="F134" s="20"/>
      <c r="G134" s="20"/>
      <c r="H134" s="115" t="s">
        <v>2460</v>
      </c>
      <c r="I134" s="20"/>
      <c r="J134" s="20"/>
      <c r="K134" s="20"/>
      <c r="L134" s="20"/>
      <c r="M134" s="20"/>
      <c r="N134" s="20"/>
      <c r="O134" s="20"/>
      <c r="P134" s="20"/>
      <c r="Q134" s="20"/>
    </row>
    <row r="135" ht="93.0" customHeight="1">
      <c r="A135" s="137" t="s">
        <v>20</v>
      </c>
      <c r="B135" s="137" t="s">
        <v>2464</v>
      </c>
      <c r="C135" s="154" t="s">
        <v>313</v>
      </c>
      <c r="D135" s="137">
        <v>45.0</v>
      </c>
      <c r="E135" s="155" t="s">
        <v>2461</v>
      </c>
      <c r="F135" s="156" t="s">
        <v>2462</v>
      </c>
      <c r="G135" s="176"/>
      <c r="H135" s="137" t="s">
        <v>2463</v>
      </c>
      <c r="I135" s="177" t="s">
        <v>2462</v>
      </c>
      <c r="J135" s="139"/>
      <c r="K135" s="139"/>
      <c r="L135" s="139"/>
      <c r="M135" s="139"/>
      <c r="N135" s="140"/>
      <c r="O135" s="139"/>
      <c r="P135" s="139"/>
      <c r="Q135" s="139"/>
    </row>
    <row r="136" ht="93.0" customHeight="1">
      <c r="A136" s="18" t="s">
        <v>20</v>
      </c>
      <c r="B136" s="18" t="s">
        <v>2661</v>
      </c>
      <c r="C136" s="18" t="s">
        <v>22</v>
      </c>
      <c r="D136" s="18">
        <v>1.0</v>
      </c>
      <c r="E136" s="159" t="s">
        <v>2190</v>
      </c>
      <c r="F136" s="178" t="s">
        <v>2662</v>
      </c>
      <c r="G136" s="10">
        <v>1.0</v>
      </c>
      <c r="H136" s="10">
        <v>1.0</v>
      </c>
      <c r="I136" s="179" t="s">
        <v>2663</v>
      </c>
      <c r="J136" s="10" t="s">
        <v>2193</v>
      </c>
      <c r="K136" s="47" t="s">
        <v>2664</v>
      </c>
      <c r="L136" s="47" t="s">
        <v>2665</v>
      </c>
      <c r="M136" s="48" t="s">
        <v>2196</v>
      </c>
      <c r="N136" s="158" t="s">
        <v>2666</v>
      </c>
      <c r="O136" s="48" t="s">
        <v>2667</v>
      </c>
      <c r="P136" s="48" t="s">
        <v>2196</v>
      </c>
      <c r="Q136" s="48" t="s">
        <v>2196</v>
      </c>
    </row>
    <row r="137" ht="92.25" customHeight="1">
      <c r="A137" s="20"/>
      <c r="B137" s="20"/>
      <c r="C137" s="20"/>
      <c r="D137" s="20"/>
      <c r="E137" s="20"/>
      <c r="F137" s="19"/>
      <c r="G137" s="10">
        <v>2.0</v>
      </c>
      <c r="H137" s="10">
        <v>2.0</v>
      </c>
      <c r="I137" s="180" t="s">
        <v>2668</v>
      </c>
      <c r="J137" s="48" t="s">
        <v>2240</v>
      </c>
      <c r="K137" s="94" t="s">
        <v>2669</v>
      </c>
      <c r="L137" s="94" t="s">
        <v>2670</v>
      </c>
      <c r="M137" s="48" t="s">
        <v>2196</v>
      </c>
      <c r="N137" s="181" t="s">
        <v>2671</v>
      </c>
      <c r="O137" s="48" t="s">
        <v>2672</v>
      </c>
      <c r="P137" s="48" t="s">
        <v>2196</v>
      </c>
      <c r="Q137" s="48" t="s">
        <v>2196</v>
      </c>
    </row>
    <row r="138" ht="77.25" customHeight="1">
      <c r="A138" s="18" t="s">
        <v>20</v>
      </c>
      <c r="B138" s="18" t="s">
        <v>2661</v>
      </c>
      <c r="C138" s="18" t="s">
        <v>22</v>
      </c>
      <c r="D138" s="59">
        <v>2.0</v>
      </c>
      <c r="E138" s="159" t="s">
        <v>2203</v>
      </c>
      <c r="F138" s="19"/>
      <c r="G138" s="10">
        <v>3.0</v>
      </c>
      <c r="H138" s="10">
        <v>3.0</v>
      </c>
      <c r="I138" s="180" t="s">
        <v>2673</v>
      </c>
      <c r="J138" s="10" t="s">
        <v>2240</v>
      </c>
      <c r="K138" s="47" t="s">
        <v>2674</v>
      </c>
      <c r="L138" s="47" t="s">
        <v>2675</v>
      </c>
      <c r="M138" s="48" t="s">
        <v>2196</v>
      </c>
      <c r="N138" s="158" t="s">
        <v>2676</v>
      </c>
      <c r="O138" s="48" t="s">
        <v>2677</v>
      </c>
      <c r="P138" s="48" t="s">
        <v>2196</v>
      </c>
      <c r="Q138" s="48" t="s">
        <v>2196</v>
      </c>
    </row>
    <row r="139" ht="77.25" customHeight="1">
      <c r="A139" s="20"/>
      <c r="B139" s="20"/>
      <c r="C139" s="20"/>
      <c r="D139" s="20"/>
      <c r="E139" s="20"/>
      <c r="F139" s="20"/>
      <c r="G139" s="10">
        <v>4.0</v>
      </c>
      <c r="H139" s="10">
        <v>4.0</v>
      </c>
      <c r="I139" s="180" t="s">
        <v>2678</v>
      </c>
      <c r="J139" s="10" t="s">
        <v>2240</v>
      </c>
      <c r="K139" s="47" t="s">
        <v>2679</v>
      </c>
      <c r="L139" s="47" t="s">
        <v>2680</v>
      </c>
      <c r="M139" s="48" t="s">
        <v>2210</v>
      </c>
      <c r="N139" s="182" t="s">
        <v>2524</v>
      </c>
      <c r="O139" s="48" t="s">
        <v>2681</v>
      </c>
      <c r="P139" s="48" t="s">
        <v>2196</v>
      </c>
      <c r="Q139" s="48" t="s">
        <v>2196</v>
      </c>
    </row>
    <row r="140" ht="87.75" customHeight="1">
      <c r="A140" s="50" t="s">
        <v>20</v>
      </c>
      <c r="B140" s="50" t="s">
        <v>2661</v>
      </c>
      <c r="C140" s="50" t="s">
        <v>22</v>
      </c>
      <c r="D140" s="51">
        <v>3.0</v>
      </c>
      <c r="E140" s="52" t="s">
        <v>2211</v>
      </c>
      <c r="F140" s="51" t="s">
        <v>2212</v>
      </c>
      <c r="G140" s="50"/>
      <c r="H140" s="50"/>
      <c r="I140" s="53"/>
      <c r="J140" s="50"/>
      <c r="K140" s="54"/>
      <c r="L140" s="54"/>
      <c r="M140" s="50"/>
      <c r="N140" s="55"/>
      <c r="O140" s="50"/>
      <c r="P140" s="54"/>
      <c r="Q140" s="54"/>
    </row>
    <row r="141" ht="87.75" customHeight="1">
      <c r="A141" s="18" t="s">
        <v>20</v>
      </c>
      <c r="B141" s="18" t="s">
        <v>2661</v>
      </c>
      <c r="C141" s="18" t="s">
        <v>22</v>
      </c>
      <c r="D141" s="59">
        <v>4.0</v>
      </c>
      <c r="E141" s="159" t="s">
        <v>2213</v>
      </c>
      <c r="F141" s="56" t="s">
        <v>2662</v>
      </c>
      <c r="G141" s="10">
        <v>5.0</v>
      </c>
      <c r="H141" s="10">
        <v>5.0</v>
      </c>
      <c r="I141" s="58" t="s">
        <v>2682</v>
      </c>
      <c r="J141" s="10" t="s">
        <v>2240</v>
      </c>
      <c r="K141" s="47" t="s">
        <v>2683</v>
      </c>
      <c r="L141" s="47" t="s">
        <v>2684</v>
      </c>
      <c r="M141" s="48" t="s">
        <v>2196</v>
      </c>
      <c r="N141" s="158" t="s">
        <v>2685</v>
      </c>
      <c r="O141" s="48" t="s">
        <v>2681</v>
      </c>
      <c r="P141" s="48" t="s">
        <v>2196</v>
      </c>
      <c r="Q141" s="48" t="s">
        <v>2196</v>
      </c>
    </row>
    <row r="142" ht="87.75" customHeight="1">
      <c r="A142" s="20"/>
      <c r="B142" s="20"/>
      <c r="C142" s="20"/>
      <c r="D142" s="20"/>
      <c r="E142" s="20"/>
      <c r="F142" s="19"/>
      <c r="G142" s="10">
        <v>6.0</v>
      </c>
      <c r="H142" s="10">
        <v>6.0</v>
      </c>
      <c r="I142" s="58" t="s">
        <v>2686</v>
      </c>
      <c r="J142" s="10" t="s">
        <v>2240</v>
      </c>
      <c r="K142" s="47" t="s">
        <v>2687</v>
      </c>
      <c r="L142" s="47" t="s">
        <v>2688</v>
      </c>
      <c r="M142" s="48" t="s">
        <v>2196</v>
      </c>
      <c r="N142" s="158" t="s">
        <v>2689</v>
      </c>
      <c r="O142" s="48" t="s">
        <v>2690</v>
      </c>
      <c r="P142" s="48" t="s">
        <v>2196</v>
      </c>
      <c r="Q142" s="48" t="s">
        <v>2196</v>
      </c>
    </row>
    <row r="143" ht="87.75" customHeight="1">
      <c r="A143" s="18" t="s">
        <v>20</v>
      </c>
      <c r="B143" s="18" t="s">
        <v>2661</v>
      </c>
      <c r="C143" s="18" t="s">
        <v>22</v>
      </c>
      <c r="D143" s="59">
        <v>5.0</v>
      </c>
      <c r="E143" s="159" t="s">
        <v>2223</v>
      </c>
      <c r="F143" s="19"/>
      <c r="G143" s="10">
        <v>7.0</v>
      </c>
      <c r="H143" s="10">
        <v>7.0</v>
      </c>
      <c r="I143" s="58" t="s">
        <v>2691</v>
      </c>
      <c r="J143" s="10" t="s">
        <v>2240</v>
      </c>
      <c r="K143" s="47" t="s">
        <v>2692</v>
      </c>
      <c r="L143" s="47" t="s">
        <v>2693</v>
      </c>
      <c r="M143" s="48" t="s">
        <v>2196</v>
      </c>
      <c r="N143" s="158" t="s">
        <v>2685</v>
      </c>
      <c r="O143" s="48" t="s">
        <v>2681</v>
      </c>
      <c r="P143" s="48" t="s">
        <v>2196</v>
      </c>
      <c r="Q143" s="48" t="s">
        <v>2196</v>
      </c>
    </row>
    <row r="144" ht="87.75" customHeight="1">
      <c r="A144" s="20"/>
      <c r="B144" s="20"/>
      <c r="C144" s="20"/>
      <c r="D144" s="20"/>
      <c r="E144" s="20"/>
      <c r="F144" s="20"/>
      <c r="G144" s="10">
        <v>8.0</v>
      </c>
      <c r="H144" s="10">
        <v>8.0</v>
      </c>
      <c r="I144" s="58" t="s">
        <v>2694</v>
      </c>
      <c r="J144" s="10" t="s">
        <v>2193</v>
      </c>
      <c r="K144" s="47" t="s">
        <v>2695</v>
      </c>
      <c r="L144" s="47" t="s">
        <v>2696</v>
      </c>
      <c r="M144" s="48" t="s">
        <v>2210</v>
      </c>
      <c r="N144" s="158" t="s">
        <v>2524</v>
      </c>
      <c r="O144" s="48" t="s">
        <v>2681</v>
      </c>
      <c r="P144" s="48" t="s">
        <v>2196</v>
      </c>
      <c r="Q144" s="48" t="s">
        <v>2196</v>
      </c>
    </row>
    <row r="145" ht="77.25" customHeight="1">
      <c r="A145" s="65" t="s">
        <v>20</v>
      </c>
      <c r="B145" s="65" t="s">
        <v>2661</v>
      </c>
      <c r="C145" s="65" t="s">
        <v>22</v>
      </c>
      <c r="D145" s="65">
        <v>6.0</v>
      </c>
      <c r="E145" s="160" t="s">
        <v>2232</v>
      </c>
      <c r="F145" s="86"/>
      <c r="G145" s="65" t="s">
        <v>2233</v>
      </c>
      <c r="H145" s="65" t="s">
        <v>1709</v>
      </c>
      <c r="I145" s="98" t="s">
        <v>2697</v>
      </c>
      <c r="J145" s="70"/>
      <c r="K145" s="70"/>
      <c r="L145" s="70"/>
      <c r="M145" s="65" t="s">
        <v>2235</v>
      </c>
      <c r="N145" s="67" t="s">
        <v>2235</v>
      </c>
      <c r="O145" s="65" t="s">
        <v>2236</v>
      </c>
      <c r="P145" s="70" t="s">
        <v>2235</v>
      </c>
      <c r="Q145" s="70"/>
    </row>
    <row r="146" ht="96.75" customHeight="1">
      <c r="A146" s="18" t="s">
        <v>20</v>
      </c>
      <c r="B146" s="18" t="s">
        <v>2661</v>
      </c>
      <c r="C146" s="18" t="s">
        <v>22</v>
      </c>
      <c r="D146" s="59">
        <v>7.0</v>
      </c>
      <c r="E146" s="159" t="s">
        <v>2237</v>
      </c>
      <c r="F146" s="59" t="s">
        <v>2698</v>
      </c>
      <c r="G146" s="10">
        <v>1.0</v>
      </c>
      <c r="H146" s="10">
        <v>11.0</v>
      </c>
      <c r="I146" s="58" t="s">
        <v>2699</v>
      </c>
      <c r="J146" s="10" t="s">
        <v>2700</v>
      </c>
      <c r="K146" s="183" t="s">
        <v>2701</v>
      </c>
      <c r="L146" s="183" t="s">
        <v>2702</v>
      </c>
      <c r="M146" s="48" t="s">
        <v>2196</v>
      </c>
      <c r="N146" s="49" t="s">
        <v>2703</v>
      </c>
      <c r="O146" s="49" t="s">
        <v>2704</v>
      </c>
      <c r="P146" s="49" t="s">
        <v>2705</v>
      </c>
      <c r="Q146" s="164" t="s">
        <v>2706</v>
      </c>
    </row>
    <row r="147" ht="103.5" customHeight="1">
      <c r="A147" s="20"/>
      <c r="B147" s="20"/>
      <c r="C147" s="20"/>
      <c r="D147" s="20"/>
      <c r="E147" s="20"/>
      <c r="F147" s="19"/>
      <c r="G147" s="10">
        <v>2.0</v>
      </c>
      <c r="H147" s="10">
        <v>12.0</v>
      </c>
      <c r="I147" s="58" t="s">
        <v>2707</v>
      </c>
      <c r="J147" s="10" t="s">
        <v>2700</v>
      </c>
      <c r="K147" s="183" t="s">
        <v>2708</v>
      </c>
      <c r="L147" s="183" t="s">
        <v>2709</v>
      </c>
      <c r="M147" s="48" t="s">
        <v>2196</v>
      </c>
      <c r="N147" s="49" t="s">
        <v>2710</v>
      </c>
      <c r="O147" s="49" t="s">
        <v>2711</v>
      </c>
      <c r="P147" s="49" t="s">
        <v>2705</v>
      </c>
      <c r="Q147" s="164" t="s">
        <v>2706</v>
      </c>
    </row>
    <row r="148" ht="106.5" customHeight="1">
      <c r="A148" s="18" t="s">
        <v>20</v>
      </c>
      <c r="B148" s="18" t="s">
        <v>2661</v>
      </c>
      <c r="C148" s="18" t="s">
        <v>22</v>
      </c>
      <c r="D148" s="59">
        <v>8.0</v>
      </c>
      <c r="E148" s="159" t="s">
        <v>2250</v>
      </c>
      <c r="F148" s="19"/>
      <c r="G148" s="10">
        <v>3.0</v>
      </c>
      <c r="H148" s="10">
        <v>13.0</v>
      </c>
      <c r="I148" s="58" t="s">
        <v>2712</v>
      </c>
      <c r="J148" s="10" t="s">
        <v>2700</v>
      </c>
      <c r="K148" s="183" t="s">
        <v>2713</v>
      </c>
      <c r="L148" s="183" t="s">
        <v>2714</v>
      </c>
      <c r="M148" s="48" t="s">
        <v>2196</v>
      </c>
      <c r="N148" s="49" t="s">
        <v>2710</v>
      </c>
      <c r="O148" s="49" t="s">
        <v>2711</v>
      </c>
      <c r="P148" s="49" t="s">
        <v>2705</v>
      </c>
      <c r="Q148" s="164" t="s">
        <v>2706</v>
      </c>
    </row>
    <row r="149" ht="123.0" customHeight="1">
      <c r="A149" s="20"/>
      <c r="B149" s="20"/>
      <c r="C149" s="20"/>
      <c r="D149" s="20"/>
      <c r="E149" s="20"/>
      <c r="F149" s="20"/>
      <c r="G149" s="10">
        <v>4.0</v>
      </c>
      <c r="H149" s="10">
        <v>14.0</v>
      </c>
      <c r="I149" s="58" t="s">
        <v>2715</v>
      </c>
      <c r="J149" s="10" t="s">
        <v>2700</v>
      </c>
      <c r="K149" s="183" t="s">
        <v>2716</v>
      </c>
      <c r="L149" s="183" t="s">
        <v>2717</v>
      </c>
      <c r="M149" s="48" t="s">
        <v>2210</v>
      </c>
      <c r="N149" s="49" t="s">
        <v>2710</v>
      </c>
      <c r="O149" s="49" t="s">
        <v>2711</v>
      </c>
      <c r="P149" s="49" t="s">
        <v>2705</v>
      </c>
      <c r="Q149" s="164" t="s">
        <v>2706</v>
      </c>
    </row>
    <row r="150" ht="111.0" customHeight="1">
      <c r="A150" s="80" t="s">
        <v>20</v>
      </c>
      <c r="B150" s="81" t="s">
        <v>2661</v>
      </c>
      <c r="C150" s="80" t="s">
        <v>22</v>
      </c>
      <c r="D150" s="80">
        <v>9.0</v>
      </c>
      <c r="E150" s="82" t="s">
        <v>2257</v>
      </c>
      <c r="F150" s="80"/>
      <c r="G150" s="80" t="s">
        <v>2233</v>
      </c>
      <c r="H150" s="80" t="s">
        <v>2258</v>
      </c>
      <c r="I150" s="83" t="s">
        <v>2259</v>
      </c>
      <c r="J150" s="80"/>
      <c r="K150" s="84"/>
      <c r="L150" s="84"/>
      <c r="M150" s="80"/>
      <c r="N150" s="82" t="s">
        <v>2235</v>
      </c>
      <c r="O150" s="80" t="s">
        <v>2235</v>
      </c>
      <c r="P150" s="85" t="s">
        <v>2235</v>
      </c>
      <c r="Q150" s="85" t="s">
        <v>2235</v>
      </c>
    </row>
    <row r="151" ht="100.5" customHeight="1">
      <c r="A151" s="65" t="s">
        <v>20</v>
      </c>
      <c r="B151" s="65" t="s">
        <v>2661</v>
      </c>
      <c r="C151" s="65" t="s">
        <v>22</v>
      </c>
      <c r="D151" s="65">
        <v>10.0</v>
      </c>
      <c r="E151" s="67" t="s">
        <v>2260</v>
      </c>
      <c r="F151" s="65"/>
      <c r="G151" s="65" t="s">
        <v>2233</v>
      </c>
      <c r="H151" s="65" t="s">
        <v>2261</v>
      </c>
      <c r="I151" s="69" t="s">
        <v>2718</v>
      </c>
      <c r="J151" s="70"/>
      <c r="K151" s="70"/>
      <c r="L151" s="70"/>
      <c r="M151" s="65" t="s">
        <v>2235</v>
      </c>
      <c r="N151" s="67" t="s">
        <v>2235</v>
      </c>
      <c r="O151" s="65" t="s">
        <v>2236</v>
      </c>
      <c r="P151" s="70" t="s">
        <v>2235</v>
      </c>
      <c r="Q151" s="70"/>
    </row>
    <row r="152" ht="92.25" customHeight="1">
      <c r="A152" s="87" t="s">
        <v>20</v>
      </c>
      <c r="B152" s="87" t="s">
        <v>2661</v>
      </c>
      <c r="C152" s="87" t="s">
        <v>22</v>
      </c>
      <c r="D152" s="87">
        <v>11.0</v>
      </c>
      <c r="E152" s="162" t="s">
        <v>2263</v>
      </c>
      <c r="F152" s="100"/>
      <c r="G152" s="87" t="s">
        <v>2233</v>
      </c>
      <c r="H152" s="87" t="s">
        <v>2264</v>
      </c>
      <c r="I152" s="90" t="s">
        <v>2265</v>
      </c>
      <c r="J152" s="91"/>
      <c r="K152" s="91"/>
      <c r="L152" s="91"/>
      <c r="M152" s="87"/>
      <c r="N152" s="92"/>
      <c r="O152" s="87"/>
      <c r="P152" s="91"/>
      <c r="Q152" s="91"/>
    </row>
    <row r="153" ht="77.25" customHeight="1">
      <c r="A153" s="18" t="s">
        <v>20</v>
      </c>
      <c r="B153" s="18" t="s">
        <v>2661</v>
      </c>
      <c r="C153" s="18" t="s">
        <v>153</v>
      </c>
      <c r="D153" s="59">
        <v>12.0</v>
      </c>
      <c r="E153" s="159" t="s">
        <v>2266</v>
      </c>
      <c r="F153" s="59" t="s">
        <v>2719</v>
      </c>
      <c r="G153" s="10">
        <v>1.0</v>
      </c>
      <c r="H153" s="10">
        <v>21.0</v>
      </c>
      <c r="I153" s="79" t="s">
        <v>2720</v>
      </c>
      <c r="J153" s="48" t="s">
        <v>2240</v>
      </c>
      <c r="K153" s="94" t="s">
        <v>2721</v>
      </c>
      <c r="L153" s="94" t="s">
        <v>2722</v>
      </c>
      <c r="M153" s="48" t="s">
        <v>2196</v>
      </c>
      <c r="N153" s="48" t="s">
        <v>2703</v>
      </c>
      <c r="O153" s="48" t="s">
        <v>2704</v>
      </c>
      <c r="P153" s="48" t="s">
        <v>2705</v>
      </c>
      <c r="Q153" s="165" t="s">
        <v>2706</v>
      </c>
    </row>
    <row r="154" ht="66.0" customHeight="1">
      <c r="A154" s="20"/>
      <c r="B154" s="20"/>
      <c r="C154" s="20"/>
      <c r="D154" s="20"/>
      <c r="E154" s="20"/>
      <c r="F154" s="19"/>
      <c r="G154" s="10">
        <v>2.0</v>
      </c>
      <c r="H154" s="10">
        <v>22.0</v>
      </c>
      <c r="I154" s="79" t="s">
        <v>2723</v>
      </c>
      <c r="J154" s="48" t="s">
        <v>2240</v>
      </c>
      <c r="K154" s="94" t="s">
        <v>2724</v>
      </c>
      <c r="L154" s="94" t="s">
        <v>2725</v>
      </c>
      <c r="M154" s="48" t="s">
        <v>2196</v>
      </c>
      <c r="N154" s="48" t="s">
        <v>2726</v>
      </c>
      <c r="O154" s="48" t="s">
        <v>2727</v>
      </c>
      <c r="P154" s="48" t="s">
        <v>2705</v>
      </c>
      <c r="Q154" s="165" t="s">
        <v>2706</v>
      </c>
    </row>
    <row r="155" ht="66.0" customHeight="1">
      <c r="A155" s="18" t="s">
        <v>20</v>
      </c>
      <c r="B155" s="18" t="s">
        <v>2661</v>
      </c>
      <c r="C155" s="18" t="s">
        <v>153</v>
      </c>
      <c r="D155" s="59">
        <v>13.0</v>
      </c>
      <c r="E155" s="159" t="s">
        <v>2274</v>
      </c>
      <c r="F155" s="19"/>
      <c r="G155" s="10">
        <v>3.0</v>
      </c>
      <c r="H155" s="10">
        <v>23.0</v>
      </c>
      <c r="I155" s="79" t="s">
        <v>2728</v>
      </c>
      <c r="J155" s="48" t="s">
        <v>2193</v>
      </c>
      <c r="K155" s="94" t="s">
        <v>2729</v>
      </c>
      <c r="L155" s="94" t="s">
        <v>2725</v>
      </c>
      <c r="M155" s="48" t="s">
        <v>2196</v>
      </c>
      <c r="N155" s="48" t="s">
        <v>2730</v>
      </c>
      <c r="O155" s="48" t="s">
        <v>2711</v>
      </c>
      <c r="P155" s="48" t="s">
        <v>2705</v>
      </c>
      <c r="Q155" s="165" t="s">
        <v>2706</v>
      </c>
    </row>
    <row r="156" ht="66.0" customHeight="1">
      <c r="A156" s="20"/>
      <c r="B156" s="20"/>
      <c r="C156" s="20"/>
      <c r="D156" s="20"/>
      <c r="E156" s="20"/>
      <c r="F156" s="20"/>
      <c r="G156" s="10">
        <v>4.0</v>
      </c>
      <c r="H156" s="10">
        <v>24.0</v>
      </c>
      <c r="I156" s="79" t="s">
        <v>2731</v>
      </c>
      <c r="J156" s="48" t="s">
        <v>2240</v>
      </c>
      <c r="K156" s="94" t="s">
        <v>2732</v>
      </c>
      <c r="L156" s="94" t="s">
        <v>2733</v>
      </c>
      <c r="M156" s="48" t="s">
        <v>2196</v>
      </c>
      <c r="N156" s="48" t="s">
        <v>2730</v>
      </c>
      <c r="O156" s="48" t="s">
        <v>2711</v>
      </c>
      <c r="P156" s="48" t="s">
        <v>2705</v>
      </c>
      <c r="Q156" s="165" t="s">
        <v>2706</v>
      </c>
    </row>
    <row r="157" ht="66.0" customHeight="1">
      <c r="A157" s="65" t="s">
        <v>20</v>
      </c>
      <c r="B157" s="65" t="s">
        <v>2661</v>
      </c>
      <c r="C157" s="65" t="s">
        <v>153</v>
      </c>
      <c r="D157" s="65">
        <v>14.0</v>
      </c>
      <c r="E157" s="67" t="s">
        <v>2281</v>
      </c>
      <c r="F157" s="65"/>
      <c r="G157" s="65" t="s">
        <v>2233</v>
      </c>
      <c r="H157" s="65" t="s">
        <v>2282</v>
      </c>
      <c r="I157" s="69" t="s">
        <v>2734</v>
      </c>
      <c r="J157" s="70"/>
      <c r="K157" s="70"/>
      <c r="L157" s="70"/>
      <c r="M157" s="65" t="s">
        <v>2235</v>
      </c>
      <c r="N157" s="67" t="s">
        <v>2235</v>
      </c>
      <c r="O157" s="65" t="s">
        <v>2236</v>
      </c>
      <c r="P157" s="70" t="s">
        <v>2235</v>
      </c>
      <c r="Q157" s="70"/>
    </row>
    <row r="158" ht="72.75" customHeight="1">
      <c r="A158" s="18" t="s">
        <v>20</v>
      </c>
      <c r="B158" s="18" t="s">
        <v>2661</v>
      </c>
      <c r="C158" s="18" t="s">
        <v>153</v>
      </c>
      <c r="D158" s="18">
        <v>15.0</v>
      </c>
      <c r="E158" s="45" t="s">
        <v>2284</v>
      </c>
      <c r="F158" s="184" t="s">
        <v>2735</v>
      </c>
      <c r="G158" s="10">
        <v>1.0</v>
      </c>
      <c r="H158" s="10">
        <v>27.0</v>
      </c>
      <c r="I158" s="79" t="s">
        <v>2736</v>
      </c>
      <c r="J158" s="48" t="s">
        <v>2240</v>
      </c>
      <c r="K158" s="94" t="s">
        <v>2737</v>
      </c>
      <c r="L158" s="94" t="s">
        <v>2738</v>
      </c>
      <c r="M158" s="185" t="s">
        <v>2196</v>
      </c>
      <c r="N158" s="182" t="s">
        <v>2710</v>
      </c>
      <c r="O158" s="48" t="s">
        <v>2711</v>
      </c>
      <c r="P158" s="165" t="s">
        <v>2739</v>
      </c>
      <c r="Q158" s="165" t="s">
        <v>2740</v>
      </c>
    </row>
    <row r="159" ht="72.0" customHeight="1">
      <c r="A159" s="20"/>
      <c r="B159" s="20"/>
      <c r="C159" s="20"/>
      <c r="D159" s="20"/>
      <c r="E159" s="20"/>
      <c r="F159" s="19"/>
      <c r="G159" s="10">
        <v>2.0</v>
      </c>
      <c r="H159" s="10">
        <v>28.0</v>
      </c>
      <c r="I159" s="79" t="s">
        <v>2741</v>
      </c>
      <c r="J159" s="48" t="s">
        <v>2240</v>
      </c>
      <c r="K159" s="94" t="s">
        <v>2742</v>
      </c>
      <c r="L159" s="94" t="s">
        <v>2743</v>
      </c>
      <c r="M159" s="185" t="s">
        <v>2196</v>
      </c>
      <c r="N159" s="182" t="s">
        <v>2710</v>
      </c>
      <c r="O159" s="48" t="s">
        <v>2711</v>
      </c>
      <c r="P159" s="165" t="s">
        <v>2739</v>
      </c>
      <c r="Q159" s="165" t="s">
        <v>2740</v>
      </c>
    </row>
    <row r="160" ht="64.5" customHeight="1">
      <c r="A160" s="18" t="s">
        <v>20</v>
      </c>
      <c r="B160" s="18" t="s">
        <v>2661</v>
      </c>
      <c r="C160" s="18" t="s">
        <v>153</v>
      </c>
      <c r="D160" s="18">
        <v>16.0</v>
      </c>
      <c r="E160" s="45" t="s">
        <v>2294</v>
      </c>
      <c r="F160" s="19"/>
      <c r="G160" s="10">
        <v>3.0</v>
      </c>
      <c r="H160" s="10">
        <v>29.0</v>
      </c>
      <c r="I160" s="79" t="s">
        <v>2744</v>
      </c>
      <c r="J160" s="48" t="s">
        <v>2240</v>
      </c>
      <c r="K160" s="94" t="s">
        <v>2745</v>
      </c>
      <c r="L160" s="94" t="s">
        <v>2746</v>
      </c>
      <c r="M160" s="185" t="s">
        <v>2196</v>
      </c>
      <c r="N160" s="48" t="s">
        <v>2747</v>
      </c>
      <c r="O160" s="48" t="s">
        <v>2748</v>
      </c>
      <c r="P160" s="165" t="s">
        <v>2739</v>
      </c>
      <c r="Q160" s="165" t="s">
        <v>2740</v>
      </c>
    </row>
    <row r="161" ht="64.5" customHeight="1">
      <c r="A161" s="20"/>
      <c r="B161" s="20"/>
      <c r="C161" s="20"/>
      <c r="D161" s="20"/>
      <c r="E161" s="20"/>
      <c r="F161" s="95"/>
      <c r="G161" s="10">
        <v>4.0</v>
      </c>
      <c r="H161" s="10">
        <v>30.0</v>
      </c>
      <c r="I161" s="79" t="s">
        <v>2749</v>
      </c>
      <c r="J161" s="48" t="s">
        <v>2240</v>
      </c>
      <c r="K161" s="94" t="s">
        <v>2750</v>
      </c>
      <c r="L161" s="94" t="s">
        <v>2751</v>
      </c>
      <c r="M161" s="48" t="s">
        <v>2210</v>
      </c>
      <c r="N161" s="48" t="s">
        <v>2747</v>
      </c>
      <c r="O161" s="48" t="s">
        <v>2748</v>
      </c>
      <c r="P161" s="165" t="s">
        <v>2739</v>
      </c>
      <c r="Q161" s="165" t="s">
        <v>2740</v>
      </c>
    </row>
    <row r="162" ht="64.5" customHeight="1">
      <c r="A162" s="80" t="s">
        <v>20</v>
      </c>
      <c r="B162" s="81" t="s">
        <v>2661</v>
      </c>
      <c r="C162" s="80" t="s">
        <v>153</v>
      </c>
      <c r="D162" s="80">
        <v>17.0</v>
      </c>
      <c r="E162" s="82" t="s">
        <v>2303</v>
      </c>
      <c r="F162" s="80"/>
      <c r="G162" s="80" t="s">
        <v>2233</v>
      </c>
      <c r="H162" s="80" t="s">
        <v>2304</v>
      </c>
      <c r="I162" s="83" t="s">
        <v>2259</v>
      </c>
      <c r="J162" s="80"/>
      <c r="K162" s="84"/>
      <c r="L162" s="84"/>
      <c r="M162" s="80"/>
      <c r="N162" s="82" t="s">
        <v>2235</v>
      </c>
      <c r="O162" s="80" t="s">
        <v>2235</v>
      </c>
      <c r="P162" s="85" t="s">
        <v>2235</v>
      </c>
      <c r="Q162" s="85" t="s">
        <v>2235</v>
      </c>
    </row>
    <row r="163" ht="64.5" customHeight="1">
      <c r="A163" s="18" t="s">
        <v>20</v>
      </c>
      <c r="B163" s="18" t="s">
        <v>2661</v>
      </c>
      <c r="C163" s="18" t="s">
        <v>153</v>
      </c>
      <c r="D163" s="18">
        <v>18.0</v>
      </c>
      <c r="E163" s="45" t="s">
        <v>2305</v>
      </c>
      <c r="F163" s="186" t="s">
        <v>2735</v>
      </c>
      <c r="G163" s="10">
        <v>5.0</v>
      </c>
      <c r="H163" s="10">
        <v>33.0</v>
      </c>
      <c r="I163" s="79" t="s">
        <v>2752</v>
      </c>
      <c r="J163" s="48" t="s">
        <v>2240</v>
      </c>
      <c r="K163" s="94" t="s">
        <v>2753</v>
      </c>
      <c r="L163" s="94" t="s">
        <v>2754</v>
      </c>
      <c r="M163" s="185" t="s">
        <v>2196</v>
      </c>
      <c r="N163" s="182" t="s">
        <v>2710</v>
      </c>
      <c r="O163" s="48" t="s">
        <v>2711</v>
      </c>
      <c r="P163" s="165" t="s">
        <v>2739</v>
      </c>
      <c r="Q163" s="165" t="s">
        <v>2740</v>
      </c>
    </row>
    <row r="164" ht="64.5" customHeight="1">
      <c r="A164" s="20"/>
      <c r="B164" s="20"/>
      <c r="C164" s="20"/>
      <c r="D164" s="20"/>
      <c r="E164" s="20"/>
      <c r="F164" s="19"/>
      <c r="G164" s="10">
        <v>6.0</v>
      </c>
      <c r="H164" s="10">
        <v>34.0</v>
      </c>
      <c r="I164" s="79" t="s">
        <v>2755</v>
      </c>
      <c r="J164" s="48" t="s">
        <v>2240</v>
      </c>
      <c r="K164" s="94" t="s">
        <v>2756</v>
      </c>
      <c r="L164" s="94" t="s">
        <v>2757</v>
      </c>
      <c r="M164" s="185" t="s">
        <v>2196</v>
      </c>
      <c r="N164" s="48" t="s">
        <v>2747</v>
      </c>
      <c r="O164" s="48" t="s">
        <v>2748</v>
      </c>
      <c r="P164" s="165" t="s">
        <v>2739</v>
      </c>
      <c r="Q164" s="165" t="s">
        <v>2740</v>
      </c>
    </row>
    <row r="165" ht="64.5" customHeight="1">
      <c r="A165" s="18" t="s">
        <v>20</v>
      </c>
      <c r="B165" s="18" t="s">
        <v>2661</v>
      </c>
      <c r="C165" s="18" t="s">
        <v>153</v>
      </c>
      <c r="D165" s="18">
        <v>19.0</v>
      </c>
      <c r="E165" s="45" t="s">
        <v>2315</v>
      </c>
      <c r="F165" s="19"/>
      <c r="G165" s="10">
        <v>7.0</v>
      </c>
      <c r="H165" s="10">
        <v>35.0</v>
      </c>
      <c r="I165" s="79" t="s">
        <v>2758</v>
      </c>
      <c r="J165" s="48" t="s">
        <v>2240</v>
      </c>
      <c r="K165" s="94" t="s">
        <v>2759</v>
      </c>
      <c r="L165" s="94" t="s">
        <v>2760</v>
      </c>
      <c r="M165" s="185" t="s">
        <v>2196</v>
      </c>
      <c r="N165" s="48" t="s">
        <v>2747</v>
      </c>
      <c r="O165" s="48" t="s">
        <v>2748</v>
      </c>
      <c r="P165" s="165" t="s">
        <v>2739</v>
      </c>
      <c r="Q165" s="165" t="s">
        <v>2740</v>
      </c>
    </row>
    <row r="166" ht="64.5" customHeight="1">
      <c r="A166" s="20"/>
      <c r="B166" s="20"/>
      <c r="C166" s="20"/>
      <c r="D166" s="20"/>
      <c r="E166" s="20"/>
      <c r="F166" s="20"/>
      <c r="G166" s="10">
        <v>8.0</v>
      </c>
      <c r="H166" s="10">
        <v>36.0</v>
      </c>
      <c r="I166" s="79" t="s">
        <v>2761</v>
      </c>
      <c r="J166" s="48" t="s">
        <v>2240</v>
      </c>
      <c r="K166" s="94" t="s">
        <v>2762</v>
      </c>
      <c r="L166" s="94" t="s">
        <v>2763</v>
      </c>
      <c r="M166" s="48" t="s">
        <v>2210</v>
      </c>
      <c r="N166" s="48" t="s">
        <v>2747</v>
      </c>
      <c r="O166" s="48" t="s">
        <v>2748</v>
      </c>
      <c r="P166" s="165" t="s">
        <v>2739</v>
      </c>
      <c r="Q166" s="165" t="s">
        <v>2740</v>
      </c>
    </row>
    <row r="167" ht="64.5" customHeight="1">
      <c r="A167" s="65" t="s">
        <v>20</v>
      </c>
      <c r="B167" s="65" t="s">
        <v>2661</v>
      </c>
      <c r="C167" s="65" t="s">
        <v>153</v>
      </c>
      <c r="D167" s="65">
        <v>20.0</v>
      </c>
      <c r="E167" s="67" t="s">
        <v>2764</v>
      </c>
      <c r="F167" s="65"/>
      <c r="G167" s="65" t="s">
        <v>2233</v>
      </c>
      <c r="H167" s="65" t="s">
        <v>2323</v>
      </c>
      <c r="I167" s="98" t="s">
        <v>2765</v>
      </c>
      <c r="J167" s="70"/>
      <c r="K167" s="70"/>
      <c r="L167" s="70"/>
      <c r="M167" s="65" t="s">
        <v>2235</v>
      </c>
      <c r="N167" s="67" t="s">
        <v>2235</v>
      </c>
      <c r="O167" s="65" t="s">
        <v>2236</v>
      </c>
      <c r="P167" s="70" t="s">
        <v>2235</v>
      </c>
      <c r="Q167" s="70"/>
    </row>
    <row r="168" ht="64.5" customHeight="1">
      <c r="A168" s="87" t="s">
        <v>20</v>
      </c>
      <c r="B168" s="87" t="s">
        <v>2661</v>
      </c>
      <c r="C168" s="87" t="s">
        <v>153</v>
      </c>
      <c r="D168" s="87">
        <v>21.0</v>
      </c>
      <c r="E168" s="99" t="s">
        <v>2325</v>
      </c>
      <c r="F168" s="100"/>
      <c r="G168" s="87" t="s">
        <v>2233</v>
      </c>
      <c r="H168" s="87" t="s">
        <v>2326</v>
      </c>
      <c r="I168" s="90" t="s">
        <v>2564</v>
      </c>
      <c r="J168" s="91"/>
      <c r="K168" s="91"/>
      <c r="L168" s="91"/>
      <c r="M168" s="87"/>
      <c r="N168" s="92"/>
      <c r="O168" s="87"/>
      <c r="P168" s="91"/>
      <c r="Q168" s="91"/>
    </row>
    <row r="169" ht="96.75" customHeight="1">
      <c r="A169" s="104" t="s">
        <v>20</v>
      </c>
      <c r="B169" s="104" t="s">
        <v>2661</v>
      </c>
      <c r="C169" s="103" t="s">
        <v>264</v>
      </c>
      <c r="D169" s="104">
        <v>26.0</v>
      </c>
      <c r="E169" s="105" t="s">
        <v>2327</v>
      </c>
      <c r="F169" s="104" t="s">
        <v>2766</v>
      </c>
      <c r="G169" s="101">
        <v>1.0</v>
      </c>
      <c r="H169" s="101">
        <v>1.0</v>
      </c>
      <c r="I169" s="106" t="s">
        <v>2767</v>
      </c>
      <c r="J169" s="107" t="s">
        <v>2240</v>
      </c>
      <c r="K169" s="187" t="s">
        <v>2768</v>
      </c>
      <c r="L169" s="109" t="s">
        <v>2769</v>
      </c>
      <c r="M169" s="110" t="s">
        <v>2196</v>
      </c>
      <c r="N169" s="113" t="s">
        <v>2710</v>
      </c>
      <c r="O169" s="110" t="s">
        <v>2570</v>
      </c>
      <c r="P169" s="110" t="s">
        <v>2196</v>
      </c>
      <c r="Q169" s="110" t="s">
        <v>2196</v>
      </c>
    </row>
    <row r="170" ht="96.75" customHeight="1">
      <c r="A170" s="20"/>
      <c r="B170" s="20"/>
      <c r="C170" s="20"/>
      <c r="D170" s="20"/>
      <c r="E170" s="20"/>
      <c r="F170" s="19"/>
      <c r="G170" s="101">
        <v>2.0</v>
      </c>
      <c r="H170" s="101">
        <v>2.0</v>
      </c>
      <c r="I170" s="106" t="s">
        <v>2770</v>
      </c>
      <c r="J170" s="107" t="s">
        <v>2240</v>
      </c>
      <c r="K170" s="108" t="s">
        <v>2771</v>
      </c>
      <c r="L170" s="109" t="s">
        <v>2772</v>
      </c>
      <c r="M170" s="110" t="s">
        <v>2196</v>
      </c>
      <c r="N170" s="113" t="s">
        <v>2710</v>
      </c>
      <c r="O170" s="110" t="s">
        <v>2570</v>
      </c>
      <c r="P170" s="110" t="s">
        <v>2196</v>
      </c>
      <c r="Q170" s="110" t="s">
        <v>2196</v>
      </c>
    </row>
    <row r="171" ht="96.75" customHeight="1">
      <c r="A171" s="104" t="s">
        <v>20</v>
      </c>
      <c r="B171" s="104" t="s">
        <v>2661</v>
      </c>
      <c r="C171" s="103" t="s">
        <v>264</v>
      </c>
      <c r="D171" s="104">
        <v>27.0</v>
      </c>
      <c r="E171" s="105" t="s">
        <v>2339</v>
      </c>
      <c r="F171" s="19"/>
      <c r="G171" s="101">
        <v>3.0</v>
      </c>
      <c r="H171" s="101">
        <v>3.0</v>
      </c>
      <c r="I171" s="106" t="s">
        <v>2773</v>
      </c>
      <c r="J171" s="107" t="s">
        <v>2240</v>
      </c>
      <c r="K171" s="108" t="s">
        <v>2774</v>
      </c>
      <c r="L171" s="109" t="s">
        <v>2775</v>
      </c>
      <c r="M171" s="110" t="s">
        <v>2196</v>
      </c>
      <c r="N171" s="113" t="s">
        <v>2710</v>
      </c>
      <c r="O171" s="110" t="s">
        <v>2570</v>
      </c>
      <c r="P171" s="110" t="s">
        <v>2196</v>
      </c>
      <c r="Q171" s="110" t="s">
        <v>2196</v>
      </c>
    </row>
    <row r="172" ht="96.75" customHeight="1">
      <c r="A172" s="20"/>
      <c r="B172" s="20"/>
      <c r="C172" s="20"/>
      <c r="D172" s="20"/>
      <c r="E172" s="20"/>
      <c r="F172" s="19"/>
      <c r="G172" s="101">
        <v>4.0</v>
      </c>
      <c r="H172" s="101">
        <v>4.0</v>
      </c>
      <c r="I172" s="106" t="s">
        <v>2776</v>
      </c>
      <c r="J172" s="107" t="s">
        <v>2240</v>
      </c>
      <c r="K172" s="108" t="s">
        <v>2777</v>
      </c>
      <c r="L172" s="109" t="s">
        <v>2778</v>
      </c>
      <c r="M172" s="110" t="s">
        <v>2210</v>
      </c>
      <c r="N172" s="113" t="s">
        <v>2710</v>
      </c>
      <c r="O172" s="110" t="s">
        <v>2570</v>
      </c>
      <c r="P172" s="110" t="s">
        <v>2196</v>
      </c>
      <c r="Q172" s="110" t="s">
        <v>2196</v>
      </c>
    </row>
    <row r="173" ht="96.75" customHeight="1">
      <c r="A173" s="102" t="s">
        <v>20</v>
      </c>
      <c r="B173" s="104" t="s">
        <v>2661</v>
      </c>
      <c r="C173" s="103" t="s">
        <v>264</v>
      </c>
      <c r="D173" s="102">
        <v>28.0</v>
      </c>
      <c r="E173" s="111" t="s">
        <v>2347</v>
      </c>
      <c r="F173" s="19"/>
      <c r="G173" s="101">
        <v>5.0</v>
      </c>
      <c r="H173" s="112">
        <v>5.0</v>
      </c>
      <c r="I173" s="106" t="s">
        <v>2779</v>
      </c>
      <c r="J173" s="110" t="s">
        <v>2240</v>
      </c>
      <c r="K173" s="106" t="s">
        <v>2780</v>
      </c>
      <c r="L173" s="106" t="s">
        <v>2781</v>
      </c>
      <c r="M173" s="110" t="s">
        <v>2196</v>
      </c>
      <c r="N173" s="113" t="s">
        <v>2782</v>
      </c>
      <c r="O173" s="110" t="s">
        <v>2783</v>
      </c>
      <c r="P173" s="110" t="s">
        <v>2196</v>
      </c>
      <c r="Q173" s="110" t="s">
        <v>2196</v>
      </c>
    </row>
    <row r="174" ht="96.75" customHeight="1">
      <c r="A174" s="20"/>
      <c r="B174" s="20"/>
      <c r="C174" s="20"/>
      <c r="D174" s="19"/>
      <c r="E174" s="19"/>
      <c r="F174" s="19"/>
      <c r="G174" s="101">
        <v>6.0</v>
      </c>
      <c r="H174" s="112">
        <v>6.0</v>
      </c>
      <c r="I174" s="106" t="s">
        <v>2784</v>
      </c>
      <c r="J174" s="110" t="s">
        <v>2240</v>
      </c>
      <c r="K174" s="106" t="s">
        <v>2785</v>
      </c>
      <c r="L174" s="106" t="s">
        <v>2786</v>
      </c>
      <c r="M174" s="110" t="s">
        <v>2196</v>
      </c>
      <c r="N174" s="113" t="s">
        <v>2787</v>
      </c>
      <c r="O174" s="110" t="s">
        <v>2783</v>
      </c>
      <c r="P174" s="110" t="s">
        <v>2196</v>
      </c>
      <c r="Q174" s="110" t="s">
        <v>2196</v>
      </c>
    </row>
    <row r="175" ht="96.75" customHeight="1">
      <c r="A175" s="102" t="s">
        <v>20</v>
      </c>
      <c r="B175" s="104" t="s">
        <v>2661</v>
      </c>
      <c r="C175" s="103" t="s">
        <v>264</v>
      </c>
      <c r="D175" s="102">
        <v>29.0</v>
      </c>
      <c r="E175" s="114" t="s">
        <v>2354</v>
      </c>
      <c r="F175" s="19"/>
      <c r="G175" s="101">
        <v>7.0</v>
      </c>
      <c r="H175" s="112">
        <v>7.0</v>
      </c>
      <c r="I175" s="109" t="s">
        <v>2788</v>
      </c>
      <c r="J175" s="107" t="s">
        <v>2240</v>
      </c>
      <c r="K175" s="109" t="s">
        <v>2789</v>
      </c>
      <c r="L175" s="109" t="s">
        <v>2790</v>
      </c>
      <c r="M175" s="110" t="s">
        <v>2196</v>
      </c>
      <c r="N175" s="113" t="s">
        <v>2787</v>
      </c>
      <c r="O175" s="110" t="s">
        <v>2783</v>
      </c>
      <c r="P175" s="110" t="s">
        <v>2196</v>
      </c>
      <c r="Q175" s="110" t="s">
        <v>2196</v>
      </c>
    </row>
    <row r="176" ht="96.75" customHeight="1">
      <c r="A176" s="20"/>
      <c r="B176" s="20"/>
      <c r="C176" s="20"/>
      <c r="D176" s="20"/>
      <c r="E176" s="20"/>
      <c r="F176" s="20"/>
      <c r="G176" s="101">
        <v>8.0</v>
      </c>
      <c r="H176" s="112">
        <v>8.0</v>
      </c>
      <c r="I176" s="109" t="s">
        <v>2791</v>
      </c>
      <c r="J176" s="107" t="s">
        <v>2240</v>
      </c>
      <c r="K176" s="109" t="s">
        <v>2792</v>
      </c>
      <c r="L176" s="109" t="s">
        <v>2793</v>
      </c>
      <c r="M176" s="110" t="s">
        <v>2210</v>
      </c>
      <c r="N176" s="113" t="s">
        <v>2794</v>
      </c>
      <c r="O176" s="110" t="s">
        <v>2570</v>
      </c>
      <c r="P176" s="110" t="s">
        <v>2196</v>
      </c>
      <c r="Q176" s="110" t="s">
        <v>2196</v>
      </c>
    </row>
    <row r="177" ht="96.75" customHeight="1">
      <c r="A177" s="115" t="s">
        <v>20</v>
      </c>
      <c r="B177" s="115" t="s">
        <v>2661</v>
      </c>
      <c r="C177" s="116" t="s">
        <v>264</v>
      </c>
      <c r="D177" s="115">
        <v>30.0</v>
      </c>
      <c r="E177" s="117" t="s">
        <v>2363</v>
      </c>
      <c r="F177" s="115" t="s">
        <v>2795</v>
      </c>
      <c r="G177" s="118" t="s">
        <v>835</v>
      </c>
      <c r="H177" s="119" t="s">
        <v>1709</v>
      </c>
      <c r="I177" s="120" t="s">
        <v>2795</v>
      </c>
      <c r="J177" s="121"/>
      <c r="K177" s="121"/>
      <c r="L177" s="121"/>
      <c r="M177" s="121"/>
      <c r="N177" s="134"/>
      <c r="O177" s="121"/>
      <c r="P177" s="121"/>
      <c r="Q177" s="121"/>
    </row>
    <row r="178" ht="96.75" customHeight="1">
      <c r="A178" s="102" t="s">
        <v>20</v>
      </c>
      <c r="B178" s="104" t="s">
        <v>2661</v>
      </c>
      <c r="C178" s="103" t="s">
        <v>264</v>
      </c>
      <c r="D178" s="122">
        <v>31.0</v>
      </c>
      <c r="E178" s="114" t="s">
        <v>2365</v>
      </c>
      <c r="F178" s="102" t="s">
        <v>2796</v>
      </c>
      <c r="G178" s="112">
        <v>1.0</v>
      </c>
      <c r="H178" s="112">
        <v>11.0</v>
      </c>
      <c r="I178" s="106" t="s">
        <v>2797</v>
      </c>
      <c r="J178" s="110" t="s">
        <v>2193</v>
      </c>
      <c r="K178" s="106" t="s">
        <v>2798</v>
      </c>
      <c r="L178" s="106" t="s">
        <v>2799</v>
      </c>
      <c r="M178" s="110" t="s">
        <v>2196</v>
      </c>
      <c r="N178" s="113" t="s">
        <v>2787</v>
      </c>
      <c r="O178" s="110" t="s">
        <v>2783</v>
      </c>
      <c r="P178" s="110" t="s">
        <v>2196</v>
      </c>
      <c r="Q178" s="110" t="s">
        <v>2196</v>
      </c>
    </row>
    <row r="179" ht="96.75" customHeight="1">
      <c r="A179" s="20"/>
      <c r="B179" s="20"/>
      <c r="C179" s="20"/>
      <c r="D179" s="123"/>
      <c r="E179" s="20"/>
      <c r="F179" s="19"/>
      <c r="G179" s="112">
        <v>2.0</v>
      </c>
      <c r="H179" s="124">
        <v>12.0</v>
      </c>
      <c r="I179" s="106" t="s">
        <v>2800</v>
      </c>
      <c r="J179" s="110" t="s">
        <v>2193</v>
      </c>
      <c r="K179" s="106" t="s">
        <v>2801</v>
      </c>
      <c r="L179" s="106" t="s">
        <v>2802</v>
      </c>
      <c r="M179" s="110" t="s">
        <v>2196</v>
      </c>
      <c r="N179" s="113" t="s">
        <v>2787</v>
      </c>
      <c r="O179" s="110" t="s">
        <v>2783</v>
      </c>
      <c r="P179" s="110" t="s">
        <v>2196</v>
      </c>
      <c r="Q179" s="110" t="s">
        <v>2196</v>
      </c>
    </row>
    <row r="180" ht="96.75" customHeight="1">
      <c r="A180" s="104" t="s">
        <v>20</v>
      </c>
      <c r="B180" s="104" t="s">
        <v>2661</v>
      </c>
      <c r="C180" s="103" t="s">
        <v>264</v>
      </c>
      <c r="D180" s="122">
        <v>32.0</v>
      </c>
      <c r="E180" s="114" t="s">
        <v>2376</v>
      </c>
      <c r="F180" s="19"/>
      <c r="G180" s="101">
        <v>3.0</v>
      </c>
      <c r="H180" s="126">
        <v>13.0</v>
      </c>
      <c r="I180" s="109" t="s">
        <v>2803</v>
      </c>
      <c r="J180" s="107" t="s">
        <v>2240</v>
      </c>
      <c r="K180" s="109" t="s">
        <v>2804</v>
      </c>
      <c r="L180" s="109" t="s">
        <v>2805</v>
      </c>
      <c r="M180" s="110" t="s">
        <v>2196</v>
      </c>
      <c r="N180" s="113" t="s">
        <v>2787</v>
      </c>
      <c r="O180" s="110" t="s">
        <v>2783</v>
      </c>
      <c r="P180" s="110" t="s">
        <v>2196</v>
      </c>
      <c r="Q180" s="110" t="s">
        <v>2196</v>
      </c>
    </row>
    <row r="181" ht="96.75" customHeight="1">
      <c r="A181" s="20"/>
      <c r="B181" s="20"/>
      <c r="C181" s="20"/>
      <c r="D181" s="123"/>
      <c r="E181" s="20"/>
      <c r="F181" s="20"/>
      <c r="G181" s="101">
        <v>4.0</v>
      </c>
      <c r="H181" s="101">
        <v>14.0</v>
      </c>
      <c r="I181" s="109" t="s">
        <v>2806</v>
      </c>
      <c r="J181" s="107" t="s">
        <v>2240</v>
      </c>
      <c r="K181" s="109" t="s">
        <v>2807</v>
      </c>
      <c r="L181" s="109" t="s">
        <v>2808</v>
      </c>
      <c r="M181" s="110" t="s">
        <v>2210</v>
      </c>
      <c r="N181" s="113" t="s">
        <v>2809</v>
      </c>
      <c r="O181" s="110" t="s">
        <v>2810</v>
      </c>
      <c r="P181" s="110" t="s">
        <v>2196</v>
      </c>
      <c r="Q181" s="110" t="s">
        <v>2196</v>
      </c>
    </row>
    <row r="182" ht="96.75" customHeight="1">
      <c r="A182" s="127" t="s">
        <v>20</v>
      </c>
      <c r="B182" s="127" t="s">
        <v>2661</v>
      </c>
      <c r="C182" s="128" t="s">
        <v>264</v>
      </c>
      <c r="D182" s="127">
        <v>33.0</v>
      </c>
      <c r="E182" s="129" t="s">
        <v>2385</v>
      </c>
      <c r="F182" s="127" t="s">
        <v>2259</v>
      </c>
      <c r="G182" s="127" t="s">
        <v>835</v>
      </c>
      <c r="H182" s="127" t="s">
        <v>2258</v>
      </c>
      <c r="I182" s="130" t="s">
        <v>2259</v>
      </c>
      <c r="J182" s="131"/>
      <c r="K182" s="131"/>
      <c r="L182" s="131"/>
      <c r="M182" s="131"/>
      <c r="N182" s="173"/>
      <c r="O182" s="131"/>
      <c r="P182" s="131"/>
      <c r="Q182" s="131"/>
    </row>
    <row r="183" ht="96.75" customHeight="1">
      <c r="A183" s="132" t="s">
        <v>20</v>
      </c>
      <c r="B183" s="115" t="s">
        <v>2661</v>
      </c>
      <c r="C183" s="116" t="s">
        <v>264</v>
      </c>
      <c r="D183" s="132">
        <v>34.0</v>
      </c>
      <c r="E183" s="133" t="s">
        <v>2386</v>
      </c>
      <c r="F183" s="115" t="s">
        <v>2811</v>
      </c>
      <c r="G183" s="132" t="s">
        <v>2233</v>
      </c>
      <c r="H183" s="132" t="s">
        <v>2261</v>
      </c>
      <c r="I183" s="120" t="s">
        <v>2811</v>
      </c>
      <c r="J183" s="121"/>
      <c r="K183" s="121"/>
      <c r="L183" s="121"/>
      <c r="M183" s="121"/>
      <c r="N183" s="134"/>
      <c r="O183" s="121"/>
      <c r="P183" s="121"/>
      <c r="Q183" s="121"/>
    </row>
    <row r="184" ht="96.75" customHeight="1">
      <c r="A184" s="102" t="s">
        <v>20</v>
      </c>
      <c r="B184" s="104" t="s">
        <v>2661</v>
      </c>
      <c r="C184" s="103" t="s">
        <v>264</v>
      </c>
      <c r="D184" s="102">
        <v>35.0</v>
      </c>
      <c r="E184" s="114" t="s">
        <v>2388</v>
      </c>
      <c r="F184" s="102" t="s">
        <v>2812</v>
      </c>
      <c r="G184" s="112">
        <v>1.0</v>
      </c>
      <c r="H184" s="112">
        <v>19.0</v>
      </c>
      <c r="I184" s="106" t="s">
        <v>2813</v>
      </c>
      <c r="J184" s="110" t="s">
        <v>2193</v>
      </c>
      <c r="K184" s="106" t="s">
        <v>2814</v>
      </c>
      <c r="L184" s="106" t="s">
        <v>2815</v>
      </c>
      <c r="M184" s="110" t="s">
        <v>2196</v>
      </c>
      <c r="N184" s="113" t="s">
        <v>2816</v>
      </c>
      <c r="O184" s="110" t="s">
        <v>2817</v>
      </c>
      <c r="P184" s="110" t="s">
        <v>2196</v>
      </c>
      <c r="Q184" s="110" t="s">
        <v>2196</v>
      </c>
    </row>
    <row r="185" ht="96.75" customHeight="1">
      <c r="A185" s="20"/>
      <c r="B185" s="20"/>
      <c r="C185" s="20"/>
      <c r="D185" s="20"/>
      <c r="E185" s="20"/>
      <c r="F185" s="19"/>
      <c r="G185" s="112">
        <v>2.0</v>
      </c>
      <c r="H185" s="112">
        <v>20.0</v>
      </c>
      <c r="I185" s="106" t="s">
        <v>2818</v>
      </c>
      <c r="J185" s="110" t="s">
        <v>2193</v>
      </c>
      <c r="K185" s="106" t="s">
        <v>2819</v>
      </c>
      <c r="L185" s="106" t="s">
        <v>2820</v>
      </c>
      <c r="M185" s="110" t="s">
        <v>2196</v>
      </c>
      <c r="N185" s="113" t="s">
        <v>2816</v>
      </c>
      <c r="O185" s="110" t="s">
        <v>2817</v>
      </c>
      <c r="P185" s="110" t="s">
        <v>2196</v>
      </c>
      <c r="Q185" s="110" t="s">
        <v>2196</v>
      </c>
    </row>
    <row r="186" ht="96.75" customHeight="1">
      <c r="A186" s="102" t="s">
        <v>20</v>
      </c>
      <c r="B186" s="104" t="s">
        <v>2661</v>
      </c>
      <c r="C186" s="103" t="s">
        <v>264</v>
      </c>
      <c r="D186" s="102">
        <v>36.0</v>
      </c>
      <c r="E186" s="135" t="s">
        <v>2397</v>
      </c>
      <c r="F186" s="19"/>
      <c r="G186" s="136" t="s">
        <v>2233</v>
      </c>
      <c r="H186" s="137" t="s">
        <v>2398</v>
      </c>
      <c r="I186" s="138" t="s">
        <v>2399</v>
      </c>
      <c r="J186" s="139"/>
      <c r="K186" s="139"/>
      <c r="L186" s="139"/>
      <c r="M186" s="139"/>
      <c r="N186" s="140"/>
      <c r="O186" s="139"/>
      <c r="P186" s="139"/>
      <c r="Q186" s="139"/>
    </row>
    <row r="187" ht="96.75" customHeight="1">
      <c r="A187" s="19"/>
      <c r="B187" s="19"/>
      <c r="C187" s="19"/>
      <c r="D187" s="19"/>
      <c r="E187" s="141"/>
      <c r="F187" s="19"/>
      <c r="G187" s="142">
        <v>3.0</v>
      </c>
      <c r="H187" s="112">
        <v>21.0</v>
      </c>
      <c r="I187" s="106" t="s">
        <v>2821</v>
      </c>
      <c r="J187" s="110" t="s">
        <v>2193</v>
      </c>
      <c r="K187" s="106" t="s">
        <v>2822</v>
      </c>
      <c r="L187" s="106" t="s">
        <v>2823</v>
      </c>
      <c r="M187" s="110" t="s">
        <v>2196</v>
      </c>
      <c r="N187" s="113" t="s">
        <v>2824</v>
      </c>
      <c r="O187" s="110" t="s">
        <v>2825</v>
      </c>
      <c r="P187" s="110" t="s">
        <v>2196</v>
      </c>
      <c r="Q187" s="110" t="s">
        <v>2196</v>
      </c>
    </row>
    <row r="188" ht="96.75" customHeight="1">
      <c r="A188" s="20"/>
      <c r="B188" s="20"/>
      <c r="C188" s="20"/>
      <c r="D188" s="20"/>
      <c r="E188" s="141"/>
      <c r="F188" s="19"/>
      <c r="G188" s="142">
        <v>4.0</v>
      </c>
      <c r="H188" s="112">
        <v>22.0</v>
      </c>
      <c r="I188" s="106" t="s">
        <v>2826</v>
      </c>
      <c r="J188" s="110" t="s">
        <v>2193</v>
      </c>
      <c r="K188" s="106" t="s">
        <v>2827</v>
      </c>
      <c r="L188" s="106" t="s">
        <v>2828</v>
      </c>
      <c r="M188" s="110" t="s">
        <v>2210</v>
      </c>
      <c r="N188" s="113" t="s">
        <v>2829</v>
      </c>
      <c r="O188" s="110" t="s">
        <v>2817</v>
      </c>
      <c r="P188" s="110" t="s">
        <v>2196</v>
      </c>
      <c r="Q188" s="110" t="s">
        <v>2196</v>
      </c>
    </row>
    <row r="189" ht="96.75" customHeight="1">
      <c r="A189" s="127" t="s">
        <v>20</v>
      </c>
      <c r="B189" s="127" t="s">
        <v>2661</v>
      </c>
      <c r="C189" s="128" t="s">
        <v>313</v>
      </c>
      <c r="D189" s="127">
        <v>37.0</v>
      </c>
      <c r="E189" s="143" t="s">
        <v>2406</v>
      </c>
      <c r="F189" s="127" t="s">
        <v>2259</v>
      </c>
      <c r="G189" s="127">
        <v>1.0</v>
      </c>
      <c r="H189" s="127" t="s">
        <v>2407</v>
      </c>
      <c r="I189" s="130" t="s">
        <v>2259</v>
      </c>
      <c r="J189" s="131"/>
      <c r="K189" s="131"/>
      <c r="L189" s="131"/>
      <c r="M189" s="131"/>
      <c r="N189" s="173"/>
      <c r="O189" s="131"/>
      <c r="P189" s="131"/>
      <c r="Q189" s="131"/>
    </row>
    <row r="190" ht="96.75" customHeight="1">
      <c r="A190" s="115" t="s">
        <v>20</v>
      </c>
      <c r="B190" s="115" t="s">
        <v>2661</v>
      </c>
      <c r="C190" s="116" t="s">
        <v>313</v>
      </c>
      <c r="D190" s="115">
        <v>38.0</v>
      </c>
      <c r="E190" s="144" t="s">
        <v>2408</v>
      </c>
      <c r="F190" s="115" t="s">
        <v>2830</v>
      </c>
      <c r="G190" s="115">
        <v>3.0</v>
      </c>
      <c r="H190" s="115" t="s">
        <v>2410</v>
      </c>
      <c r="I190" s="120" t="s">
        <v>2830</v>
      </c>
      <c r="J190" s="121"/>
      <c r="K190" s="121"/>
      <c r="L190" s="121"/>
      <c r="M190" s="121"/>
      <c r="N190" s="134"/>
      <c r="O190" s="121"/>
      <c r="P190" s="121"/>
      <c r="Q190" s="121"/>
    </row>
    <row r="191" ht="96.75" customHeight="1">
      <c r="A191" s="102" t="s">
        <v>20</v>
      </c>
      <c r="B191" s="102" t="s">
        <v>2661</v>
      </c>
      <c r="C191" s="103" t="s">
        <v>313</v>
      </c>
      <c r="D191" s="102">
        <v>39.0</v>
      </c>
      <c r="E191" s="114" t="s">
        <v>2411</v>
      </c>
      <c r="F191" s="102" t="s">
        <v>2831</v>
      </c>
      <c r="G191" s="112">
        <v>1.0</v>
      </c>
      <c r="H191" s="112">
        <v>26.0</v>
      </c>
      <c r="I191" s="106" t="s">
        <v>2832</v>
      </c>
      <c r="J191" s="110" t="s">
        <v>2240</v>
      </c>
      <c r="K191" s="106" t="s">
        <v>2833</v>
      </c>
      <c r="L191" s="106" t="s">
        <v>2834</v>
      </c>
      <c r="M191" s="110" t="s">
        <v>2196</v>
      </c>
      <c r="N191" s="113" t="s">
        <v>2835</v>
      </c>
      <c r="O191" s="110" t="s">
        <v>2836</v>
      </c>
      <c r="P191" s="110" t="s">
        <v>2196</v>
      </c>
      <c r="Q191" s="110" t="s">
        <v>2196</v>
      </c>
    </row>
    <row r="192" ht="96.75" customHeight="1">
      <c r="A192" s="20"/>
      <c r="B192" s="20"/>
      <c r="C192" s="20"/>
      <c r="D192" s="20"/>
      <c r="E192" s="20"/>
      <c r="F192" s="19"/>
      <c r="G192" s="101">
        <v>2.0</v>
      </c>
      <c r="H192" s="101">
        <v>27.0</v>
      </c>
      <c r="I192" s="106" t="s">
        <v>2837</v>
      </c>
      <c r="J192" s="110" t="s">
        <v>2240</v>
      </c>
      <c r="K192" s="106" t="s">
        <v>2838</v>
      </c>
      <c r="L192" s="106" t="s">
        <v>2839</v>
      </c>
      <c r="M192" s="110" t="s">
        <v>2196</v>
      </c>
      <c r="N192" s="113" t="s">
        <v>2835</v>
      </c>
      <c r="O192" s="110" t="s">
        <v>2836</v>
      </c>
      <c r="P192" s="110" t="s">
        <v>2196</v>
      </c>
      <c r="Q192" s="110" t="s">
        <v>2196</v>
      </c>
    </row>
    <row r="193" ht="96.75" customHeight="1">
      <c r="A193" s="104" t="s">
        <v>20</v>
      </c>
      <c r="B193" s="104" t="s">
        <v>2661</v>
      </c>
      <c r="C193" s="103" t="s">
        <v>313</v>
      </c>
      <c r="D193" s="104">
        <v>40.0</v>
      </c>
      <c r="E193" s="105" t="s">
        <v>2425</v>
      </c>
      <c r="F193" s="19"/>
      <c r="G193" s="101">
        <v>3.0</v>
      </c>
      <c r="H193" s="101">
        <v>28.0</v>
      </c>
      <c r="I193" s="106" t="s">
        <v>2840</v>
      </c>
      <c r="J193" s="110" t="s">
        <v>2240</v>
      </c>
      <c r="K193" s="106" t="s">
        <v>2841</v>
      </c>
      <c r="L193" s="106" t="s">
        <v>2842</v>
      </c>
      <c r="M193" s="110" t="s">
        <v>2196</v>
      </c>
      <c r="N193" s="113" t="s">
        <v>2835</v>
      </c>
      <c r="O193" s="110" t="s">
        <v>2836</v>
      </c>
      <c r="P193" s="110" t="s">
        <v>2196</v>
      </c>
      <c r="Q193" s="110" t="s">
        <v>2196</v>
      </c>
    </row>
    <row r="194" ht="96.75" customHeight="1">
      <c r="A194" s="19"/>
      <c r="B194" s="19"/>
      <c r="C194" s="20"/>
      <c r="D194" s="19"/>
      <c r="E194" s="19"/>
      <c r="F194" s="19"/>
      <c r="G194" s="101">
        <v>4.0</v>
      </c>
      <c r="H194" s="101">
        <v>29.0</v>
      </c>
      <c r="I194" s="106" t="s">
        <v>2843</v>
      </c>
      <c r="J194" s="110" t="s">
        <v>2240</v>
      </c>
      <c r="K194" s="106" t="s">
        <v>2844</v>
      </c>
      <c r="L194" s="106" t="s">
        <v>2845</v>
      </c>
      <c r="M194" s="110" t="s">
        <v>2210</v>
      </c>
      <c r="N194" s="113" t="s">
        <v>2835</v>
      </c>
      <c r="O194" s="110" t="s">
        <v>2836</v>
      </c>
      <c r="P194" s="110" t="s">
        <v>2196</v>
      </c>
      <c r="Q194" s="110" t="s">
        <v>2196</v>
      </c>
    </row>
    <row r="195" ht="96.75" customHeight="1">
      <c r="A195" s="104" t="s">
        <v>20</v>
      </c>
      <c r="B195" s="104" t="s">
        <v>2661</v>
      </c>
      <c r="C195" s="103" t="s">
        <v>313</v>
      </c>
      <c r="D195" s="104">
        <v>41.0</v>
      </c>
      <c r="E195" s="145" t="s">
        <v>2432</v>
      </c>
      <c r="F195" s="19"/>
      <c r="G195" s="101">
        <v>5.0</v>
      </c>
      <c r="H195" s="101">
        <v>30.0</v>
      </c>
      <c r="I195" s="106" t="s">
        <v>2846</v>
      </c>
      <c r="J195" s="110" t="s">
        <v>2240</v>
      </c>
      <c r="K195" s="106" t="s">
        <v>2847</v>
      </c>
      <c r="L195" s="106" t="s">
        <v>2848</v>
      </c>
      <c r="M195" s="110" t="s">
        <v>2196</v>
      </c>
      <c r="N195" s="113" t="s">
        <v>2835</v>
      </c>
      <c r="O195" s="110" t="s">
        <v>2836</v>
      </c>
      <c r="P195" s="110" t="s">
        <v>2196</v>
      </c>
      <c r="Q195" s="110" t="s">
        <v>2196</v>
      </c>
    </row>
    <row r="196" ht="96.75" customHeight="1">
      <c r="A196" s="19"/>
      <c r="B196" s="19"/>
      <c r="C196" s="20"/>
      <c r="D196" s="19"/>
      <c r="E196" s="20"/>
      <c r="F196" s="19"/>
      <c r="G196" s="146">
        <v>6.0</v>
      </c>
      <c r="H196" s="146">
        <v>31.0</v>
      </c>
      <c r="I196" s="147" t="s">
        <v>2849</v>
      </c>
      <c r="J196" s="148" t="s">
        <v>2240</v>
      </c>
      <c r="K196" s="106" t="s">
        <v>2850</v>
      </c>
      <c r="L196" s="106" t="s">
        <v>2851</v>
      </c>
      <c r="M196" s="110" t="s">
        <v>2196</v>
      </c>
      <c r="N196" s="113" t="s">
        <v>2835</v>
      </c>
      <c r="O196" s="110" t="s">
        <v>2836</v>
      </c>
      <c r="P196" s="110" t="s">
        <v>2196</v>
      </c>
      <c r="Q196" s="110" t="s">
        <v>2196</v>
      </c>
    </row>
    <row r="197" ht="96.75" customHeight="1">
      <c r="A197" s="150" t="s">
        <v>20</v>
      </c>
      <c r="B197" s="102" t="s">
        <v>2661</v>
      </c>
      <c r="C197" s="103" t="s">
        <v>313</v>
      </c>
      <c r="D197" s="150">
        <v>42.0</v>
      </c>
      <c r="E197" s="145" t="s">
        <v>2443</v>
      </c>
      <c r="F197" s="19"/>
      <c r="G197" s="115" t="s">
        <v>2233</v>
      </c>
      <c r="H197" s="115" t="s">
        <v>2444</v>
      </c>
      <c r="I197" s="120" t="s">
        <v>2852</v>
      </c>
      <c r="J197" s="121"/>
      <c r="K197" s="121"/>
      <c r="L197" s="121"/>
      <c r="M197" s="121"/>
      <c r="N197" s="134"/>
      <c r="O197" s="121"/>
      <c r="P197" s="121"/>
      <c r="Q197" s="121"/>
    </row>
    <row r="198" ht="96.75" customHeight="1">
      <c r="A198" s="19"/>
      <c r="B198" s="19"/>
      <c r="C198" s="19"/>
      <c r="D198" s="19"/>
      <c r="E198" s="19"/>
      <c r="F198" s="19"/>
      <c r="G198" s="101">
        <v>7.0</v>
      </c>
      <c r="H198" s="101">
        <v>32.0</v>
      </c>
      <c r="I198" s="106" t="s">
        <v>2853</v>
      </c>
      <c r="J198" s="110" t="s">
        <v>2240</v>
      </c>
      <c r="K198" s="106" t="s">
        <v>2854</v>
      </c>
      <c r="L198" s="106" t="s">
        <v>2855</v>
      </c>
      <c r="M198" s="110" t="s">
        <v>2196</v>
      </c>
      <c r="N198" s="113" t="s">
        <v>2835</v>
      </c>
      <c r="O198" s="110" t="s">
        <v>2836</v>
      </c>
      <c r="P198" s="110" t="s">
        <v>2196</v>
      </c>
      <c r="Q198" s="110" t="s">
        <v>2196</v>
      </c>
    </row>
    <row r="199" ht="96.75" customHeight="1">
      <c r="A199" s="20"/>
      <c r="B199" s="20"/>
      <c r="C199" s="20"/>
      <c r="D199" s="20"/>
      <c r="E199" s="20"/>
      <c r="F199" s="20"/>
      <c r="G199" s="101">
        <v>8.0</v>
      </c>
      <c r="H199" s="101">
        <v>33.0</v>
      </c>
      <c r="I199" s="106" t="s">
        <v>2856</v>
      </c>
      <c r="J199" s="110" t="s">
        <v>2240</v>
      </c>
      <c r="K199" s="106" t="s">
        <v>2857</v>
      </c>
      <c r="L199" s="106" t="s">
        <v>2858</v>
      </c>
      <c r="M199" s="110" t="s">
        <v>2210</v>
      </c>
      <c r="N199" s="113" t="s">
        <v>2835</v>
      </c>
      <c r="O199" s="110" t="s">
        <v>2836</v>
      </c>
      <c r="P199" s="147"/>
      <c r="Q199" s="147"/>
    </row>
    <row r="200" ht="96.75" customHeight="1">
      <c r="A200" s="115" t="s">
        <v>20</v>
      </c>
      <c r="B200" s="115" t="s">
        <v>2661</v>
      </c>
      <c r="C200" s="116" t="s">
        <v>313</v>
      </c>
      <c r="D200" s="115">
        <v>43.0</v>
      </c>
      <c r="E200" s="144" t="s">
        <v>2456</v>
      </c>
      <c r="F200" s="119" t="s">
        <v>2859</v>
      </c>
      <c r="G200" s="115" t="s">
        <v>2233</v>
      </c>
      <c r="H200" s="115" t="s">
        <v>2458</v>
      </c>
      <c r="I200" s="151" t="s">
        <v>2859</v>
      </c>
      <c r="J200" s="152"/>
      <c r="K200" s="152"/>
      <c r="L200" s="152"/>
      <c r="M200" s="121"/>
      <c r="N200" s="153"/>
      <c r="O200" s="152"/>
      <c r="P200" s="152"/>
      <c r="Q200" s="152"/>
    </row>
    <row r="201" ht="96.75" customHeight="1">
      <c r="A201" s="115" t="s">
        <v>20</v>
      </c>
      <c r="B201" s="188" t="s">
        <v>2661</v>
      </c>
      <c r="C201" s="116" t="s">
        <v>313</v>
      </c>
      <c r="D201" s="115">
        <v>44.0</v>
      </c>
      <c r="E201" s="144" t="s">
        <v>2459</v>
      </c>
      <c r="F201" s="20"/>
      <c r="G201" s="115" t="s">
        <v>2233</v>
      </c>
      <c r="H201" s="115" t="s">
        <v>2460</v>
      </c>
      <c r="I201" s="20"/>
      <c r="J201" s="20"/>
      <c r="K201" s="189"/>
      <c r="L201" s="189"/>
      <c r="M201" s="121"/>
      <c r="N201" s="20"/>
      <c r="O201" s="20"/>
      <c r="P201" s="20"/>
      <c r="Q201" s="20"/>
    </row>
    <row r="202" ht="96.75" customHeight="1">
      <c r="A202" s="137" t="s">
        <v>20</v>
      </c>
      <c r="B202" s="137" t="s">
        <v>2661</v>
      </c>
      <c r="C202" s="154" t="s">
        <v>313</v>
      </c>
      <c r="D202" s="137">
        <v>45.0</v>
      </c>
      <c r="E202" s="155" t="s">
        <v>2461</v>
      </c>
      <c r="F202" s="156" t="s">
        <v>2462</v>
      </c>
      <c r="G202" s="137" t="s">
        <v>2233</v>
      </c>
      <c r="H202" s="137" t="s">
        <v>2463</v>
      </c>
      <c r="I202" s="138" t="s">
        <v>2462</v>
      </c>
      <c r="J202" s="139"/>
      <c r="K202" s="139"/>
      <c r="L202" s="139"/>
      <c r="M202" s="139"/>
      <c r="N202" s="140"/>
      <c r="O202" s="139"/>
      <c r="P202" s="139"/>
      <c r="Q202" s="139"/>
    </row>
    <row r="203" ht="96.75" customHeight="1">
      <c r="A203" s="18" t="s">
        <v>20</v>
      </c>
      <c r="B203" s="18" t="s">
        <v>2860</v>
      </c>
      <c r="C203" s="18" t="s">
        <v>22</v>
      </c>
      <c r="D203" s="18">
        <v>1.0</v>
      </c>
      <c r="E203" s="159" t="s">
        <v>2190</v>
      </c>
      <c r="F203" s="190" t="s">
        <v>2861</v>
      </c>
      <c r="G203" s="191">
        <v>1.0</v>
      </c>
      <c r="H203" s="191">
        <v>1.0</v>
      </c>
      <c r="I203" s="179" t="s">
        <v>2862</v>
      </c>
      <c r="J203" s="191" t="s">
        <v>2193</v>
      </c>
      <c r="K203" s="183" t="s">
        <v>2863</v>
      </c>
      <c r="L203" s="183" t="s">
        <v>2864</v>
      </c>
      <c r="M203" s="48" t="s">
        <v>2196</v>
      </c>
      <c r="N203" s="158" t="s">
        <v>2865</v>
      </c>
      <c r="O203" s="48" t="s">
        <v>2866</v>
      </c>
      <c r="P203" s="48" t="s">
        <v>2196</v>
      </c>
      <c r="Q203" s="48" t="s">
        <v>2196</v>
      </c>
    </row>
    <row r="204" ht="75.0" customHeight="1">
      <c r="A204" s="20"/>
      <c r="B204" s="20"/>
      <c r="C204" s="20"/>
      <c r="D204" s="20"/>
      <c r="E204" s="20"/>
      <c r="F204" s="19"/>
      <c r="G204" s="191">
        <v>2.0</v>
      </c>
      <c r="H204" s="191">
        <v>2.0</v>
      </c>
      <c r="I204" s="179" t="s">
        <v>2867</v>
      </c>
      <c r="J204" s="191" t="s">
        <v>2240</v>
      </c>
      <c r="K204" s="183" t="s">
        <v>2868</v>
      </c>
      <c r="L204" s="183" t="s">
        <v>2869</v>
      </c>
      <c r="M204" s="48" t="s">
        <v>2196</v>
      </c>
      <c r="N204" s="158" t="s">
        <v>2865</v>
      </c>
      <c r="O204" s="48" t="s">
        <v>2866</v>
      </c>
      <c r="P204" s="48" t="s">
        <v>2196</v>
      </c>
      <c r="Q204" s="48" t="s">
        <v>2196</v>
      </c>
    </row>
    <row r="205" ht="91.5" customHeight="1">
      <c r="A205" s="18" t="s">
        <v>20</v>
      </c>
      <c r="B205" s="18" t="s">
        <v>2860</v>
      </c>
      <c r="C205" s="18" t="s">
        <v>22</v>
      </c>
      <c r="D205" s="59">
        <v>2.0</v>
      </c>
      <c r="E205" s="159" t="s">
        <v>2203</v>
      </c>
      <c r="F205" s="19"/>
      <c r="G205" s="191">
        <v>3.0</v>
      </c>
      <c r="H205" s="191">
        <v>3.0</v>
      </c>
      <c r="I205" s="179" t="s">
        <v>2870</v>
      </c>
      <c r="J205" s="191" t="s">
        <v>2193</v>
      </c>
      <c r="K205" s="183" t="s">
        <v>2871</v>
      </c>
      <c r="L205" s="183" t="s">
        <v>2872</v>
      </c>
      <c r="M205" s="48" t="s">
        <v>2196</v>
      </c>
      <c r="N205" s="158" t="s">
        <v>2865</v>
      </c>
      <c r="O205" s="48" t="s">
        <v>2866</v>
      </c>
      <c r="P205" s="48" t="s">
        <v>2196</v>
      </c>
      <c r="Q205" s="48" t="s">
        <v>2196</v>
      </c>
    </row>
    <row r="206" ht="80.25" customHeight="1">
      <c r="A206" s="20"/>
      <c r="B206" s="20"/>
      <c r="C206" s="20"/>
      <c r="D206" s="20"/>
      <c r="E206" s="20"/>
      <c r="F206" s="20"/>
      <c r="G206" s="191">
        <v>4.0</v>
      </c>
      <c r="H206" s="191">
        <v>4.0</v>
      </c>
      <c r="I206" s="179" t="s">
        <v>2873</v>
      </c>
      <c r="J206" s="191" t="s">
        <v>2240</v>
      </c>
      <c r="K206" s="183" t="s">
        <v>2874</v>
      </c>
      <c r="L206" s="183" t="s">
        <v>2875</v>
      </c>
      <c r="M206" s="48" t="s">
        <v>2210</v>
      </c>
      <c r="N206" s="158" t="s">
        <v>2865</v>
      </c>
      <c r="O206" s="48" t="s">
        <v>2866</v>
      </c>
      <c r="P206" s="48" t="s">
        <v>2196</v>
      </c>
      <c r="Q206" s="48" t="s">
        <v>2196</v>
      </c>
    </row>
    <row r="207" ht="52.5" customHeight="1">
      <c r="A207" s="50" t="s">
        <v>20</v>
      </c>
      <c r="B207" s="50" t="s">
        <v>2860</v>
      </c>
      <c r="C207" s="50" t="s">
        <v>22</v>
      </c>
      <c r="D207" s="51">
        <v>3.0</v>
      </c>
      <c r="E207" s="52" t="s">
        <v>2211</v>
      </c>
      <c r="F207" s="51" t="s">
        <v>2212</v>
      </c>
      <c r="G207" s="50"/>
      <c r="H207" s="50"/>
      <c r="I207" s="53"/>
      <c r="J207" s="50"/>
      <c r="K207" s="54"/>
      <c r="L207" s="54"/>
      <c r="M207" s="50"/>
      <c r="N207" s="55"/>
      <c r="O207" s="50"/>
      <c r="P207" s="54"/>
      <c r="Q207" s="54"/>
    </row>
    <row r="208" ht="69.75" customHeight="1">
      <c r="A208" s="18" t="s">
        <v>20</v>
      </c>
      <c r="B208" s="18" t="s">
        <v>2860</v>
      </c>
      <c r="C208" s="18" t="s">
        <v>22</v>
      </c>
      <c r="D208" s="59">
        <v>4.0</v>
      </c>
      <c r="E208" s="159" t="s">
        <v>2213</v>
      </c>
      <c r="F208" s="190" t="s">
        <v>2861</v>
      </c>
      <c r="G208" s="191">
        <v>5.0</v>
      </c>
      <c r="H208" s="191">
        <v>5.0</v>
      </c>
      <c r="I208" s="192" t="s">
        <v>2876</v>
      </c>
      <c r="J208" s="191" t="s">
        <v>2240</v>
      </c>
      <c r="K208" s="183" t="s">
        <v>2877</v>
      </c>
      <c r="L208" s="183" t="s">
        <v>2878</v>
      </c>
      <c r="M208" s="48" t="s">
        <v>2196</v>
      </c>
      <c r="N208" s="158" t="s">
        <v>2865</v>
      </c>
      <c r="O208" s="48" t="s">
        <v>2866</v>
      </c>
      <c r="P208" s="48" t="s">
        <v>2196</v>
      </c>
      <c r="Q208" s="48" t="s">
        <v>2196</v>
      </c>
    </row>
    <row r="209" ht="75.0" customHeight="1">
      <c r="A209" s="20"/>
      <c r="B209" s="20"/>
      <c r="C209" s="20"/>
      <c r="D209" s="20"/>
      <c r="E209" s="20"/>
      <c r="F209" s="19"/>
      <c r="G209" s="191">
        <v>6.0</v>
      </c>
      <c r="H209" s="191">
        <v>6.0</v>
      </c>
      <c r="I209" s="192" t="s">
        <v>2879</v>
      </c>
      <c r="J209" s="191" t="s">
        <v>2240</v>
      </c>
      <c r="K209" s="183" t="s">
        <v>2880</v>
      </c>
      <c r="L209" s="183" t="s">
        <v>2881</v>
      </c>
      <c r="M209" s="48" t="s">
        <v>2196</v>
      </c>
      <c r="N209" s="158" t="s">
        <v>2865</v>
      </c>
      <c r="O209" s="48" t="s">
        <v>2866</v>
      </c>
      <c r="P209" s="48" t="s">
        <v>2196</v>
      </c>
      <c r="Q209" s="48" t="s">
        <v>2196</v>
      </c>
    </row>
    <row r="210" ht="80.25" customHeight="1">
      <c r="A210" s="18" t="s">
        <v>20</v>
      </c>
      <c r="B210" s="18" t="s">
        <v>2860</v>
      </c>
      <c r="C210" s="18" t="s">
        <v>22</v>
      </c>
      <c r="D210" s="59">
        <v>5.0</v>
      </c>
      <c r="E210" s="159" t="s">
        <v>2223</v>
      </c>
      <c r="F210" s="19"/>
      <c r="G210" s="191">
        <v>7.0</v>
      </c>
      <c r="H210" s="191">
        <v>7.0</v>
      </c>
      <c r="I210" s="192" t="s">
        <v>2882</v>
      </c>
      <c r="J210" s="191" t="s">
        <v>2700</v>
      </c>
      <c r="K210" s="183" t="s">
        <v>2883</v>
      </c>
      <c r="L210" s="183" t="s">
        <v>2884</v>
      </c>
      <c r="M210" s="48" t="s">
        <v>2196</v>
      </c>
      <c r="N210" s="158" t="s">
        <v>2865</v>
      </c>
      <c r="O210" s="48" t="s">
        <v>2866</v>
      </c>
      <c r="P210" s="48" t="s">
        <v>2196</v>
      </c>
      <c r="Q210" s="48" t="s">
        <v>2196</v>
      </c>
    </row>
    <row r="211" ht="103.5" customHeight="1">
      <c r="A211" s="20"/>
      <c r="B211" s="20"/>
      <c r="C211" s="20"/>
      <c r="D211" s="20"/>
      <c r="E211" s="20"/>
      <c r="F211" s="20"/>
      <c r="G211" s="191">
        <v>8.0</v>
      </c>
      <c r="H211" s="191">
        <v>8.0</v>
      </c>
      <c r="I211" s="192" t="s">
        <v>2885</v>
      </c>
      <c r="J211" s="191" t="s">
        <v>2193</v>
      </c>
      <c r="K211" s="183" t="s">
        <v>2886</v>
      </c>
      <c r="L211" s="183" t="s">
        <v>2887</v>
      </c>
      <c r="M211" s="48" t="s">
        <v>2210</v>
      </c>
      <c r="N211" s="158" t="s">
        <v>2865</v>
      </c>
      <c r="O211" s="48" t="s">
        <v>2866</v>
      </c>
      <c r="P211" s="48" t="s">
        <v>2196</v>
      </c>
      <c r="Q211" s="48" t="s">
        <v>2196</v>
      </c>
    </row>
    <row r="212" ht="69.75" customHeight="1">
      <c r="A212" s="65" t="s">
        <v>20</v>
      </c>
      <c r="B212" s="65" t="s">
        <v>2860</v>
      </c>
      <c r="C212" s="65" t="s">
        <v>22</v>
      </c>
      <c r="D212" s="65">
        <v>6.0</v>
      </c>
      <c r="E212" s="160" t="s">
        <v>2232</v>
      </c>
      <c r="F212" s="86"/>
      <c r="G212" s="65" t="s">
        <v>2233</v>
      </c>
      <c r="H212" s="65" t="s">
        <v>1709</v>
      </c>
      <c r="I212" s="98" t="s">
        <v>2888</v>
      </c>
      <c r="J212" s="70"/>
      <c r="K212" s="70"/>
      <c r="L212" s="70"/>
      <c r="M212" s="65" t="s">
        <v>2235</v>
      </c>
      <c r="N212" s="67" t="s">
        <v>2235</v>
      </c>
      <c r="O212" s="65" t="s">
        <v>2236</v>
      </c>
      <c r="P212" s="70" t="s">
        <v>2235</v>
      </c>
      <c r="Q212" s="70"/>
    </row>
    <row r="213" ht="117.0" customHeight="1">
      <c r="A213" s="18" t="s">
        <v>20</v>
      </c>
      <c r="B213" s="18" t="s">
        <v>2860</v>
      </c>
      <c r="C213" s="18" t="s">
        <v>22</v>
      </c>
      <c r="D213" s="59">
        <v>7.0</v>
      </c>
      <c r="E213" s="159" t="s">
        <v>2237</v>
      </c>
      <c r="F213" s="59" t="s">
        <v>2889</v>
      </c>
      <c r="G213" s="10">
        <v>1.0</v>
      </c>
      <c r="H213" s="10">
        <v>11.0</v>
      </c>
      <c r="I213" s="58" t="s">
        <v>2813</v>
      </c>
      <c r="J213" s="10" t="s">
        <v>2193</v>
      </c>
      <c r="K213" s="47" t="s">
        <v>2890</v>
      </c>
      <c r="L213" s="47" t="s">
        <v>2891</v>
      </c>
      <c r="M213" s="48" t="s">
        <v>2196</v>
      </c>
      <c r="N213" s="182" t="s">
        <v>2892</v>
      </c>
      <c r="O213" s="48" t="s">
        <v>2893</v>
      </c>
      <c r="P213" s="165"/>
      <c r="Q213" s="165"/>
    </row>
    <row r="214" ht="138.0" customHeight="1">
      <c r="A214" s="20"/>
      <c r="B214" s="20"/>
      <c r="C214" s="20"/>
      <c r="D214" s="20"/>
      <c r="E214" s="20"/>
      <c r="F214" s="19"/>
      <c r="G214" s="10">
        <v>2.0</v>
      </c>
      <c r="H214" s="10">
        <v>12.0</v>
      </c>
      <c r="I214" s="58" t="s">
        <v>2818</v>
      </c>
      <c r="J214" s="10" t="s">
        <v>2193</v>
      </c>
      <c r="K214" s="47" t="s">
        <v>2894</v>
      </c>
      <c r="L214" s="47" t="s">
        <v>2895</v>
      </c>
      <c r="M214" s="48" t="s">
        <v>2196</v>
      </c>
      <c r="N214" s="182" t="s">
        <v>2892</v>
      </c>
      <c r="O214" s="48" t="s">
        <v>2893</v>
      </c>
      <c r="P214" s="165"/>
      <c r="Q214" s="165"/>
    </row>
    <row r="215" ht="89.25" customHeight="1">
      <c r="A215" s="18" t="s">
        <v>20</v>
      </c>
      <c r="B215" s="18" t="s">
        <v>2860</v>
      </c>
      <c r="C215" s="18" t="s">
        <v>22</v>
      </c>
      <c r="D215" s="59">
        <v>8.0</v>
      </c>
      <c r="E215" s="159" t="s">
        <v>2250</v>
      </c>
      <c r="F215" s="19"/>
      <c r="G215" s="10">
        <v>3.0</v>
      </c>
      <c r="H215" s="10">
        <v>13.0</v>
      </c>
      <c r="I215" s="58" t="s">
        <v>2821</v>
      </c>
      <c r="J215" s="10" t="s">
        <v>2193</v>
      </c>
      <c r="K215" s="47" t="s">
        <v>2896</v>
      </c>
      <c r="L215" s="47" t="s">
        <v>2897</v>
      </c>
      <c r="M215" s="48" t="s">
        <v>2196</v>
      </c>
      <c r="N215" s="48" t="s">
        <v>2898</v>
      </c>
      <c r="O215" s="48" t="s">
        <v>2899</v>
      </c>
      <c r="P215" s="165"/>
      <c r="Q215" s="165"/>
    </row>
    <row r="216" ht="107.25" customHeight="1">
      <c r="A216" s="20"/>
      <c r="B216" s="20"/>
      <c r="C216" s="20"/>
      <c r="D216" s="20"/>
      <c r="E216" s="20"/>
      <c r="F216" s="20"/>
      <c r="G216" s="10">
        <v>4.0</v>
      </c>
      <c r="H216" s="10">
        <v>14.0</v>
      </c>
      <c r="I216" s="79" t="s">
        <v>2826</v>
      </c>
      <c r="J216" s="10" t="s">
        <v>2240</v>
      </c>
      <c r="K216" s="47" t="s">
        <v>2900</v>
      </c>
      <c r="L216" s="47" t="s">
        <v>2901</v>
      </c>
      <c r="M216" s="48" t="s">
        <v>2210</v>
      </c>
      <c r="N216" s="182" t="s">
        <v>2892</v>
      </c>
      <c r="O216" s="48" t="s">
        <v>2893</v>
      </c>
      <c r="P216" s="165"/>
      <c r="Q216" s="165"/>
    </row>
    <row r="217" ht="38.25" customHeight="1">
      <c r="A217" s="80" t="s">
        <v>20</v>
      </c>
      <c r="B217" s="81" t="s">
        <v>2860</v>
      </c>
      <c r="C217" s="80" t="s">
        <v>22</v>
      </c>
      <c r="D217" s="80">
        <v>9.0</v>
      </c>
      <c r="E217" s="82" t="s">
        <v>2257</v>
      </c>
      <c r="F217" s="80"/>
      <c r="G217" s="80" t="s">
        <v>2233</v>
      </c>
      <c r="H217" s="80" t="s">
        <v>2258</v>
      </c>
      <c r="I217" s="83" t="s">
        <v>2259</v>
      </c>
      <c r="J217" s="80"/>
      <c r="K217" s="84"/>
      <c r="L217" s="84"/>
      <c r="M217" s="80"/>
      <c r="N217" s="82" t="s">
        <v>2235</v>
      </c>
      <c r="O217" s="80" t="s">
        <v>2235</v>
      </c>
      <c r="P217" s="85" t="s">
        <v>2235</v>
      </c>
      <c r="Q217" s="85" t="s">
        <v>2235</v>
      </c>
    </row>
    <row r="218" ht="71.25" customHeight="1">
      <c r="A218" s="65" t="s">
        <v>20</v>
      </c>
      <c r="B218" s="65" t="s">
        <v>2860</v>
      </c>
      <c r="C218" s="65" t="s">
        <v>22</v>
      </c>
      <c r="D218" s="65">
        <v>10.0</v>
      </c>
      <c r="E218" s="67" t="s">
        <v>2260</v>
      </c>
      <c r="F218" s="65"/>
      <c r="G218" s="65" t="s">
        <v>2233</v>
      </c>
      <c r="H218" s="65" t="s">
        <v>2261</v>
      </c>
      <c r="I218" s="69" t="s">
        <v>2902</v>
      </c>
      <c r="J218" s="70"/>
      <c r="K218" s="70"/>
      <c r="L218" s="70"/>
      <c r="M218" s="65" t="s">
        <v>2235</v>
      </c>
      <c r="N218" s="67" t="s">
        <v>2235</v>
      </c>
      <c r="O218" s="65" t="s">
        <v>2236</v>
      </c>
      <c r="P218" s="70" t="s">
        <v>2235</v>
      </c>
      <c r="Q218" s="70"/>
    </row>
    <row r="219" ht="42.0" customHeight="1">
      <c r="A219" s="87" t="s">
        <v>20</v>
      </c>
      <c r="B219" s="87" t="s">
        <v>2860</v>
      </c>
      <c r="C219" s="87" t="s">
        <v>22</v>
      </c>
      <c r="D219" s="87">
        <v>11.0</v>
      </c>
      <c r="E219" s="162" t="s">
        <v>2263</v>
      </c>
      <c r="F219" s="100"/>
      <c r="G219" s="87" t="s">
        <v>2233</v>
      </c>
      <c r="H219" s="87" t="s">
        <v>2264</v>
      </c>
      <c r="I219" s="90" t="s">
        <v>2265</v>
      </c>
      <c r="J219" s="91"/>
      <c r="K219" s="91"/>
      <c r="L219" s="91"/>
      <c r="M219" s="87"/>
      <c r="N219" s="92"/>
      <c r="O219" s="87"/>
      <c r="P219" s="91"/>
      <c r="Q219" s="91"/>
    </row>
    <row r="220" ht="66.0" customHeight="1">
      <c r="A220" s="18" t="s">
        <v>20</v>
      </c>
      <c r="B220" s="18" t="s">
        <v>2860</v>
      </c>
      <c r="C220" s="18" t="s">
        <v>153</v>
      </c>
      <c r="D220" s="59">
        <v>12.0</v>
      </c>
      <c r="E220" s="159" t="s">
        <v>2266</v>
      </c>
      <c r="F220" s="56" t="s">
        <v>2903</v>
      </c>
      <c r="G220" s="10">
        <v>1.0</v>
      </c>
      <c r="H220" s="10">
        <v>21.0</v>
      </c>
      <c r="I220" s="79" t="s">
        <v>2904</v>
      </c>
      <c r="J220" s="48" t="s">
        <v>2193</v>
      </c>
      <c r="K220" s="94" t="s">
        <v>2905</v>
      </c>
      <c r="L220" s="94" t="s">
        <v>2906</v>
      </c>
      <c r="M220" s="48" t="s">
        <v>2196</v>
      </c>
      <c r="N220" s="48" t="s">
        <v>2907</v>
      </c>
      <c r="O220" s="48" t="s">
        <v>2908</v>
      </c>
      <c r="P220" s="165"/>
      <c r="Q220" s="165"/>
    </row>
    <row r="221" ht="72.75" customHeight="1">
      <c r="A221" s="20"/>
      <c r="B221" s="20"/>
      <c r="C221" s="20"/>
      <c r="D221" s="20"/>
      <c r="E221" s="20"/>
      <c r="F221" s="19"/>
      <c r="G221" s="10">
        <v>2.0</v>
      </c>
      <c r="H221" s="10">
        <v>22.0</v>
      </c>
      <c r="I221" s="79" t="s">
        <v>2909</v>
      </c>
      <c r="J221" s="48" t="s">
        <v>2240</v>
      </c>
      <c r="K221" s="94" t="s">
        <v>2910</v>
      </c>
      <c r="L221" s="94" t="s">
        <v>2911</v>
      </c>
      <c r="M221" s="48" t="s">
        <v>2196</v>
      </c>
      <c r="N221" s="48" t="s">
        <v>2907</v>
      </c>
      <c r="O221" s="48" t="s">
        <v>2908</v>
      </c>
      <c r="P221" s="165"/>
      <c r="Q221" s="165"/>
    </row>
    <row r="222" ht="58.5" customHeight="1">
      <c r="A222" s="18" t="s">
        <v>20</v>
      </c>
      <c r="B222" s="18" t="s">
        <v>2860</v>
      </c>
      <c r="C222" s="18" t="s">
        <v>153</v>
      </c>
      <c r="D222" s="59">
        <v>13.0</v>
      </c>
      <c r="E222" s="159" t="s">
        <v>2274</v>
      </c>
      <c r="F222" s="19"/>
      <c r="G222" s="10">
        <v>3.0</v>
      </c>
      <c r="H222" s="10">
        <v>23.0</v>
      </c>
      <c r="I222" s="79" t="s">
        <v>2912</v>
      </c>
      <c r="J222" s="48" t="s">
        <v>2193</v>
      </c>
      <c r="K222" s="94" t="s">
        <v>2913</v>
      </c>
      <c r="L222" s="94" t="s">
        <v>2914</v>
      </c>
      <c r="M222" s="48" t="s">
        <v>2196</v>
      </c>
      <c r="N222" s="182" t="s">
        <v>2892</v>
      </c>
      <c r="O222" s="48" t="s">
        <v>2893</v>
      </c>
      <c r="P222" s="165"/>
      <c r="Q222" s="165"/>
    </row>
    <row r="223" ht="66.75" customHeight="1">
      <c r="A223" s="20"/>
      <c r="B223" s="20"/>
      <c r="C223" s="20"/>
      <c r="D223" s="20"/>
      <c r="E223" s="20"/>
      <c r="F223" s="20"/>
      <c r="G223" s="10">
        <v>4.0</v>
      </c>
      <c r="H223" s="10">
        <v>24.0</v>
      </c>
      <c r="I223" s="79" t="s">
        <v>2915</v>
      </c>
      <c r="J223" s="48" t="s">
        <v>2193</v>
      </c>
      <c r="K223" s="94" t="s">
        <v>2916</v>
      </c>
      <c r="L223" s="94" t="s">
        <v>2917</v>
      </c>
      <c r="M223" s="48" t="s">
        <v>2210</v>
      </c>
      <c r="N223" s="48" t="s">
        <v>2918</v>
      </c>
      <c r="O223" s="48" t="s">
        <v>2919</v>
      </c>
      <c r="P223" s="165"/>
      <c r="Q223" s="165"/>
    </row>
    <row r="224" ht="48.75" customHeight="1">
      <c r="A224" s="65" t="s">
        <v>20</v>
      </c>
      <c r="B224" s="65" t="s">
        <v>2860</v>
      </c>
      <c r="C224" s="65" t="s">
        <v>153</v>
      </c>
      <c r="D224" s="65">
        <v>14.0</v>
      </c>
      <c r="E224" s="67" t="s">
        <v>2281</v>
      </c>
      <c r="F224" s="65"/>
      <c r="G224" s="65" t="s">
        <v>2233</v>
      </c>
      <c r="H224" s="65" t="s">
        <v>2282</v>
      </c>
      <c r="I224" s="69" t="s">
        <v>2920</v>
      </c>
      <c r="J224" s="70"/>
      <c r="K224" s="70"/>
      <c r="L224" s="70"/>
      <c r="M224" s="65" t="s">
        <v>2235</v>
      </c>
      <c r="N224" s="67" t="s">
        <v>2235</v>
      </c>
      <c r="O224" s="65" t="s">
        <v>2236</v>
      </c>
      <c r="P224" s="70" t="s">
        <v>2235</v>
      </c>
      <c r="Q224" s="70"/>
    </row>
    <row r="225" ht="54.0" customHeight="1">
      <c r="A225" s="18" t="s">
        <v>20</v>
      </c>
      <c r="B225" s="18" t="s">
        <v>2860</v>
      </c>
      <c r="C225" s="18" t="s">
        <v>153</v>
      </c>
      <c r="D225" s="18">
        <v>15.0</v>
      </c>
      <c r="E225" s="45" t="s">
        <v>2284</v>
      </c>
      <c r="F225" s="56" t="s">
        <v>2921</v>
      </c>
      <c r="G225" s="48">
        <v>1.0</v>
      </c>
      <c r="H225" s="48">
        <v>27.0</v>
      </c>
      <c r="I225" s="79" t="s">
        <v>2922</v>
      </c>
      <c r="J225" s="48" t="s">
        <v>2193</v>
      </c>
      <c r="K225" s="94" t="s">
        <v>2923</v>
      </c>
      <c r="L225" s="94" t="s">
        <v>2924</v>
      </c>
      <c r="M225" s="185" t="s">
        <v>2196</v>
      </c>
      <c r="N225" s="182" t="s">
        <v>2925</v>
      </c>
      <c r="O225" s="48" t="s">
        <v>2926</v>
      </c>
      <c r="P225" s="165"/>
      <c r="Q225" s="165"/>
    </row>
    <row r="226" ht="69.0" customHeight="1">
      <c r="A226" s="20"/>
      <c r="B226" s="20"/>
      <c r="C226" s="20"/>
      <c r="D226" s="20"/>
      <c r="E226" s="20"/>
      <c r="F226" s="19"/>
      <c r="G226" s="48">
        <v>2.0</v>
      </c>
      <c r="H226" s="48">
        <v>28.0</v>
      </c>
      <c r="I226" s="79" t="s">
        <v>2927</v>
      </c>
      <c r="J226" s="48" t="s">
        <v>2240</v>
      </c>
      <c r="K226" s="94" t="s">
        <v>2928</v>
      </c>
      <c r="L226" s="94" t="s">
        <v>2929</v>
      </c>
      <c r="M226" s="185" t="s">
        <v>2196</v>
      </c>
      <c r="N226" s="182" t="s">
        <v>2925</v>
      </c>
      <c r="O226" s="48" t="s">
        <v>2926</v>
      </c>
      <c r="P226" s="165"/>
      <c r="Q226" s="165"/>
    </row>
    <row r="227" ht="47.25" customHeight="1">
      <c r="A227" s="18" t="s">
        <v>20</v>
      </c>
      <c r="B227" s="18" t="s">
        <v>2860</v>
      </c>
      <c r="C227" s="18" t="s">
        <v>153</v>
      </c>
      <c r="D227" s="18">
        <v>16.0</v>
      </c>
      <c r="E227" s="45" t="s">
        <v>2294</v>
      </c>
      <c r="F227" s="19"/>
      <c r="G227" s="48">
        <v>3.0</v>
      </c>
      <c r="H227" s="48">
        <v>29.0</v>
      </c>
      <c r="I227" s="79" t="s">
        <v>2930</v>
      </c>
      <c r="J227" s="48" t="s">
        <v>2240</v>
      </c>
      <c r="K227" s="94" t="s">
        <v>2931</v>
      </c>
      <c r="L227" s="94" t="s">
        <v>2932</v>
      </c>
      <c r="M227" s="185" t="s">
        <v>2196</v>
      </c>
      <c r="N227" s="182" t="s">
        <v>2925</v>
      </c>
      <c r="O227" s="48" t="s">
        <v>2926</v>
      </c>
      <c r="P227" s="165"/>
      <c r="Q227" s="165"/>
    </row>
    <row r="228" ht="60.0" customHeight="1">
      <c r="A228" s="20"/>
      <c r="B228" s="20"/>
      <c r="C228" s="20"/>
      <c r="D228" s="20"/>
      <c r="E228" s="20"/>
      <c r="F228" s="95"/>
      <c r="G228" s="48">
        <v>4.0</v>
      </c>
      <c r="H228" s="48">
        <v>30.0</v>
      </c>
      <c r="I228" s="79" t="s">
        <v>2933</v>
      </c>
      <c r="J228" s="48" t="s">
        <v>2193</v>
      </c>
      <c r="K228" s="94" t="s">
        <v>2934</v>
      </c>
      <c r="L228" s="94" t="s">
        <v>2935</v>
      </c>
      <c r="M228" s="48" t="s">
        <v>2210</v>
      </c>
      <c r="N228" s="182" t="s">
        <v>2925</v>
      </c>
      <c r="O228" s="48" t="s">
        <v>2926</v>
      </c>
      <c r="P228" s="165"/>
      <c r="Q228" s="165"/>
    </row>
    <row r="229" ht="54.75" customHeight="1">
      <c r="A229" s="80" t="s">
        <v>20</v>
      </c>
      <c r="B229" s="81" t="s">
        <v>2860</v>
      </c>
      <c r="C229" s="80" t="s">
        <v>153</v>
      </c>
      <c r="D229" s="80">
        <v>17.0</v>
      </c>
      <c r="E229" s="82" t="s">
        <v>2303</v>
      </c>
      <c r="F229" s="80"/>
      <c r="G229" s="80" t="s">
        <v>2233</v>
      </c>
      <c r="H229" s="80" t="s">
        <v>2304</v>
      </c>
      <c r="I229" s="83" t="s">
        <v>2259</v>
      </c>
      <c r="J229" s="80"/>
      <c r="K229" s="84"/>
      <c r="L229" s="84"/>
      <c r="M229" s="80"/>
      <c r="N229" s="82" t="s">
        <v>2235</v>
      </c>
      <c r="O229" s="80" t="s">
        <v>2235</v>
      </c>
      <c r="P229" s="85" t="s">
        <v>2235</v>
      </c>
      <c r="Q229" s="85" t="s">
        <v>2235</v>
      </c>
    </row>
    <row r="230" ht="56.25" customHeight="1">
      <c r="A230" s="18" t="s">
        <v>20</v>
      </c>
      <c r="B230" s="18" t="s">
        <v>2860</v>
      </c>
      <c r="C230" s="18" t="s">
        <v>153</v>
      </c>
      <c r="D230" s="18">
        <v>18.0</v>
      </c>
      <c r="E230" s="45" t="s">
        <v>2305</v>
      </c>
      <c r="F230" s="56" t="s">
        <v>2921</v>
      </c>
      <c r="G230" s="48">
        <v>5.0</v>
      </c>
      <c r="H230" s="48">
        <v>33.0</v>
      </c>
      <c r="I230" s="79" t="s">
        <v>2936</v>
      </c>
      <c r="J230" s="48" t="s">
        <v>2193</v>
      </c>
      <c r="K230" s="94" t="s">
        <v>2937</v>
      </c>
      <c r="L230" s="94" t="s">
        <v>2938</v>
      </c>
      <c r="M230" s="185" t="s">
        <v>2196</v>
      </c>
      <c r="N230" s="182" t="s">
        <v>2939</v>
      </c>
      <c r="O230" s="48" t="s">
        <v>2940</v>
      </c>
      <c r="P230" s="165"/>
      <c r="Q230" s="165"/>
    </row>
    <row r="231" ht="75.75" customHeight="1">
      <c r="A231" s="20"/>
      <c r="B231" s="20"/>
      <c r="C231" s="20"/>
      <c r="D231" s="20"/>
      <c r="E231" s="20"/>
      <c r="F231" s="19"/>
      <c r="G231" s="48">
        <v>6.0</v>
      </c>
      <c r="H231" s="48">
        <v>34.0</v>
      </c>
      <c r="I231" s="79" t="s">
        <v>2941</v>
      </c>
      <c r="J231" s="48" t="s">
        <v>2193</v>
      </c>
      <c r="K231" s="94" t="s">
        <v>2942</v>
      </c>
      <c r="L231" s="94" t="s">
        <v>2943</v>
      </c>
      <c r="M231" s="185" t="s">
        <v>2196</v>
      </c>
      <c r="N231" s="182" t="s">
        <v>2939</v>
      </c>
      <c r="O231" s="48" t="s">
        <v>2940</v>
      </c>
      <c r="P231" s="165"/>
      <c r="Q231" s="165"/>
    </row>
    <row r="232" ht="64.5" customHeight="1">
      <c r="A232" s="18" t="s">
        <v>20</v>
      </c>
      <c r="B232" s="18" t="s">
        <v>2860</v>
      </c>
      <c r="C232" s="18" t="s">
        <v>153</v>
      </c>
      <c r="D232" s="18">
        <v>19.0</v>
      </c>
      <c r="E232" s="45" t="s">
        <v>2315</v>
      </c>
      <c r="F232" s="19"/>
      <c r="G232" s="48">
        <v>7.0</v>
      </c>
      <c r="H232" s="48">
        <v>35.0</v>
      </c>
      <c r="I232" s="79" t="s">
        <v>2944</v>
      </c>
      <c r="J232" s="48" t="s">
        <v>2240</v>
      </c>
      <c r="K232" s="94" t="s">
        <v>2945</v>
      </c>
      <c r="L232" s="94" t="s">
        <v>2946</v>
      </c>
      <c r="M232" s="185" t="s">
        <v>2196</v>
      </c>
      <c r="N232" s="182" t="s">
        <v>2947</v>
      </c>
      <c r="O232" s="48" t="s">
        <v>2948</v>
      </c>
      <c r="P232" s="165"/>
      <c r="Q232" s="165"/>
    </row>
    <row r="233" ht="60.0" customHeight="1">
      <c r="A233" s="20"/>
      <c r="B233" s="20"/>
      <c r="C233" s="20"/>
      <c r="D233" s="20"/>
      <c r="E233" s="20"/>
      <c r="F233" s="95"/>
      <c r="G233" s="48">
        <v>8.0</v>
      </c>
      <c r="H233" s="48">
        <v>36.0</v>
      </c>
      <c r="I233" s="79" t="s">
        <v>2949</v>
      </c>
      <c r="J233" s="48" t="s">
        <v>2193</v>
      </c>
      <c r="K233" s="94" t="s">
        <v>2950</v>
      </c>
      <c r="L233" s="94" t="s">
        <v>2951</v>
      </c>
      <c r="M233" s="48" t="s">
        <v>2210</v>
      </c>
      <c r="N233" s="182" t="s">
        <v>2925</v>
      </c>
      <c r="O233" s="48" t="s">
        <v>2926</v>
      </c>
      <c r="P233" s="165"/>
      <c r="Q233" s="165"/>
    </row>
    <row r="234" ht="86.25" customHeight="1">
      <c r="A234" s="65" t="s">
        <v>20</v>
      </c>
      <c r="B234" s="65" t="s">
        <v>2860</v>
      </c>
      <c r="C234" s="65" t="s">
        <v>153</v>
      </c>
      <c r="D234" s="65">
        <v>20.0</v>
      </c>
      <c r="E234" s="67" t="s">
        <v>2322</v>
      </c>
      <c r="F234" s="65"/>
      <c r="G234" s="65" t="s">
        <v>2233</v>
      </c>
      <c r="H234" s="65" t="s">
        <v>2323</v>
      </c>
      <c r="I234" s="69" t="s">
        <v>2952</v>
      </c>
      <c r="J234" s="70"/>
      <c r="K234" s="70"/>
      <c r="L234" s="70"/>
      <c r="M234" s="65" t="s">
        <v>2235</v>
      </c>
      <c r="N234" s="67" t="s">
        <v>2235</v>
      </c>
      <c r="O234" s="65" t="s">
        <v>2236</v>
      </c>
      <c r="P234" s="70" t="s">
        <v>2235</v>
      </c>
      <c r="Q234" s="70"/>
    </row>
    <row r="235" ht="48.75" customHeight="1">
      <c r="A235" s="87" t="s">
        <v>20</v>
      </c>
      <c r="B235" s="87" t="s">
        <v>2860</v>
      </c>
      <c r="C235" s="87" t="s">
        <v>153</v>
      </c>
      <c r="D235" s="87">
        <v>21.0</v>
      </c>
      <c r="E235" s="99" t="s">
        <v>2325</v>
      </c>
      <c r="F235" s="100"/>
      <c r="G235" s="87" t="s">
        <v>2233</v>
      </c>
      <c r="H235" s="87" t="s">
        <v>2326</v>
      </c>
      <c r="I235" s="90" t="s">
        <v>2265</v>
      </c>
      <c r="J235" s="91"/>
      <c r="K235" s="91"/>
      <c r="L235" s="91"/>
      <c r="M235" s="87"/>
      <c r="N235" s="92"/>
      <c r="O235" s="87"/>
      <c r="P235" s="91"/>
      <c r="Q235" s="91"/>
    </row>
    <row r="236" ht="48.75" customHeight="1">
      <c r="A236" s="104" t="s">
        <v>20</v>
      </c>
      <c r="B236" s="104" t="s">
        <v>2860</v>
      </c>
      <c r="C236" s="103" t="s">
        <v>264</v>
      </c>
      <c r="D236" s="104">
        <v>26.0</v>
      </c>
      <c r="E236" s="105" t="s">
        <v>2327</v>
      </c>
      <c r="F236" s="104" t="s">
        <v>2953</v>
      </c>
      <c r="G236" s="101">
        <v>1.0</v>
      </c>
      <c r="H236" s="101">
        <v>1.0</v>
      </c>
      <c r="I236" s="106" t="s">
        <v>2954</v>
      </c>
      <c r="J236" s="107" t="s">
        <v>2240</v>
      </c>
      <c r="K236" s="108" t="s">
        <v>2955</v>
      </c>
      <c r="L236" s="109" t="s">
        <v>2956</v>
      </c>
      <c r="M236" s="110" t="s">
        <v>2196</v>
      </c>
      <c r="N236" s="113" t="s">
        <v>2794</v>
      </c>
      <c r="O236" s="110" t="s">
        <v>2570</v>
      </c>
      <c r="P236" s="110" t="s">
        <v>2196</v>
      </c>
      <c r="Q236" s="110" t="s">
        <v>2196</v>
      </c>
    </row>
    <row r="237" ht="48.75" customHeight="1">
      <c r="A237" s="20"/>
      <c r="B237" s="20"/>
      <c r="C237" s="20"/>
      <c r="D237" s="20"/>
      <c r="E237" s="20"/>
      <c r="F237" s="19"/>
      <c r="G237" s="101">
        <v>2.0</v>
      </c>
      <c r="H237" s="101">
        <v>2.0</v>
      </c>
      <c r="I237" s="106" t="s">
        <v>2957</v>
      </c>
      <c r="J237" s="107" t="s">
        <v>2240</v>
      </c>
      <c r="K237" s="108" t="s">
        <v>2958</v>
      </c>
      <c r="L237" s="109" t="s">
        <v>2959</v>
      </c>
      <c r="M237" s="110" t="s">
        <v>2196</v>
      </c>
      <c r="N237" s="113" t="s">
        <v>2794</v>
      </c>
      <c r="O237" s="110" t="s">
        <v>2570</v>
      </c>
      <c r="P237" s="110" t="s">
        <v>2196</v>
      </c>
      <c r="Q237" s="110" t="s">
        <v>2196</v>
      </c>
    </row>
    <row r="238" ht="48.75" customHeight="1">
      <c r="A238" s="104" t="s">
        <v>20</v>
      </c>
      <c r="B238" s="104" t="s">
        <v>2860</v>
      </c>
      <c r="C238" s="103" t="s">
        <v>264</v>
      </c>
      <c r="D238" s="104">
        <v>27.0</v>
      </c>
      <c r="E238" s="105" t="s">
        <v>2339</v>
      </c>
      <c r="F238" s="19"/>
      <c r="G238" s="101">
        <v>3.0</v>
      </c>
      <c r="H238" s="101">
        <v>3.0</v>
      </c>
      <c r="I238" s="106" t="s">
        <v>2960</v>
      </c>
      <c r="J238" s="107" t="s">
        <v>2240</v>
      </c>
      <c r="K238" s="108" t="s">
        <v>2961</v>
      </c>
      <c r="L238" s="109" t="s">
        <v>2962</v>
      </c>
      <c r="M238" s="110" t="s">
        <v>2196</v>
      </c>
      <c r="N238" s="113" t="s">
        <v>2794</v>
      </c>
      <c r="O238" s="110" t="s">
        <v>2570</v>
      </c>
      <c r="P238" s="110" t="s">
        <v>2196</v>
      </c>
      <c r="Q238" s="110" t="s">
        <v>2196</v>
      </c>
    </row>
    <row r="239" ht="48.75" customHeight="1">
      <c r="A239" s="20"/>
      <c r="B239" s="20"/>
      <c r="C239" s="20"/>
      <c r="D239" s="20"/>
      <c r="E239" s="20"/>
      <c r="F239" s="19"/>
      <c r="G239" s="101">
        <v>4.0</v>
      </c>
      <c r="H239" s="101">
        <v>4.0</v>
      </c>
      <c r="I239" s="106" t="s">
        <v>2963</v>
      </c>
      <c r="J239" s="107" t="s">
        <v>2240</v>
      </c>
      <c r="K239" s="108" t="s">
        <v>2964</v>
      </c>
      <c r="L239" s="109" t="s">
        <v>2965</v>
      </c>
      <c r="M239" s="110" t="s">
        <v>2210</v>
      </c>
      <c r="N239" s="113" t="s">
        <v>2794</v>
      </c>
      <c r="O239" s="110" t="s">
        <v>2570</v>
      </c>
      <c r="P239" s="110" t="s">
        <v>2196</v>
      </c>
      <c r="Q239" s="110" t="s">
        <v>2196</v>
      </c>
    </row>
    <row r="240" ht="48.75" customHeight="1">
      <c r="A240" s="102" t="s">
        <v>20</v>
      </c>
      <c r="B240" s="104" t="s">
        <v>2860</v>
      </c>
      <c r="C240" s="103" t="s">
        <v>264</v>
      </c>
      <c r="D240" s="102">
        <v>28.0</v>
      </c>
      <c r="E240" s="111" t="s">
        <v>2347</v>
      </c>
      <c r="F240" s="19"/>
      <c r="G240" s="101">
        <v>5.0</v>
      </c>
      <c r="H240" s="112">
        <v>5.0</v>
      </c>
      <c r="I240" s="106" t="s">
        <v>2966</v>
      </c>
      <c r="J240" s="110" t="s">
        <v>2240</v>
      </c>
      <c r="K240" s="106" t="s">
        <v>2967</v>
      </c>
      <c r="L240" s="106" t="s">
        <v>2968</v>
      </c>
      <c r="M240" s="110" t="s">
        <v>2196</v>
      </c>
      <c r="N240" s="113" t="s">
        <v>2794</v>
      </c>
      <c r="O240" s="110" t="s">
        <v>2570</v>
      </c>
      <c r="P240" s="110" t="s">
        <v>2196</v>
      </c>
      <c r="Q240" s="110" t="s">
        <v>2196</v>
      </c>
    </row>
    <row r="241" ht="48.75" customHeight="1">
      <c r="A241" s="20"/>
      <c r="B241" s="20"/>
      <c r="C241" s="20"/>
      <c r="D241" s="19"/>
      <c r="E241" s="19"/>
      <c r="F241" s="19"/>
      <c r="G241" s="101">
        <v>6.0</v>
      </c>
      <c r="H241" s="112">
        <v>6.0</v>
      </c>
      <c r="I241" s="106" t="s">
        <v>2969</v>
      </c>
      <c r="J241" s="110" t="s">
        <v>2240</v>
      </c>
      <c r="K241" s="106" t="s">
        <v>2970</v>
      </c>
      <c r="L241" s="106" t="s">
        <v>2971</v>
      </c>
      <c r="M241" s="110" t="s">
        <v>2196</v>
      </c>
      <c r="N241" s="113" t="s">
        <v>2794</v>
      </c>
      <c r="O241" s="110" t="s">
        <v>2570</v>
      </c>
      <c r="P241" s="110" t="s">
        <v>2196</v>
      </c>
      <c r="Q241" s="110" t="s">
        <v>2196</v>
      </c>
    </row>
    <row r="242" ht="48.75" customHeight="1">
      <c r="A242" s="102" t="s">
        <v>20</v>
      </c>
      <c r="B242" s="104" t="s">
        <v>2860</v>
      </c>
      <c r="C242" s="103" t="s">
        <v>264</v>
      </c>
      <c r="D242" s="102">
        <v>29.0</v>
      </c>
      <c r="E242" s="114" t="s">
        <v>2354</v>
      </c>
      <c r="F242" s="19"/>
      <c r="G242" s="101">
        <v>7.0</v>
      </c>
      <c r="H242" s="112">
        <v>7.0</v>
      </c>
      <c r="I242" s="109" t="s">
        <v>2972</v>
      </c>
      <c r="J242" s="107" t="s">
        <v>2240</v>
      </c>
      <c r="K242" s="109" t="s">
        <v>2973</v>
      </c>
      <c r="L242" s="109" t="s">
        <v>2974</v>
      </c>
      <c r="M242" s="110" t="s">
        <v>2196</v>
      </c>
      <c r="N242" s="113" t="s">
        <v>2787</v>
      </c>
      <c r="O242" s="110" t="s">
        <v>2975</v>
      </c>
      <c r="P242" s="110" t="s">
        <v>2196</v>
      </c>
      <c r="Q242" s="110" t="s">
        <v>2196</v>
      </c>
    </row>
    <row r="243" ht="48.75" customHeight="1">
      <c r="A243" s="20"/>
      <c r="B243" s="20"/>
      <c r="C243" s="20"/>
      <c r="D243" s="20"/>
      <c r="E243" s="20"/>
      <c r="F243" s="20"/>
      <c r="G243" s="101">
        <v>8.0</v>
      </c>
      <c r="H243" s="112">
        <v>8.0</v>
      </c>
      <c r="I243" s="109" t="s">
        <v>2976</v>
      </c>
      <c r="J243" s="107" t="s">
        <v>2240</v>
      </c>
      <c r="K243" s="109" t="s">
        <v>2977</v>
      </c>
      <c r="L243" s="109" t="s">
        <v>2978</v>
      </c>
      <c r="M243" s="110" t="s">
        <v>2210</v>
      </c>
      <c r="N243" s="113" t="s">
        <v>2787</v>
      </c>
      <c r="O243" s="110" t="s">
        <v>2975</v>
      </c>
      <c r="P243" s="110" t="s">
        <v>2196</v>
      </c>
      <c r="Q243" s="110" t="s">
        <v>2196</v>
      </c>
    </row>
    <row r="244" ht="48.75" customHeight="1">
      <c r="A244" s="115" t="s">
        <v>20</v>
      </c>
      <c r="B244" s="115" t="s">
        <v>2860</v>
      </c>
      <c r="C244" s="116" t="s">
        <v>264</v>
      </c>
      <c r="D244" s="115">
        <v>30.0</v>
      </c>
      <c r="E244" s="117" t="s">
        <v>2363</v>
      </c>
      <c r="F244" s="115" t="s">
        <v>2979</v>
      </c>
      <c r="G244" s="118" t="s">
        <v>835</v>
      </c>
      <c r="H244" s="119" t="s">
        <v>1709</v>
      </c>
      <c r="I244" s="120" t="s">
        <v>2979</v>
      </c>
      <c r="J244" s="121"/>
      <c r="K244" s="121"/>
      <c r="L244" s="121"/>
      <c r="M244" s="121"/>
      <c r="N244" s="134"/>
      <c r="O244" s="121"/>
      <c r="P244" s="121"/>
      <c r="Q244" s="121"/>
    </row>
    <row r="245" ht="48.75" customHeight="1">
      <c r="A245" s="102" t="s">
        <v>20</v>
      </c>
      <c r="B245" s="104" t="s">
        <v>2860</v>
      </c>
      <c r="C245" s="103" t="s">
        <v>264</v>
      </c>
      <c r="D245" s="122">
        <v>31.0</v>
      </c>
      <c r="E245" s="114" t="s">
        <v>2365</v>
      </c>
      <c r="F245" s="102" t="s">
        <v>2980</v>
      </c>
      <c r="G245" s="112">
        <v>1.0</v>
      </c>
      <c r="H245" s="112">
        <v>11.0</v>
      </c>
      <c r="I245" s="106" t="s">
        <v>2981</v>
      </c>
      <c r="J245" s="110" t="s">
        <v>2193</v>
      </c>
      <c r="K245" s="106" t="s">
        <v>2982</v>
      </c>
      <c r="L245" s="106" t="s">
        <v>2983</v>
      </c>
      <c r="M245" s="110" t="s">
        <v>2196</v>
      </c>
      <c r="N245" s="193" t="s">
        <v>2984</v>
      </c>
      <c r="O245" s="110" t="s">
        <v>2570</v>
      </c>
      <c r="P245" s="110" t="s">
        <v>2196</v>
      </c>
      <c r="Q245" s="110" t="s">
        <v>2196</v>
      </c>
    </row>
    <row r="246" ht="48.75" customHeight="1">
      <c r="A246" s="20"/>
      <c r="B246" s="20"/>
      <c r="C246" s="20"/>
      <c r="D246" s="123"/>
      <c r="E246" s="20"/>
      <c r="F246" s="19"/>
      <c r="G246" s="112">
        <v>2.0</v>
      </c>
      <c r="H246" s="124">
        <v>12.0</v>
      </c>
      <c r="I246" s="106" t="s">
        <v>2985</v>
      </c>
      <c r="J246" s="110" t="s">
        <v>2193</v>
      </c>
      <c r="K246" s="106" t="s">
        <v>2986</v>
      </c>
      <c r="L246" s="106" t="s">
        <v>2987</v>
      </c>
      <c r="M246" s="110" t="s">
        <v>2196</v>
      </c>
      <c r="N246" s="113" t="s">
        <v>2984</v>
      </c>
      <c r="O246" s="110" t="s">
        <v>2570</v>
      </c>
      <c r="P246" s="110" t="s">
        <v>2196</v>
      </c>
      <c r="Q246" s="110" t="s">
        <v>2196</v>
      </c>
    </row>
    <row r="247" ht="48.75" customHeight="1">
      <c r="A247" s="104" t="s">
        <v>20</v>
      </c>
      <c r="B247" s="104" t="s">
        <v>2860</v>
      </c>
      <c r="C247" s="103" t="s">
        <v>264</v>
      </c>
      <c r="D247" s="122">
        <v>32.0</v>
      </c>
      <c r="E247" s="114" t="s">
        <v>2376</v>
      </c>
      <c r="F247" s="19"/>
      <c r="G247" s="101">
        <v>3.0</v>
      </c>
      <c r="H247" s="126">
        <v>13.0</v>
      </c>
      <c r="I247" s="109" t="s">
        <v>2988</v>
      </c>
      <c r="J247" s="107" t="s">
        <v>2240</v>
      </c>
      <c r="K247" s="109" t="s">
        <v>2989</v>
      </c>
      <c r="L247" s="109" t="s">
        <v>2990</v>
      </c>
      <c r="M247" s="110" t="s">
        <v>2196</v>
      </c>
      <c r="N247" s="113" t="s">
        <v>2984</v>
      </c>
      <c r="O247" s="110" t="s">
        <v>2570</v>
      </c>
      <c r="P247" s="110" t="s">
        <v>2196</v>
      </c>
      <c r="Q247" s="110" t="s">
        <v>2196</v>
      </c>
    </row>
    <row r="248" ht="48.75" customHeight="1">
      <c r="A248" s="20"/>
      <c r="B248" s="20"/>
      <c r="C248" s="20"/>
      <c r="D248" s="123"/>
      <c r="E248" s="20"/>
      <c r="F248" s="20"/>
      <c r="G248" s="101">
        <v>4.0</v>
      </c>
      <c r="H248" s="101">
        <v>14.0</v>
      </c>
      <c r="I248" s="109" t="s">
        <v>2991</v>
      </c>
      <c r="J248" s="107" t="s">
        <v>2240</v>
      </c>
      <c r="K248" s="109" t="s">
        <v>2992</v>
      </c>
      <c r="L248" s="109" t="s">
        <v>2993</v>
      </c>
      <c r="M248" s="110" t="s">
        <v>2210</v>
      </c>
      <c r="N248" s="113" t="s">
        <v>2984</v>
      </c>
      <c r="O248" s="110" t="s">
        <v>2570</v>
      </c>
      <c r="P248" s="110" t="s">
        <v>2196</v>
      </c>
      <c r="Q248" s="110" t="s">
        <v>2196</v>
      </c>
    </row>
    <row r="249" ht="48.75" customHeight="1">
      <c r="A249" s="127" t="s">
        <v>20</v>
      </c>
      <c r="B249" s="127" t="s">
        <v>2860</v>
      </c>
      <c r="C249" s="128" t="s">
        <v>264</v>
      </c>
      <c r="D249" s="127">
        <v>33.0</v>
      </c>
      <c r="E249" s="129" t="s">
        <v>2385</v>
      </c>
      <c r="F249" s="127" t="s">
        <v>2259</v>
      </c>
      <c r="G249" s="127" t="s">
        <v>835</v>
      </c>
      <c r="H249" s="127" t="s">
        <v>2258</v>
      </c>
      <c r="I249" s="130" t="s">
        <v>2259</v>
      </c>
      <c r="J249" s="131"/>
      <c r="K249" s="131"/>
      <c r="L249" s="131"/>
      <c r="M249" s="131"/>
      <c r="N249" s="173"/>
      <c r="O249" s="131"/>
      <c r="P249" s="131"/>
      <c r="Q249" s="131"/>
    </row>
    <row r="250" ht="48.75" customHeight="1">
      <c r="A250" s="132" t="s">
        <v>20</v>
      </c>
      <c r="B250" s="115" t="s">
        <v>2860</v>
      </c>
      <c r="C250" s="116" t="s">
        <v>264</v>
      </c>
      <c r="D250" s="132">
        <v>34.0</v>
      </c>
      <c r="E250" s="133" t="s">
        <v>2386</v>
      </c>
      <c r="F250" s="115" t="s">
        <v>2994</v>
      </c>
      <c r="G250" s="132" t="s">
        <v>2233</v>
      </c>
      <c r="H250" s="132" t="s">
        <v>2261</v>
      </c>
      <c r="I250" s="120" t="s">
        <v>2995</v>
      </c>
      <c r="J250" s="121"/>
      <c r="K250" s="121"/>
      <c r="L250" s="121"/>
      <c r="M250" s="121"/>
      <c r="N250" s="134"/>
      <c r="O250" s="121"/>
      <c r="P250" s="121"/>
      <c r="Q250" s="121"/>
    </row>
    <row r="251" ht="48.75" customHeight="1">
      <c r="A251" s="102" t="s">
        <v>20</v>
      </c>
      <c r="B251" s="104" t="s">
        <v>2860</v>
      </c>
      <c r="C251" s="103" t="s">
        <v>264</v>
      </c>
      <c r="D251" s="102">
        <v>35.0</v>
      </c>
      <c r="E251" s="114" t="s">
        <v>2388</v>
      </c>
      <c r="F251" s="102" t="s">
        <v>2996</v>
      </c>
      <c r="G251" s="112">
        <v>5.0</v>
      </c>
      <c r="H251" s="112">
        <v>19.0</v>
      </c>
      <c r="I251" s="106" t="s">
        <v>2997</v>
      </c>
      <c r="J251" s="110" t="s">
        <v>2240</v>
      </c>
      <c r="K251" s="106" t="s">
        <v>2998</v>
      </c>
      <c r="L251" s="106" t="s">
        <v>2999</v>
      </c>
      <c r="M251" s="110" t="s">
        <v>2196</v>
      </c>
      <c r="N251" s="113" t="s">
        <v>2984</v>
      </c>
      <c r="O251" s="110" t="s">
        <v>2570</v>
      </c>
      <c r="P251" s="110" t="s">
        <v>2196</v>
      </c>
      <c r="Q251" s="110" t="s">
        <v>2196</v>
      </c>
    </row>
    <row r="252" ht="48.75" customHeight="1">
      <c r="A252" s="20"/>
      <c r="B252" s="20"/>
      <c r="C252" s="20"/>
      <c r="D252" s="20"/>
      <c r="E252" s="20"/>
      <c r="F252" s="19"/>
      <c r="G252" s="112">
        <v>6.0</v>
      </c>
      <c r="H252" s="112">
        <v>20.0</v>
      </c>
      <c r="I252" s="106" t="s">
        <v>3000</v>
      </c>
      <c r="J252" s="110" t="s">
        <v>2240</v>
      </c>
      <c r="K252" s="106" t="s">
        <v>3001</v>
      </c>
      <c r="L252" s="106" t="s">
        <v>3002</v>
      </c>
      <c r="M252" s="110" t="s">
        <v>2196</v>
      </c>
      <c r="N252" s="113" t="s">
        <v>2984</v>
      </c>
      <c r="O252" s="110" t="s">
        <v>2570</v>
      </c>
      <c r="P252" s="110" t="s">
        <v>2196</v>
      </c>
      <c r="Q252" s="110" t="s">
        <v>2196</v>
      </c>
    </row>
    <row r="253" ht="48.75" customHeight="1">
      <c r="A253" s="102" t="s">
        <v>20</v>
      </c>
      <c r="B253" s="104" t="s">
        <v>2860</v>
      </c>
      <c r="C253" s="103" t="s">
        <v>264</v>
      </c>
      <c r="D253" s="102">
        <v>36.0</v>
      </c>
      <c r="E253" s="135" t="s">
        <v>2397</v>
      </c>
      <c r="F253" s="19"/>
      <c r="G253" s="136" t="s">
        <v>2233</v>
      </c>
      <c r="H253" s="137" t="s">
        <v>2398</v>
      </c>
      <c r="I253" s="138" t="s">
        <v>2399</v>
      </c>
      <c r="J253" s="139"/>
      <c r="K253" s="139"/>
      <c r="L253" s="139"/>
      <c r="M253" s="139"/>
      <c r="N253" s="140"/>
      <c r="O253" s="139"/>
      <c r="P253" s="139"/>
      <c r="Q253" s="139"/>
    </row>
    <row r="254" ht="48.75" customHeight="1">
      <c r="A254" s="19"/>
      <c r="B254" s="19"/>
      <c r="C254" s="19"/>
      <c r="D254" s="19"/>
      <c r="E254" s="141"/>
      <c r="F254" s="19"/>
      <c r="G254" s="142">
        <v>7.0</v>
      </c>
      <c r="H254" s="146"/>
      <c r="I254" s="106" t="s">
        <v>3003</v>
      </c>
      <c r="J254" s="110" t="s">
        <v>2240</v>
      </c>
      <c r="K254" s="106" t="s">
        <v>3004</v>
      </c>
      <c r="L254" s="106" t="s">
        <v>3005</v>
      </c>
      <c r="M254" s="110" t="s">
        <v>2196</v>
      </c>
      <c r="N254" s="113" t="s">
        <v>2984</v>
      </c>
      <c r="O254" s="110" t="s">
        <v>2570</v>
      </c>
      <c r="P254" s="110" t="s">
        <v>2196</v>
      </c>
      <c r="Q254" s="110" t="s">
        <v>2196</v>
      </c>
    </row>
    <row r="255" ht="48.75" customHeight="1">
      <c r="A255" s="20"/>
      <c r="B255" s="20"/>
      <c r="C255" s="20"/>
      <c r="D255" s="20"/>
      <c r="E255" s="141"/>
      <c r="F255" s="19"/>
      <c r="G255" s="142">
        <v>8.0</v>
      </c>
      <c r="H255" s="146"/>
      <c r="I255" s="106" t="s">
        <v>3006</v>
      </c>
      <c r="J255" s="110" t="s">
        <v>2240</v>
      </c>
      <c r="K255" s="106" t="s">
        <v>3007</v>
      </c>
      <c r="L255" s="106" t="s">
        <v>3008</v>
      </c>
      <c r="M255" s="110" t="s">
        <v>2210</v>
      </c>
      <c r="N255" s="113" t="s">
        <v>2984</v>
      </c>
      <c r="O255" s="110" t="s">
        <v>2570</v>
      </c>
      <c r="P255" s="110" t="s">
        <v>2196</v>
      </c>
      <c r="Q255" s="110" t="s">
        <v>2196</v>
      </c>
    </row>
    <row r="256" ht="48.75" customHeight="1">
      <c r="A256" s="127" t="s">
        <v>20</v>
      </c>
      <c r="B256" s="127" t="s">
        <v>2860</v>
      </c>
      <c r="C256" s="128" t="s">
        <v>313</v>
      </c>
      <c r="D256" s="127">
        <v>37.0</v>
      </c>
      <c r="E256" s="143" t="s">
        <v>2406</v>
      </c>
      <c r="F256" s="127" t="s">
        <v>2259</v>
      </c>
      <c r="G256" s="127">
        <v>1.0</v>
      </c>
      <c r="H256" s="127" t="s">
        <v>2407</v>
      </c>
      <c r="I256" s="130" t="s">
        <v>2259</v>
      </c>
      <c r="J256" s="131"/>
      <c r="K256" s="131"/>
      <c r="L256" s="131"/>
      <c r="M256" s="131"/>
      <c r="N256" s="173"/>
      <c r="O256" s="131"/>
      <c r="P256" s="131"/>
      <c r="Q256" s="131"/>
    </row>
    <row r="257" ht="48.75" customHeight="1">
      <c r="A257" s="115" t="s">
        <v>20</v>
      </c>
      <c r="B257" s="115" t="s">
        <v>2860</v>
      </c>
      <c r="C257" s="116" t="s">
        <v>313</v>
      </c>
      <c r="D257" s="115">
        <v>38.0</v>
      </c>
      <c r="E257" s="144" t="s">
        <v>2408</v>
      </c>
      <c r="F257" s="115" t="s">
        <v>3009</v>
      </c>
      <c r="G257" s="115">
        <v>3.0</v>
      </c>
      <c r="H257" s="115" t="s">
        <v>2410</v>
      </c>
      <c r="I257" s="120" t="s">
        <v>3009</v>
      </c>
      <c r="J257" s="121"/>
      <c r="K257" s="121"/>
      <c r="L257" s="121"/>
      <c r="M257" s="121"/>
      <c r="N257" s="134"/>
      <c r="O257" s="121"/>
      <c r="P257" s="121"/>
      <c r="Q257" s="121"/>
    </row>
    <row r="258" ht="48.75" customHeight="1">
      <c r="A258" s="102" t="s">
        <v>20</v>
      </c>
      <c r="B258" s="102" t="s">
        <v>2860</v>
      </c>
      <c r="C258" s="103" t="s">
        <v>313</v>
      </c>
      <c r="D258" s="102">
        <v>39.0</v>
      </c>
      <c r="E258" s="114" t="s">
        <v>2411</v>
      </c>
      <c r="F258" s="102" t="s">
        <v>3010</v>
      </c>
      <c r="G258" s="112">
        <v>1.0</v>
      </c>
      <c r="H258" s="112">
        <v>26.0</v>
      </c>
      <c r="I258" s="106" t="s">
        <v>3011</v>
      </c>
      <c r="J258" s="110" t="s">
        <v>2193</v>
      </c>
      <c r="K258" s="106" t="s">
        <v>3012</v>
      </c>
      <c r="L258" s="106" t="s">
        <v>3013</v>
      </c>
      <c r="M258" s="110" t="s">
        <v>2196</v>
      </c>
      <c r="N258" s="113" t="s">
        <v>3014</v>
      </c>
      <c r="O258" s="110" t="s">
        <v>3015</v>
      </c>
      <c r="P258" s="110" t="s">
        <v>2196</v>
      </c>
      <c r="Q258" s="110" t="s">
        <v>2196</v>
      </c>
    </row>
    <row r="259" ht="48.75" customHeight="1">
      <c r="A259" s="20"/>
      <c r="B259" s="20"/>
      <c r="C259" s="20"/>
      <c r="D259" s="20"/>
      <c r="E259" s="20"/>
      <c r="F259" s="19"/>
      <c r="G259" s="101">
        <v>2.0</v>
      </c>
      <c r="H259" s="101">
        <v>27.0</v>
      </c>
      <c r="I259" s="106" t="s">
        <v>3016</v>
      </c>
      <c r="J259" s="110" t="s">
        <v>2193</v>
      </c>
      <c r="K259" s="106" t="s">
        <v>3017</v>
      </c>
      <c r="L259" s="106" t="s">
        <v>3018</v>
      </c>
      <c r="M259" s="110" t="s">
        <v>2196</v>
      </c>
      <c r="N259" s="113" t="s">
        <v>3019</v>
      </c>
      <c r="O259" s="110" t="s">
        <v>3020</v>
      </c>
      <c r="P259" s="110" t="s">
        <v>2196</v>
      </c>
      <c r="Q259" s="110" t="s">
        <v>2196</v>
      </c>
    </row>
    <row r="260" ht="48.75" customHeight="1">
      <c r="A260" s="104" t="s">
        <v>20</v>
      </c>
      <c r="B260" s="104" t="s">
        <v>2860</v>
      </c>
      <c r="C260" s="103" t="s">
        <v>313</v>
      </c>
      <c r="D260" s="104">
        <v>40.0</v>
      </c>
      <c r="E260" s="105" t="s">
        <v>2425</v>
      </c>
      <c r="F260" s="19"/>
      <c r="G260" s="101">
        <v>3.0</v>
      </c>
      <c r="H260" s="101">
        <v>28.0</v>
      </c>
      <c r="I260" s="106" t="s">
        <v>3021</v>
      </c>
      <c r="J260" s="110" t="s">
        <v>2240</v>
      </c>
      <c r="K260" s="106" t="s">
        <v>3022</v>
      </c>
      <c r="L260" s="106" t="s">
        <v>3023</v>
      </c>
      <c r="M260" s="110" t="s">
        <v>2196</v>
      </c>
      <c r="N260" s="113" t="s">
        <v>3024</v>
      </c>
      <c r="O260" s="110" t="s">
        <v>3015</v>
      </c>
      <c r="P260" s="110" t="s">
        <v>2196</v>
      </c>
      <c r="Q260" s="110" t="s">
        <v>2196</v>
      </c>
    </row>
    <row r="261" ht="48.75" customHeight="1">
      <c r="A261" s="19"/>
      <c r="B261" s="19"/>
      <c r="C261" s="20"/>
      <c r="D261" s="19"/>
      <c r="E261" s="19"/>
      <c r="F261" s="19"/>
      <c r="G261" s="101">
        <v>4.0</v>
      </c>
      <c r="H261" s="101">
        <v>29.0</v>
      </c>
      <c r="I261" s="106" t="s">
        <v>3025</v>
      </c>
      <c r="J261" s="110" t="s">
        <v>2240</v>
      </c>
      <c r="K261" s="106" t="s">
        <v>3026</v>
      </c>
      <c r="L261" s="106" t="s">
        <v>3027</v>
      </c>
      <c r="M261" s="110" t="s">
        <v>2210</v>
      </c>
      <c r="N261" s="113" t="s">
        <v>3028</v>
      </c>
      <c r="O261" s="110" t="s">
        <v>3029</v>
      </c>
      <c r="P261" s="110" t="s">
        <v>2196</v>
      </c>
      <c r="Q261" s="110" t="s">
        <v>2196</v>
      </c>
    </row>
    <row r="262" ht="48.75" customHeight="1">
      <c r="A262" s="104" t="s">
        <v>20</v>
      </c>
      <c r="B262" s="104" t="s">
        <v>2860</v>
      </c>
      <c r="C262" s="103" t="s">
        <v>313</v>
      </c>
      <c r="D262" s="104">
        <v>41.0</v>
      </c>
      <c r="E262" s="145" t="s">
        <v>2432</v>
      </c>
      <c r="F262" s="19"/>
      <c r="G262" s="101">
        <v>5.0</v>
      </c>
      <c r="H262" s="101">
        <v>30.0</v>
      </c>
      <c r="I262" s="106" t="s">
        <v>3030</v>
      </c>
      <c r="J262" s="110" t="s">
        <v>2240</v>
      </c>
      <c r="K262" s="106" t="s">
        <v>3031</v>
      </c>
      <c r="L262" s="106" t="s">
        <v>3032</v>
      </c>
      <c r="M262" s="110" t="s">
        <v>2196</v>
      </c>
      <c r="N262" s="113" t="s">
        <v>3028</v>
      </c>
      <c r="O262" s="110" t="s">
        <v>3029</v>
      </c>
      <c r="P262" s="110" t="s">
        <v>2196</v>
      </c>
      <c r="Q262" s="110" t="s">
        <v>2196</v>
      </c>
    </row>
    <row r="263" ht="48.75" customHeight="1">
      <c r="A263" s="19"/>
      <c r="B263" s="19"/>
      <c r="C263" s="20"/>
      <c r="D263" s="19"/>
      <c r="E263" s="20"/>
      <c r="F263" s="19"/>
      <c r="G263" s="146">
        <v>6.0</v>
      </c>
      <c r="H263" s="146">
        <v>31.0</v>
      </c>
      <c r="I263" s="147" t="s">
        <v>3033</v>
      </c>
      <c r="J263" s="148" t="s">
        <v>2240</v>
      </c>
      <c r="K263" s="106" t="s">
        <v>3034</v>
      </c>
      <c r="L263" s="106" t="s">
        <v>3035</v>
      </c>
      <c r="M263" s="110" t="s">
        <v>2196</v>
      </c>
      <c r="N263" s="149" t="s">
        <v>3019</v>
      </c>
      <c r="O263" s="110" t="s">
        <v>3036</v>
      </c>
      <c r="P263" s="110" t="s">
        <v>2196</v>
      </c>
      <c r="Q263" s="110" t="s">
        <v>2196</v>
      </c>
    </row>
    <row r="264" ht="48.75" customHeight="1">
      <c r="A264" s="150" t="s">
        <v>20</v>
      </c>
      <c r="B264" s="102" t="s">
        <v>2860</v>
      </c>
      <c r="C264" s="103" t="s">
        <v>313</v>
      </c>
      <c r="D264" s="150">
        <v>42.0</v>
      </c>
      <c r="E264" s="145" t="s">
        <v>2443</v>
      </c>
      <c r="F264" s="19"/>
      <c r="G264" s="115" t="s">
        <v>2233</v>
      </c>
      <c r="H264" s="115" t="s">
        <v>2444</v>
      </c>
      <c r="I264" s="120" t="s">
        <v>3037</v>
      </c>
      <c r="J264" s="121"/>
      <c r="K264" s="121"/>
      <c r="L264" s="121"/>
      <c r="M264" s="121"/>
      <c r="N264" s="134"/>
      <c r="O264" s="121"/>
      <c r="P264" s="121"/>
      <c r="Q264" s="121"/>
    </row>
    <row r="265" ht="48.75" customHeight="1">
      <c r="A265" s="19"/>
      <c r="B265" s="19"/>
      <c r="C265" s="19"/>
      <c r="D265" s="19"/>
      <c r="E265" s="19"/>
      <c r="F265" s="19"/>
      <c r="G265" s="101">
        <v>7.0</v>
      </c>
      <c r="H265" s="101">
        <v>32.0</v>
      </c>
      <c r="I265" s="106" t="s">
        <v>3038</v>
      </c>
      <c r="J265" s="110" t="s">
        <v>2240</v>
      </c>
      <c r="K265" s="106" t="s">
        <v>3039</v>
      </c>
      <c r="L265" s="106" t="s">
        <v>3040</v>
      </c>
      <c r="M265" s="110" t="s">
        <v>2196</v>
      </c>
      <c r="N265" s="149" t="s">
        <v>3019</v>
      </c>
      <c r="O265" s="110" t="s">
        <v>3036</v>
      </c>
      <c r="P265" s="110" t="s">
        <v>2196</v>
      </c>
      <c r="Q265" s="110" t="s">
        <v>2196</v>
      </c>
    </row>
    <row r="266" ht="48.75" customHeight="1">
      <c r="A266" s="20"/>
      <c r="B266" s="20"/>
      <c r="C266" s="20"/>
      <c r="D266" s="20"/>
      <c r="E266" s="20"/>
      <c r="F266" s="20"/>
      <c r="G266" s="101">
        <v>8.0</v>
      </c>
      <c r="H266" s="101">
        <v>33.0</v>
      </c>
      <c r="I266" s="106" t="s">
        <v>3041</v>
      </c>
      <c r="J266" s="110" t="s">
        <v>2240</v>
      </c>
      <c r="K266" s="106" t="s">
        <v>3042</v>
      </c>
      <c r="L266" s="106" t="s">
        <v>3043</v>
      </c>
      <c r="M266" s="110" t="s">
        <v>2210</v>
      </c>
      <c r="N266" s="113" t="s">
        <v>3044</v>
      </c>
      <c r="O266" s="110" t="s">
        <v>3045</v>
      </c>
      <c r="P266" s="110" t="s">
        <v>2196</v>
      </c>
      <c r="Q266" s="110" t="s">
        <v>2196</v>
      </c>
    </row>
    <row r="267" ht="48.75" customHeight="1">
      <c r="A267" s="115" t="s">
        <v>20</v>
      </c>
      <c r="B267" s="115" t="s">
        <v>2860</v>
      </c>
      <c r="C267" s="116" t="s">
        <v>313</v>
      </c>
      <c r="D267" s="115">
        <v>43.0</v>
      </c>
      <c r="E267" s="144" t="s">
        <v>2456</v>
      </c>
      <c r="F267" s="119" t="s">
        <v>3046</v>
      </c>
      <c r="G267" s="119" t="s">
        <v>2233</v>
      </c>
      <c r="H267" s="115" t="s">
        <v>2458</v>
      </c>
      <c r="I267" s="151" t="s">
        <v>3046</v>
      </c>
      <c r="J267" s="152"/>
      <c r="K267" s="152"/>
      <c r="L267" s="152"/>
      <c r="M267" s="152"/>
      <c r="N267" s="153"/>
      <c r="O267" s="152"/>
      <c r="P267" s="152"/>
      <c r="Q267" s="152"/>
    </row>
    <row r="268" ht="48.75" customHeight="1">
      <c r="A268" s="115" t="s">
        <v>20</v>
      </c>
      <c r="B268" s="115" t="s">
        <v>2860</v>
      </c>
      <c r="C268" s="116" t="s">
        <v>313</v>
      </c>
      <c r="D268" s="115">
        <v>44.0</v>
      </c>
      <c r="E268" s="144" t="s">
        <v>2459</v>
      </c>
      <c r="F268" s="20"/>
      <c r="G268" s="20"/>
      <c r="H268" s="115" t="s">
        <v>2460</v>
      </c>
      <c r="I268" s="20"/>
      <c r="J268" s="20"/>
      <c r="K268" s="20"/>
      <c r="L268" s="20"/>
      <c r="M268" s="20"/>
      <c r="N268" s="20"/>
      <c r="O268" s="20"/>
      <c r="P268" s="20"/>
      <c r="Q268" s="20"/>
    </row>
    <row r="269" ht="48.75" customHeight="1">
      <c r="A269" s="137" t="s">
        <v>20</v>
      </c>
      <c r="B269" s="137" t="s">
        <v>2860</v>
      </c>
      <c r="C269" s="154" t="s">
        <v>313</v>
      </c>
      <c r="D269" s="137">
        <v>45.0</v>
      </c>
      <c r="E269" s="155" t="s">
        <v>2461</v>
      </c>
      <c r="F269" s="156" t="s">
        <v>2462</v>
      </c>
      <c r="G269" s="137" t="s">
        <v>2233</v>
      </c>
      <c r="H269" s="137" t="s">
        <v>2463</v>
      </c>
      <c r="I269" s="138" t="s">
        <v>2462</v>
      </c>
      <c r="J269" s="139"/>
      <c r="K269" s="139"/>
      <c r="L269" s="139"/>
      <c r="M269" s="139"/>
      <c r="N269" s="140"/>
      <c r="O269" s="139"/>
      <c r="P269" s="139"/>
      <c r="Q269" s="139"/>
    </row>
  </sheetData>
  <autoFilter ref="$A$1:$Q$1"/>
  <mergeCells count="539">
    <mergeCell ref="D21:D22"/>
    <mergeCell ref="D26:D27"/>
    <mergeCell ref="D29:D30"/>
    <mergeCell ref="D14:D15"/>
    <mergeCell ref="E14:E15"/>
    <mergeCell ref="D19:D20"/>
    <mergeCell ref="E19:E20"/>
    <mergeCell ref="F19:F22"/>
    <mergeCell ref="E21:E22"/>
    <mergeCell ref="E29:E30"/>
    <mergeCell ref="B21:B22"/>
    <mergeCell ref="A24:A25"/>
    <mergeCell ref="B24:B25"/>
    <mergeCell ref="C24:C25"/>
    <mergeCell ref="D24:D25"/>
    <mergeCell ref="E24:E25"/>
    <mergeCell ref="A26:A27"/>
    <mergeCell ref="E26:E27"/>
    <mergeCell ref="B26:B27"/>
    <mergeCell ref="C26:C27"/>
    <mergeCell ref="A29:A30"/>
    <mergeCell ref="B29:B30"/>
    <mergeCell ref="C29:C30"/>
    <mergeCell ref="A31:A32"/>
    <mergeCell ref="B31:B32"/>
    <mergeCell ref="B2:B3"/>
    <mergeCell ref="C2:C3"/>
    <mergeCell ref="D2:D3"/>
    <mergeCell ref="E2:E3"/>
    <mergeCell ref="F2:F5"/>
    <mergeCell ref="B4:B5"/>
    <mergeCell ref="C4:C5"/>
    <mergeCell ref="D4:D5"/>
    <mergeCell ref="E4:E5"/>
    <mergeCell ref="A7:A8"/>
    <mergeCell ref="C7:C8"/>
    <mergeCell ref="D7:D8"/>
    <mergeCell ref="E7:E8"/>
    <mergeCell ref="F7:F10"/>
    <mergeCell ref="E9:E10"/>
    <mergeCell ref="C9:C10"/>
    <mergeCell ref="D9:D10"/>
    <mergeCell ref="C12:C13"/>
    <mergeCell ref="D12:D13"/>
    <mergeCell ref="E12:E13"/>
    <mergeCell ref="F12:F15"/>
    <mergeCell ref="C14:C15"/>
    <mergeCell ref="B7:B8"/>
    <mergeCell ref="B9:B10"/>
    <mergeCell ref="B12:B13"/>
    <mergeCell ref="B14:B15"/>
    <mergeCell ref="B19:B20"/>
    <mergeCell ref="C19:C20"/>
    <mergeCell ref="C21:C22"/>
    <mergeCell ref="F24:F27"/>
    <mergeCell ref="F29:F32"/>
    <mergeCell ref="F35:F42"/>
    <mergeCell ref="C31:C32"/>
    <mergeCell ref="D31:D32"/>
    <mergeCell ref="E31:E32"/>
    <mergeCell ref="B41:B42"/>
    <mergeCell ref="C41:C42"/>
    <mergeCell ref="B35:B36"/>
    <mergeCell ref="C35:C36"/>
    <mergeCell ref="D35:D36"/>
    <mergeCell ref="E35:E36"/>
    <mergeCell ref="C37:C38"/>
    <mergeCell ref="D37:D38"/>
    <mergeCell ref="E37:E38"/>
    <mergeCell ref="D41:D42"/>
    <mergeCell ref="E41:E42"/>
    <mergeCell ref="B37:B38"/>
    <mergeCell ref="A39:A40"/>
    <mergeCell ref="B39:B40"/>
    <mergeCell ref="C39:C40"/>
    <mergeCell ref="D39:D40"/>
    <mergeCell ref="E39:E40"/>
    <mergeCell ref="A41:A42"/>
    <mergeCell ref="B44:B45"/>
    <mergeCell ref="C44:C45"/>
    <mergeCell ref="D44:D45"/>
    <mergeCell ref="E44:E45"/>
    <mergeCell ref="F44:F47"/>
    <mergeCell ref="D46:D47"/>
    <mergeCell ref="E46:E47"/>
    <mergeCell ref="C52:C54"/>
    <mergeCell ref="D52:D54"/>
    <mergeCell ref="A57:A58"/>
    <mergeCell ref="A59:A60"/>
    <mergeCell ref="B59:B60"/>
    <mergeCell ref="C59:C60"/>
    <mergeCell ref="B63:B65"/>
    <mergeCell ref="C63:C65"/>
    <mergeCell ref="N66:N67"/>
    <mergeCell ref="O66:O67"/>
    <mergeCell ref="P66:P67"/>
    <mergeCell ref="Q66:Q67"/>
    <mergeCell ref="D63:D65"/>
    <mergeCell ref="E63:E65"/>
    <mergeCell ref="F66:F67"/>
    <mergeCell ref="G66:G67"/>
    <mergeCell ref="I66:I67"/>
    <mergeCell ref="J66:J67"/>
    <mergeCell ref="K66:K67"/>
    <mergeCell ref="A44:A45"/>
    <mergeCell ref="A50:A51"/>
    <mergeCell ref="B50:B51"/>
    <mergeCell ref="C50:C51"/>
    <mergeCell ref="D50:D51"/>
    <mergeCell ref="E50:E51"/>
    <mergeCell ref="F50:F54"/>
    <mergeCell ref="E52:E54"/>
    <mergeCell ref="D59:D60"/>
    <mergeCell ref="E59:E60"/>
    <mergeCell ref="C61:C62"/>
    <mergeCell ref="D61:D62"/>
    <mergeCell ref="A52:A54"/>
    <mergeCell ref="A63:A65"/>
    <mergeCell ref="A69:A70"/>
    <mergeCell ref="A74:A75"/>
    <mergeCell ref="A76:A77"/>
    <mergeCell ref="B52:B54"/>
    <mergeCell ref="B57:B58"/>
    <mergeCell ref="C57:C58"/>
    <mergeCell ref="D57:D58"/>
    <mergeCell ref="E57:E58"/>
    <mergeCell ref="F57:F65"/>
    <mergeCell ref="E61:E62"/>
    <mergeCell ref="L66:L67"/>
    <mergeCell ref="M66:M67"/>
    <mergeCell ref="D76:D77"/>
    <mergeCell ref="E76:E77"/>
    <mergeCell ref="A61:A62"/>
    <mergeCell ref="B61:B62"/>
    <mergeCell ref="B69:B72"/>
    <mergeCell ref="C69:C72"/>
    <mergeCell ref="E69:E70"/>
    <mergeCell ref="F69:F72"/>
    <mergeCell ref="A71:A72"/>
    <mergeCell ref="E71:E72"/>
    <mergeCell ref="D79:D80"/>
    <mergeCell ref="E79:E80"/>
    <mergeCell ref="F79:F82"/>
    <mergeCell ref="D81:D82"/>
    <mergeCell ref="E81:E82"/>
    <mergeCell ref="D69:D70"/>
    <mergeCell ref="D71:D72"/>
    <mergeCell ref="C74:C77"/>
    <mergeCell ref="D74:D75"/>
    <mergeCell ref="E74:E75"/>
    <mergeCell ref="F74:F77"/>
    <mergeCell ref="A79:A80"/>
    <mergeCell ref="D86:D87"/>
    <mergeCell ref="E86:E87"/>
    <mergeCell ref="F86:F89"/>
    <mergeCell ref="D88:D89"/>
    <mergeCell ref="E88:E89"/>
    <mergeCell ref="F91:F94"/>
    <mergeCell ref="D93:D94"/>
    <mergeCell ref="E93:E94"/>
    <mergeCell ref="B74:B77"/>
    <mergeCell ref="B79:B82"/>
    <mergeCell ref="C79:C82"/>
    <mergeCell ref="A81:A82"/>
    <mergeCell ref="A86:A87"/>
    <mergeCell ref="B86:B87"/>
    <mergeCell ref="C86:C87"/>
    <mergeCell ref="A88:A89"/>
    <mergeCell ref="B88:B89"/>
    <mergeCell ref="C88:C89"/>
    <mergeCell ref="B91:B92"/>
    <mergeCell ref="C91:C92"/>
    <mergeCell ref="D91:D92"/>
    <mergeCell ref="E91:E92"/>
    <mergeCell ref="D96:D97"/>
    <mergeCell ref="E96:E97"/>
    <mergeCell ref="F96:F99"/>
    <mergeCell ref="D98:D99"/>
    <mergeCell ref="E98:E99"/>
    <mergeCell ref="A197:A199"/>
    <mergeCell ref="B197:B199"/>
    <mergeCell ref="C197:C199"/>
    <mergeCell ref="B203:B204"/>
    <mergeCell ref="C203:C204"/>
    <mergeCell ref="D203:D204"/>
    <mergeCell ref="E203:E204"/>
    <mergeCell ref="D208:D209"/>
    <mergeCell ref="E208:E209"/>
    <mergeCell ref="A203:A204"/>
    <mergeCell ref="A205:A206"/>
    <mergeCell ref="B205:B206"/>
    <mergeCell ref="C205:C206"/>
    <mergeCell ref="D205:D206"/>
    <mergeCell ref="E205:E206"/>
    <mergeCell ref="A208:A209"/>
    <mergeCell ref="A169:A170"/>
    <mergeCell ref="A171:A172"/>
    <mergeCell ref="B171:B172"/>
    <mergeCell ref="C171:C172"/>
    <mergeCell ref="A173:A174"/>
    <mergeCell ref="B173:B174"/>
    <mergeCell ref="C173:C174"/>
    <mergeCell ref="E178:E179"/>
    <mergeCell ref="F178:F181"/>
    <mergeCell ref="E180:E181"/>
    <mergeCell ref="A175:A176"/>
    <mergeCell ref="B175:B176"/>
    <mergeCell ref="C175:C176"/>
    <mergeCell ref="A178:A179"/>
    <mergeCell ref="B178:B179"/>
    <mergeCell ref="C178:C179"/>
    <mergeCell ref="D178:D179"/>
    <mergeCell ref="A180:A181"/>
    <mergeCell ref="B180:B181"/>
    <mergeCell ref="C180:C181"/>
    <mergeCell ref="D180:D181"/>
    <mergeCell ref="A184:A185"/>
    <mergeCell ref="B184:B185"/>
    <mergeCell ref="C184:C185"/>
    <mergeCell ref="A186:A188"/>
    <mergeCell ref="B186:B188"/>
    <mergeCell ref="C186:C188"/>
    <mergeCell ref="B191:B192"/>
    <mergeCell ref="C191:C192"/>
    <mergeCell ref="D191:D192"/>
    <mergeCell ref="E191:E192"/>
    <mergeCell ref="F200:F201"/>
    <mergeCell ref="F203:F206"/>
    <mergeCell ref="F208:F211"/>
    <mergeCell ref="F213:F216"/>
    <mergeCell ref="E215:E216"/>
    <mergeCell ref="B208:B209"/>
    <mergeCell ref="C208:C209"/>
    <mergeCell ref="A210:A211"/>
    <mergeCell ref="B210:B211"/>
    <mergeCell ref="C210:C211"/>
    <mergeCell ref="D210:D211"/>
    <mergeCell ref="E210:E211"/>
    <mergeCell ref="D242:D243"/>
    <mergeCell ref="E242:E243"/>
    <mergeCell ref="D236:D237"/>
    <mergeCell ref="E236:E237"/>
    <mergeCell ref="F236:F243"/>
    <mergeCell ref="D238:D239"/>
    <mergeCell ref="E238:E239"/>
    <mergeCell ref="D240:D241"/>
    <mergeCell ref="E240:E241"/>
    <mergeCell ref="D222:D223"/>
    <mergeCell ref="E222:E223"/>
    <mergeCell ref="F225:F228"/>
    <mergeCell ref="D227:D228"/>
    <mergeCell ref="E227:E228"/>
    <mergeCell ref="F230:F233"/>
    <mergeCell ref="D232:D233"/>
    <mergeCell ref="E232:E233"/>
    <mergeCell ref="A220:A221"/>
    <mergeCell ref="B220:B221"/>
    <mergeCell ref="C220:C221"/>
    <mergeCell ref="D220:D221"/>
    <mergeCell ref="E220:E221"/>
    <mergeCell ref="F220:F223"/>
    <mergeCell ref="A222:A223"/>
    <mergeCell ref="B222:B223"/>
    <mergeCell ref="C222:C223"/>
    <mergeCell ref="A225:A226"/>
    <mergeCell ref="B225:B226"/>
    <mergeCell ref="C225:C226"/>
    <mergeCell ref="D225:D226"/>
    <mergeCell ref="E225:E226"/>
    <mergeCell ref="A227:A228"/>
    <mergeCell ref="B227:B228"/>
    <mergeCell ref="C227:C228"/>
    <mergeCell ref="B230:B231"/>
    <mergeCell ref="C230:C231"/>
    <mergeCell ref="D230:D231"/>
    <mergeCell ref="E230:E231"/>
    <mergeCell ref="A230:A231"/>
    <mergeCell ref="A232:A233"/>
    <mergeCell ref="B232:B233"/>
    <mergeCell ref="C232:C233"/>
    <mergeCell ref="A236:A237"/>
    <mergeCell ref="B236:B237"/>
    <mergeCell ref="C236:C237"/>
    <mergeCell ref="B242:B243"/>
    <mergeCell ref="C242:C243"/>
    <mergeCell ref="A238:A239"/>
    <mergeCell ref="B238:B239"/>
    <mergeCell ref="C238:C239"/>
    <mergeCell ref="A240:A241"/>
    <mergeCell ref="B240:B241"/>
    <mergeCell ref="C240:C241"/>
    <mergeCell ref="A242:A243"/>
    <mergeCell ref="L267:L268"/>
    <mergeCell ref="M267:M268"/>
    <mergeCell ref="N267:N268"/>
    <mergeCell ref="O267:O268"/>
    <mergeCell ref="P267:P268"/>
    <mergeCell ref="Q267:Q268"/>
    <mergeCell ref="E262:E263"/>
    <mergeCell ref="D264:D266"/>
    <mergeCell ref="E264:E266"/>
    <mergeCell ref="G267:G268"/>
    <mergeCell ref="I267:I268"/>
    <mergeCell ref="J267:J268"/>
    <mergeCell ref="K267:K268"/>
    <mergeCell ref="A245:A246"/>
    <mergeCell ref="B245:B246"/>
    <mergeCell ref="C245:C246"/>
    <mergeCell ref="D245:D246"/>
    <mergeCell ref="E245:E246"/>
    <mergeCell ref="F245:F248"/>
    <mergeCell ref="A247:A248"/>
    <mergeCell ref="B247:B248"/>
    <mergeCell ref="C247:C248"/>
    <mergeCell ref="A251:A252"/>
    <mergeCell ref="B251:B252"/>
    <mergeCell ref="C251:C252"/>
    <mergeCell ref="D251:D252"/>
    <mergeCell ref="E251:E252"/>
    <mergeCell ref="A253:A255"/>
    <mergeCell ref="B253:B255"/>
    <mergeCell ref="C253:C255"/>
    <mergeCell ref="B258:B259"/>
    <mergeCell ref="C258:C259"/>
    <mergeCell ref="D258:D259"/>
    <mergeCell ref="E258:E259"/>
    <mergeCell ref="D260:D261"/>
    <mergeCell ref="D262:D263"/>
    <mergeCell ref="A264:A266"/>
    <mergeCell ref="B264:B266"/>
    <mergeCell ref="C264:C266"/>
    <mergeCell ref="A258:A259"/>
    <mergeCell ref="A260:A261"/>
    <mergeCell ref="B260:B261"/>
    <mergeCell ref="C260:C261"/>
    <mergeCell ref="A262:A263"/>
    <mergeCell ref="B262:B263"/>
    <mergeCell ref="C262:C263"/>
    <mergeCell ref="D247:D248"/>
    <mergeCell ref="E247:E248"/>
    <mergeCell ref="F251:F255"/>
    <mergeCell ref="D253:D255"/>
    <mergeCell ref="E253:E255"/>
    <mergeCell ref="F258:F266"/>
    <mergeCell ref="E260:E261"/>
    <mergeCell ref="F267:F268"/>
    <mergeCell ref="B98:B99"/>
    <mergeCell ref="C98:C99"/>
    <mergeCell ref="C102:C103"/>
    <mergeCell ref="D102:D103"/>
    <mergeCell ref="E102:E103"/>
    <mergeCell ref="F102:F109"/>
    <mergeCell ref="E104:E105"/>
    <mergeCell ref="B113:B114"/>
    <mergeCell ref="B119:B121"/>
    <mergeCell ref="B126:B127"/>
    <mergeCell ref="B128:B129"/>
    <mergeCell ref="B130:B132"/>
    <mergeCell ref="F117:F121"/>
    <mergeCell ref="F124:F132"/>
    <mergeCell ref="F133:F134"/>
    <mergeCell ref="G133:G134"/>
    <mergeCell ref="D108:D109"/>
    <mergeCell ref="E108:E109"/>
    <mergeCell ref="F111:F114"/>
    <mergeCell ref="C113:C114"/>
    <mergeCell ref="D113:D114"/>
    <mergeCell ref="E113:E114"/>
    <mergeCell ref="E119:E121"/>
    <mergeCell ref="C119:C121"/>
    <mergeCell ref="D119:D121"/>
    <mergeCell ref="C126:C127"/>
    <mergeCell ref="D126:D127"/>
    <mergeCell ref="E126:E127"/>
    <mergeCell ref="D128:D129"/>
    <mergeCell ref="E128:E129"/>
    <mergeCell ref="L133:L134"/>
    <mergeCell ref="M133:M134"/>
    <mergeCell ref="N133:N134"/>
    <mergeCell ref="O133:O134"/>
    <mergeCell ref="P133:P134"/>
    <mergeCell ref="Q133:Q134"/>
    <mergeCell ref="C128:C129"/>
    <mergeCell ref="C130:C132"/>
    <mergeCell ref="D130:D132"/>
    <mergeCell ref="E130:E132"/>
    <mergeCell ref="I133:I134"/>
    <mergeCell ref="J133:J134"/>
    <mergeCell ref="K133:K134"/>
    <mergeCell ref="A91:A92"/>
    <mergeCell ref="A93:A94"/>
    <mergeCell ref="B93:B94"/>
    <mergeCell ref="C93:C94"/>
    <mergeCell ref="A96:A97"/>
    <mergeCell ref="B96:B97"/>
    <mergeCell ref="C96:C97"/>
    <mergeCell ref="B102:B103"/>
    <mergeCell ref="B104:B105"/>
    <mergeCell ref="B117:B118"/>
    <mergeCell ref="C117:C118"/>
    <mergeCell ref="D117:D118"/>
    <mergeCell ref="E117:E118"/>
    <mergeCell ref="C104:C105"/>
    <mergeCell ref="D104:D105"/>
    <mergeCell ref="B106:B107"/>
    <mergeCell ref="C106:C107"/>
    <mergeCell ref="D106:D107"/>
    <mergeCell ref="E106:E107"/>
    <mergeCell ref="B108:B109"/>
    <mergeCell ref="C108:C109"/>
    <mergeCell ref="B111:B112"/>
    <mergeCell ref="C111:C112"/>
    <mergeCell ref="D111:D112"/>
    <mergeCell ref="E111:E112"/>
    <mergeCell ref="B124:B125"/>
    <mergeCell ref="C124:C125"/>
    <mergeCell ref="D124:D125"/>
    <mergeCell ref="E124:E125"/>
    <mergeCell ref="A98:A99"/>
    <mergeCell ref="A106:A107"/>
    <mergeCell ref="A108:A109"/>
    <mergeCell ref="A111:A112"/>
    <mergeCell ref="A117:A118"/>
    <mergeCell ref="A119:A121"/>
    <mergeCell ref="A124:A125"/>
    <mergeCell ref="E136:E137"/>
    <mergeCell ref="F136:F139"/>
    <mergeCell ref="E138:E139"/>
    <mergeCell ref="A126:A127"/>
    <mergeCell ref="A128:A129"/>
    <mergeCell ref="A130:A132"/>
    <mergeCell ref="A136:A137"/>
    <mergeCell ref="B136:B137"/>
    <mergeCell ref="C136:C137"/>
    <mergeCell ref="D136:D137"/>
    <mergeCell ref="D141:D142"/>
    <mergeCell ref="E141:E142"/>
    <mergeCell ref="F141:F144"/>
    <mergeCell ref="D143:D144"/>
    <mergeCell ref="E143:E144"/>
    <mergeCell ref="F146:F149"/>
    <mergeCell ref="D148:D149"/>
    <mergeCell ref="E148:E149"/>
    <mergeCell ref="A138:A139"/>
    <mergeCell ref="B138:B139"/>
    <mergeCell ref="C138:C139"/>
    <mergeCell ref="D138:D139"/>
    <mergeCell ref="A141:A142"/>
    <mergeCell ref="B141:B142"/>
    <mergeCell ref="C141:C142"/>
    <mergeCell ref="A143:A144"/>
    <mergeCell ref="B143:B144"/>
    <mergeCell ref="C143:C144"/>
    <mergeCell ref="B146:B147"/>
    <mergeCell ref="C146:C147"/>
    <mergeCell ref="D146:D147"/>
    <mergeCell ref="E146:E147"/>
    <mergeCell ref="D153:D154"/>
    <mergeCell ref="E153:E154"/>
    <mergeCell ref="F153:F156"/>
    <mergeCell ref="D155:D156"/>
    <mergeCell ref="E155:E156"/>
    <mergeCell ref="A146:A147"/>
    <mergeCell ref="A148:A149"/>
    <mergeCell ref="B148:B149"/>
    <mergeCell ref="C148:C149"/>
    <mergeCell ref="A153:A154"/>
    <mergeCell ref="B153:B154"/>
    <mergeCell ref="C153:C154"/>
    <mergeCell ref="E158:E159"/>
    <mergeCell ref="F158:F161"/>
    <mergeCell ref="E160:E161"/>
    <mergeCell ref="A155:A156"/>
    <mergeCell ref="B155:B156"/>
    <mergeCell ref="C155:C156"/>
    <mergeCell ref="A158:A159"/>
    <mergeCell ref="B158:B159"/>
    <mergeCell ref="C158:C159"/>
    <mergeCell ref="D158:D159"/>
    <mergeCell ref="A160:A161"/>
    <mergeCell ref="B160:B161"/>
    <mergeCell ref="C160:C161"/>
    <mergeCell ref="D160:D161"/>
    <mergeCell ref="A163:A164"/>
    <mergeCell ref="B163:B164"/>
    <mergeCell ref="C163:C164"/>
    <mergeCell ref="A165:A166"/>
    <mergeCell ref="B165:B166"/>
    <mergeCell ref="C165:C166"/>
    <mergeCell ref="B169:B170"/>
    <mergeCell ref="C169:C170"/>
    <mergeCell ref="D169:D170"/>
    <mergeCell ref="E169:E170"/>
    <mergeCell ref="D171:D172"/>
    <mergeCell ref="D173:D174"/>
    <mergeCell ref="E173:E174"/>
    <mergeCell ref="D175:D176"/>
    <mergeCell ref="E175:E176"/>
    <mergeCell ref="D163:D164"/>
    <mergeCell ref="E163:E164"/>
    <mergeCell ref="F163:F166"/>
    <mergeCell ref="D165:D166"/>
    <mergeCell ref="E165:E166"/>
    <mergeCell ref="F169:F176"/>
    <mergeCell ref="E171:E172"/>
    <mergeCell ref="D193:D194"/>
    <mergeCell ref="D195:D196"/>
    <mergeCell ref="I200:I201"/>
    <mergeCell ref="J200:J201"/>
    <mergeCell ref="N200:N201"/>
    <mergeCell ref="O200:O201"/>
    <mergeCell ref="P200:P201"/>
    <mergeCell ref="Q200:Q201"/>
    <mergeCell ref="A191:A192"/>
    <mergeCell ref="A193:A194"/>
    <mergeCell ref="B193:B194"/>
    <mergeCell ref="C193:C194"/>
    <mergeCell ref="A195:A196"/>
    <mergeCell ref="B195:B196"/>
    <mergeCell ref="C195:C196"/>
    <mergeCell ref="E195:E196"/>
    <mergeCell ref="D197:D199"/>
    <mergeCell ref="E197:E199"/>
    <mergeCell ref="D184:D185"/>
    <mergeCell ref="E184:E185"/>
    <mergeCell ref="F184:F188"/>
    <mergeCell ref="D186:D188"/>
    <mergeCell ref="E186:E188"/>
    <mergeCell ref="F191:F199"/>
    <mergeCell ref="E193:E194"/>
    <mergeCell ref="C215:C216"/>
    <mergeCell ref="D215:D216"/>
    <mergeCell ref="A213:A214"/>
    <mergeCell ref="B213:B214"/>
    <mergeCell ref="C213:C214"/>
    <mergeCell ref="D213:D214"/>
    <mergeCell ref="E213:E214"/>
    <mergeCell ref="A215:A216"/>
    <mergeCell ref="B215:B216"/>
  </mergeCells>
  <dataValidations>
    <dataValidation type="list" allowBlank="1" showErrorMessage="1" sqref="J35:J66 J68 J119 J130 J169:J200 J202 J236:J267 J269">
      <formula1>"Material digital,Vídeo"</formula1>
    </dataValidation>
  </dataValidation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1F1DA"/>
    <pageSetUpPr/>
  </sheetPr>
  <sheetViews>
    <sheetView showGridLines="0" workbookViewId="0"/>
  </sheetViews>
  <sheetFormatPr customHeight="1" defaultColWidth="12.63" defaultRowHeight="15.0"/>
  <cols>
    <col customWidth="1" min="1" max="1" width="17.25"/>
    <col customWidth="1" min="2" max="2" width="15.25"/>
    <col customWidth="1" min="3" max="3" width="21.25"/>
    <col customWidth="1" min="4" max="4" width="28.88"/>
    <col customWidth="1" min="5" max="5" width="20.0"/>
    <col customWidth="1" min="6" max="6" width="21.63"/>
    <col customWidth="1" min="7" max="7" width="24.13"/>
    <col customWidth="1" min="8" max="8" width="24.75"/>
    <col customWidth="1" min="9" max="9" width="27.13"/>
    <col customWidth="1" min="10" max="10" width="27.88"/>
    <col customWidth="1" hidden="1" min="11" max="18" width="8.63"/>
  </cols>
  <sheetData>
    <row r="1" ht="27.0" customHeight="1">
      <c r="A1" s="194"/>
      <c r="B1" s="195"/>
      <c r="C1" s="196" t="s">
        <v>2189</v>
      </c>
      <c r="D1" s="197"/>
      <c r="E1" s="196" t="s">
        <v>2464</v>
      </c>
      <c r="F1" s="197"/>
      <c r="G1" s="196" t="s">
        <v>2661</v>
      </c>
      <c r="H1" s="197"/>
      <c r="I1" s="196" t="s">
        <v>2860</v>
      </c>
      <c r="J1" s="197"/>
      <c r="K1" s="198"/>
      <c r="L1" s="198"/>
      <c r="M1" s="198"/>
      <c r="N1" s="198"/>
      <c r="O1" s="198"/>
      <c r="P1" s="198"/>
      <c r="Q1" s="198"/>
      <c r="R1" s="198"/>
    </row>
    <row r="2">
      <c r="A2" s="199" t="s">
        <v>680</v>
      </c>
      <c r="B2" s="196" t="s">
        <v>3047</v>
      </c>
      <c r="C2" s="200" t="s">
        <v>681</v>
      </c>
      <c r="D2" s="201"/>
      <c r="E2" s="63" t="s">
        <v>725</v>
      </c>
      <c r="F2" s="201"/>
      <c r="G2" s="63" t="s">
        <v>760</v>
      </c>
      <c r="H2" s="201"/>
      <c r="I2" s="63" t="s">
        <v>797</v>
      </c>
      <c r="J2" s="201"/>
      <c r="K2" s="5"/>
      <c r="L2" s="5"/>
      <c r="M2" s="5"/>
      <c r="N2" s="5"/>
      <c r="O2" s="5"/>
      <c r="P2" s="5"/>
      <c r="Q2" s="5"/>
      <c r="R2" s="5"/>
    </row>
    <row r="3">
      <c r="A3" s="19"/>
      <c r="B3" s="196" t="s">
        <v>1137</v>
      </c>
      <c r="C3" s="10" t="s">
        <v>22</v>
      </c>
      <c r="D3" s="202" t="s">
        <v>153</v>
      </c>
      <c r="E3" s="61" t="s">
        <v>22</v>
      </c>
      <c r="F3" s="202" t="s">
        <v>153</v>
      </c>
      <c r="G3" s="61" t="s">
        <v>22</v>
      </c>
      <c r="H3" s="202" t="s">
        <v>153</v>
      </c>
      <c r="I3" s="61" t="s">
        <v>22</v>
      </c>
      <c r="J3" s="202" t="s">
        <v>153</v>
      </c>
      <c r="K3" s="5"/>
      <c r="L3" s="5"/>
      <c r="M3" s="5"/>
      <c r="N3" s="5"/>
      <c r="O3" s="5"/>
      <c r="P3" s="5"/>
      <c r="Q3" s="5"/>
      <c r="R3" s="5"/>
    </row>
    <row r="4">
      <c r="A4" s="19"/>
      <c r="B4" s="196" t="s">
        <v>3048</v>
      </c>
      <c r="C4" s="10" t="s">
        <v>3049</v>
      </c>
      <c r="D4" s="202" t="s">
        <v>3050</v>
      </c>
      <c r="E4" s="61" t="s">
        <v>3051</v>
      </c>
      <c r="F4" s="202" t="s">
        <v>3052</v>
      </c>
      <c r="G4" s="61" t="s">
        <v>3053</v>
      </c>
      <c r="H4" s="202" t="s">
        <v>3054</v>
      </c>
      <c r="I4" s="61" t="s">
        <v>3055</v>
      </c>
      <c r="J4" s="202" t="s">
        <v>3056</v>
      </c>
      <c r="K4" s="5"/>
      <c r="L4" s="5"/>
      <c r="M4" s="5"/>
      <c r="N4" s="5"/>
      <c r="O4" s="5"/>
      <c r="P4" s="5"/>
      <c r="Q4" s="5"/>
      <c r="R4" s="5"/>
    </row>
    <row r="5">
      <c r="A5" s="19"/>
      <c r="B5" s="196" t="s">
        <v>3057</v>
      </c>
      <c r="C5" s="10" t="s">
        <v>3058</v>
      </c>
      <c r="D5" s="202" t="s">
        <v>828</v>
      </c>
      <c r="E5" s="61" t="s">
        <v>727</v>
      </c>
      <c r="F5" s="202" t="s">
        <v>854</v>
      </c>
      <c r="G5" s="61" t="s">
        <v>762</v>
      </c>
      <c r="H5" s="202" t="s">
        <v>895</v>
      </c>
      <c r="I5" s="61" t="s">
        <v>799</v>
      </c>
      <c r="J5" s="202" t="s">
        <v>926</v>
      </c>
      <c r="K5" s="5"/>
      <c r="L5" s="5"/>
      <c r="M5" s="5"/>
      <c r="N5" s="5"/>
      <c r="O5" s="5"/>
      <c r="P5" s="5"/>
      <c r="Q5" s="5"/>
      <c r="R5" s="5"/>
    </row>
    <row r="6">
      <c r="A6" s="19"/>
      <c r="B6" s="196" t="s">
        <v>3059</v>
      </c>
      <c r="C6" s="10" t="s">
        <v>686</v>
      </c>
      <c r="D6" s="202" t="s">
        <v>829</v>
      </c>
      <c r="E6" s="61" t="s">
        <v>729</v>
      </c>
      <c r="F6" s="202" t="s">
        <v>856</v>
      </c>
      <c r="G6" s="61" t="s">
        <v>764</v>
      </c>
      <c r="H6" s="202" t="s">
        <v>897</v>
      </c>
      <c r="I6" s="61" t="s">
        <v>802</v>
      </c>
      <c r="J6" s="202" t="s">
        <v>928</v>
      </c>
      <c r="K6" s="5"/>
      <c r="L6" s="5"/>
      <c r="M6" s="5"/>
      <c r="N6" s="5"/>
      <c r="O6" s="5"/>
      <c r="P6" s="5"/>
      <c r="Q6" s="5"/>
      <c r="R6" s="5"/>
    </row>
    <row r="7">
      <c r="A7" s="19"/>
      <c r="B7" s="196" t="s">
        <v>3060</v>
      </c>
      <c r="C7" s="10" t="s">
        <v>684</v>
      </c>
      <c r="D7" s="202" t="s">
        <v>728</v>
      </c>
      <c r="E7" s="61" t="s">
        <v>728</v>
      </c>
      <c r="F7" s="202" t="s">
        <v>855</v>
      </c>
      <c r="G7" s="61" t="s">
        <v>763</v>
      </c>
      <c r="H7" s="202" t="s">
        <v>896</v>
      </c>
      <c r="I7" s="61" t="s">
        <v>800</v>
      </c>
      <c r="J7" s="202" t="s">
        <v>927</v>
      </c>
      <c r="K7" s="5"/>
      <c r="L7" s="5"/>
      <c r="M7" s="5"/>
      <c r="N7" s="5"/>
      <c r="O7" s="5"/>
      <c r="P7" s="5"/>
      <c r="Q7" s="5"/>
      <c r="R7" s="5"/>
    </row>
    <row r="8">
      <c r="A8" s="19"/>
      <c r="B8" s="196" t="s">
        <v>3061</v>
      </c>
      <c r="C8" s="10" t="s">
        <v>685</v>
      </c>
      <c r="D8" s="202" t="s">
        <v>711</v>
      </c>
      <c r="E8" s="61" t="s">
        <v>704</v>
      </c>
      <c r="F8" s="202" t="s">
        <v>824</v>
      </c>
      <c r="G8" s="61" t="s">
        <v>747</v>
      </c>
      <c r="H8" s="202" t="s">
        <v>685</v>
      </c>
      <c r="I8" s="61" t="s">
        <v>801</v>
      </c>
      <c r="J8" s="202" t="s">
        <v>877</v>
      </c>
      <c r="K8" s="5"/>
      <c r="L8" s="5"/>
      <c r="M8" s="5"/>
      <c r="N8" s="5"/>
      <c r="O8" s="5"/>
      <c r="P8" s="5"/>
      <c r="Q8" s="5"/>
      <c r="R8" s="5"/>
    </row>
    <row r="9">
      <c r="A9" s="19"/>
      <c r="B9" s="196" t="s">
        <v>3062</v>
      </c>
      <c r="C9" s="10" t="s">
        <v>3063</v>
      </c>
      <c r="D9" s="202" t="s">
        <v>3064</v>
      </c>
      <c r="E9" s="61" t="s">
        <v>3064</v>
      </c>
      <c r="F9" s="202" t="s">
        <v>3065</v>
      </c>
      <c r="G9" s="61" t="s">
        <v>3064</v>
      </c>
      <c r="H9" s="202" t="s">
        <v>3065</v>
      </c>
      <c r="I9" s="61" t="s">
        <v>3063</v>
      </c>
      <c r="J9" s="202" t="s">
        <v>3066</v>
      </c>
      <c r="K9" s="5"/>
      <c r="L9" s="5"/>
      <c r="M9" s="5"/>
      <c r="N9" s="5"/>
      <c r="O9" s="5"/>
      <c r="P9" s="5"/>
      <c r="Q9" s="5"/>
      <c r="R9" s="5"/>
    </row>
    <row r="10">
      <c r="A10" s="19"/>
      <c r="B10" s="196" t="s">
        <v>3067</v>
      </c>
      <c r="C10" s="10"/>
      <c r="D10" s="202"/>
      <c r="E10" s="61"/>
      <c r="F10" s="202"/>
      <c r="G10" s="61"/>
      <c r="H10" s="202"/>
      <c r="I10" s="61"/>
      <c r="J10" s="202"/>
      <c r="K10" s="5"/>
      <c r="L10" s="5"/>
      <c r="M10" s="5"/>
      <c r="N10" s="5"/>
      <c r="O10" s="5"/>
      <c r="P10" s="5"/>
      <c r="Q10" s="5"/>
      <c r="R10" s="5"/>
    </row>
    <row r="11">
      <c r="A11" s="20"/>
      <c r="B11" s="196" t="s">
        <v>3068</v>
      </c>
      <c r="C11" s="203" t="s">
        <v>3069</v>
      </c>
      <c r="D11" s="204" t="s">
        <v>3070</v>
      </c>
      <c r="E11" s="205" t="s">
        <v>3071</v>
      </c>
      <c r="F11" s="204" t="s">
        <v>3072</v>
      </c>
      <c r="G11" s="205" t="s">
        <v>3073</v>
      </c>
      <c r="H11" s="204" t="s">
        <v>3074</v>
      </c>
      <c r="I11" s="205" t="s">
        <v>3075</v>
      </c>
      <c r="J11" s="204" t="s">
        <v>3076</v>
      </c>
      <c r="K11" s="5"/>
      <c r="L11" s="5"/>
      <c r="M11" s="5"/>
      <c r="N11" s="5"/>
      <c r="O11" s="5"/>
      <c r="P11" s="5"/>
      <c r="Q11" s="5"/>
      <c r="R11" s="5"/>
    </row>
    <row r="12">
      <c r="A12" s="206" t="s">
        <v>692</v>
      </c>
      <c r="B12" s="196" t="s">
        <v>3047</v>
      </c>
      <c r="C12" s="207" t="s">
        <v>693</v>
      </c>
      <c r="D12" s="208"/>
      <c r="E12" s="209" t="s">
        <v>731</v>
      </c>
      <c r="F12" s="208"/>
      <c r="G12" s="209" t="s">
        <v>765</v>
      </c>
      <c r="H12" s="208"/>
      <c r="I12" s="209" t="s">
        <v>804</v>
      </c>
      <c r="J12" s="208"/>
      <c r="K12" s="5"/>
      <c r="L12" s="5"/>
      <c r="M12" s="5"/>
      <c r="N12" s="5"/>
      <c r="O12" s="5"/>
      <c r="P12" s="5"/>
      <c r="Q12" s="5"/>
      <c r="R12" s="5"/>
    </row>
    <row r="13">
      <c r="A13" s="19"/>
      <c r="B13" s="196" t="s">
        <v>1137</v>
      </c>
      <c r="C13" s="10" t="s">
        <v>22</v>
      </c>
      <c r="D13" s="202" t="s">
        <v>153</v>
      </c>
      <c r="E13" s="61" t="s">
        <v>22</v>
      </c>
      <c r="F13" s="202" t="s">
        <v>153</v>
      </c>
      <c r="G13" s="61" t="s">
        <v>22</v>
      </c>
      <c r="H13" s="202" t="s">
        <v>153</v>
      </c>
      <c r="I13" s="61" t="s">
        <v>22</v>
      </c>
      <c r="J13" s="202" t="s">
        <v>153</v>
      </c>
      <c r="K13" s="5"/>
      <c r="L13" s="5"/>
      <c r="M13" s="5"/>
      <c r="N13" s="5"/>
      <c r="O13" s="5"/>
      <c r="P13" s="5"/>
      <c r="Q13" s="5"/>
      <c r="R13" s="5"/>
    </row>
    <row r="14">
      <c r="A14" s="19"/>
      <c r="B14" s="196" t="s">
        <v>3048</v>
      </c>
      <c r="C14" s="10" t="s">
        <v>3077</v>
      </c>
      <c r="D14" s="202" t="s">
        <v>3078</v>
      </c>
      <c r="E14" s="61" t="s">
        <v>3079</v>
      </c>
      <c r="F14" s="202" t="s">
        <v>3080</v>
      </c>
      <c r="G14" s="61" t="s">
        <v>3081</v>
      </c>
      <c r="H14" s="202" t="s">
        <v>3082</v>
      </c>
      <c r="I14" s="61" t="s">
        <v>3083</v>
      </c>
      <c r="J14" s="202" t="s">
        <v>3084</v>
      </c>
      <c r="K14" s="5"/>
      <c r="L14" s="5"/>
      <c r="M14" s="5"/>
      <c r="N14" s="5"/>
      <c r="O14" s="5"/>
      <c r="P14" s="5"/>
      <c r="Q14" s="5"/>
      <c r="R14" s="5"/>
    </row>
    <row r="15">
      <c r="A15" s="19"/>
      <c r="B15" s="196" t="s">
        <v>3057</v>
      </c>
      <c r="C15" s="10" t="s">
        <v>3085</v>
      </c>
      <c r="D15" s="202" t="s">
        <v>831</v>
      </c>
      <c r="E15" s="61" t="s">
        <v>733</v>
      </c>
      <c r="F15" s="202" t="s">
        <v>860</v>
      </c>
      <c r="G15" s="61" t="s">
        <v>767</v>
      </c>
      <c r="H15" s="202" t="s">
        <v>899</v>
      </c>
      <c r="I15" s="61" t="s">
        <v>806</v>
      </c>
      <c r="J15" s="202" t="s">
        <v>932</v>
      </c>
      <c r="K15" s="5"/>
      <c r="L15" s="5"/>
      <c r="M15" s="5"/>
      <c r="N15" s="5"/>
      <c r="O15" s="5"/>
      <c r="P15" s="5"/>
      <c r="Q15" s="5"/>
      <c r="R15" s="5"/>
    </row>
    <row r="16">
      <c r="A16" s="19"/>
      <c r="B16" s="196" t="s">
        <v>3059</v>
      </c>
      <c r="C16" s="10" t="s">
        <v>698</v>
      </c>
      <c r="D16" s="202" t="s">
        <v>833</v>
      </c>
      <c r="E16" s="61" t="s">
        <v>736</v>
      </c>
      <c r="F16" s="202" t="s">
        <v>862</v>
      </c>
      <c r="G16" s="61" t="s">
        <v>769</v>
      </c>
      <c r="H16" s="202" t="s">
        <v>3086</v>
      </c>
      <c r="I16" s="61" t="s">
        <v>808</v>
      </c>
      <c r="J16" s="202" t="s">
        <v>934</v>
      </c>
      <c r="K16" s="5"/>
      <c r="L16" s="5"/>
      <c r="M16" s="5"/>
      <c r="N16" s="5"/>
      <c r="O16" s="5"/>
      <c r="P16" s="5"/>
      <c r="Q16" s="5"/>
      <c r="R16" s="5"/>
    </row>
    <row r="17">
      <c r="A17" s="19"/>
      <c r="B17" s="196" t="s">
        <v>3060</v>
      </c>
      <c r="C17" s="10" t="s">
        <v>696</v>
      </c>
      <c r="D17" s="202" t="s">
        <v>832</v>
      </c>
      <c r="E17" s="61" t="s">
        <v>734</v>
      </c>
      <c r="F17" s="202" t="s">
        <v>861</v>
      </c>
      <c r="G17" s="61" t="s">
        <v>768</v>
      </c>
      <c r="H17" s="202" t="s">
        <v>900</v>
      </c>
      <c r="I17" s="61" t="s">
        <v>807</v>
      </c>
      <c r="J17" s="202" t="s">
        <v>933</v>
      </c>
      <c r="K17" s="5"/>
      <c r="L17" s="5"/>
      <c r="M17" s="5"/>
      <c r="N17" s="5"/>
      <c r="O17" s="5"/>
      <c r="P17" s="5"/>
      <c r="Q17" s="5"/>
      <c r="R17" s="5"/>
    </row>
    <row r="18">
      <c r="A18" s="19"/>
      <c r="B18" s="196" t="s">
        <v>3061</v>
      </c>
      <c r="C18" s="10" t="s">
        <v>697</v>
      </c>
      <c r="D18" s="202" t="s">
        <v>784</v>
      </c>
      <c r="E18" s="61" t="s">
        <v>735</v>
      </c>
      <c r="F18" s="202" t="s">
        <v>704</v>
      </c>
      <c r="G18" s="61" t="s">
        <v>735</v>
      </c>
      <c r="H18" s="202" t="s">
        <v>711</v>
      </c>
      <c r="I18" s="61" t="s">
        <v>697</v>
      </c>
      <c r="J18" s="202" t="s">
        <v>824</v>
      </c>
      <c r="K18" s="5"/>
      <c r="L18" s="5"/>
      <c r="M18" s="5"/>
      <c r="N18" s="5"/>
      <c r="O18" s="5"/>
      <c r="P18" s="5"/>
      <c r="Q18" s="5"/>
      <c r="R18" s="5"/>
    </row>
    <row r="19">
      <c r="A19" s="19"/>
      <c r="B19" s="196" t="s">
        <v>3062</v>
      </c>
      <c r="C19" s="10" t="s">
        <v>3087</v>
      </c>
      <c r="D19" s="202" t="s">
        <v>3088</v>
      </c>
      <c r="E19" s="61" t="s">
        <v>3088</v>
      </c>
      <c r="F19" s="202" t="s">
        <v>3089</v>
      </c>
      <c r="G19" s="61" t="s">
        <v>3088</v>
      </c>
      <c r="H19" s="202" t="s">
        <v>3090</v>
      </c>
      <c r="I19" s="61" t="s">
        <v>3088</v>
      </c>
      <c r="J19" s="202" t="s">
        <v>3091</v>
      </c>
      <c r="K19" s="5"/>
      <c r="L19" s="5"/>
      <c r="M19" s="5"/>
      <c r="N19" s="5"/>
      <c r="O19" s="5"/>
      <c r="P19" s="5"/>
      <c r="Q19" s="5"/>
      <c r="R19" s="5"/>
    </row>
    <row r="20">
      <c r="A20" s="19"/>
      <c r="B20" s="196" t="s">
        <v>3067</v>
      </c>
      <c r="C20" s="10" t="s">
        <v>3092</v>
      </c>
      <c r="D20" s="202" t="s">
        <v>3093</v>
      </c>
      <c r="E20" s="61" t="s">
        <v>3094</v>
      </c>
      <c r="F20" s="202"/>
      <c r="G20" s="61"/>
      <c r="H20" s="202"/>
      <c r="I20" s="61"/>
      <c r="J20" s="202"/>
      <c r="K20" s="5"/>
      <c r="L20" s="5"/>
      <c r="M20" s="5"/>
      <c r="N20" s="5"/>
      <c r="O20" s="5"/>
      <c r="P20" s="5"/>
      <c r="Q20" s="5"/>
      <c r="R20" s="5"/>
    </row>
    <row r="21">
      <c r="A21" s="20"/>
      <c r="B21" s="196" t="s">
        <v>3068</v>
      </c>
      <c r="C21" s="203" t="s">
        <v>3095</v>
      </c>
      <c r="D21" s="204" t="s">
        <v>3096</v>
      </c>
      <c r="E21" s="205" t="s">
        <v>3097</v>
      </c>
      <c r="F21" s="204" t="s">
        <v>3098</v>
      </c>
      <c r="G21" s="205" t="s">
        <v>3099</v>
      </c>
      <c r="H21" s="204" t="s">
        <v>3100</v>
      </c>
      <c r="I21" s="205" t="s">
        <v>3101</v>
      </c>
      <c r="J21" s="204" t="s">
        <v>3102</v>
      </c>
      <c r="K21" s="5"/>
      <c r="L21" s="5"/>
      <c r="M21" s="5"/>
      <c r="N21" s="5"/>
      <c r="O21" s="5"/>
      <c r="P21" s="5"/>
      <c r="Q21" s="5"/>
      <c r="R21" s="5"/>
    </row>
    <row r="22">
      <c r="A22" s="210" t="s">
        <v>699</v>
      </c>
      <c r="B22" s="196" t="s">
        <v>3047</v>
      </c>
      <c r="C22" s="207" t="s">
        <v>700</v>
      </c>
      <c r="D22" s="208"/>
      <c r="E22" s="209" t="s">
        <v>738</v>
      </c>
      <c r="F22" s="208"/>
      <c r="G22" s="209" t="s">
        <v>770</v>
      </c>
      <c r="H22" s="208"/>
      <c r="I22" s="209" t="s">
        <v>809</v>
      </c>
      <c r="J22" s="208"/>
      <c r="K22" s="5"/>
      <c r="L22" s="5"/>
      <c r="M22" s="5"/>
      <c r="N22" s="5"/>
      <c r="O22" s="5"/>
      <c r="P22" s="5"/>
      <c r="Q22" s="5"/>
      <c r="R22" s="5"/>
    </row>
    <row r="23">
      <c r="A23" s="19"/>
      <c r="B23" s="196" t="s">
        <v>1137</v>
      </c>
      <c r="C23" s="10" t="s">
        <v>22</v>
      </c>
      <c r="D23" s="202" t="s">
        <v>153</v>
      </c>
      <c r="E23" s="61" t="s">
        <v>22</v>
      </c>
      <c r="F23" s="202" t="s">
        <v>153</v>
      </c>
      <c r="G23" s="61" t="s">
        <v>22</v>
      </c>
      <c r="H23" s="202" t="s">
        <v>153</v>
      </c>
      <c r="I23" s="61" t="s">
        <v>22</v>
      </c>
      <c r="J23" s="202" t="s">
        <v>153</v>
      </c>
      <c r="K23" s="5"/>
      <c r="L23" s="5"/>
      <c r="M23" s="5"/>
      <c r="N23" s="5"/>
      <c r="O23" s="5"/>
      <c r="P23" s="5"/>
      <c r="Q23" s="5"/>
      <c r="R23" s="5"/>
    </row>
    <row r="24">
      <c r="A24" s="19"/>
      <c r="B24" s="196" t="s">
        <v>3048</v>
      </c>
      <c r="C24" s="10" t="s">
        <v>3103</v>
      </c>
      <c r="D24" s="202" t="s">
        <v>3104</v>
      </c>
      <c r="E24" s="61" t="s">
        <v>3105</v>
      </c>
      <c r="F24" s="202" t="s">
        <v>3106</v>
      </c>
      <c r="G24" s="61" t="s">
        <v>3107</v>
      </c>
      <c r="H24" s="202" t="s">
        <v>3108</v>
      </c>
      <c r="I24" s="61" t="s">
        <v>3109</v>
      </c>
      <c r="J24" s="202" t="s">
        <v>3110</v>
      </c>
      <c r="K24" s="5"/>
      <c r="L24" s="5"/>
      <c r="M24" s="5"/>
      <c r="N24" s="5"/>
      <c r="O24" s="5"/>
      <c r="P24" s="5"/>
      <c r="Q24" s="5"/>
      <c r="R24" s="5"/>
    </row>
    <row r="25">
      <c r="A25" s="19"/>
      <c r="B25" s="196" t="s">
        <v>3057</v>
      </c>
      <c r="C25" s="10" t="s">
        <v>3111</v>
      </c>
      <c r="D25" s="202" t="s">
        <v>839</v>
      </c>
      <c r="E25" s="61" t="s">
        <v>740</v>
      </c>
      <c r="F25" s="202" t="s">
        <v>864</v>
      </c>
      <c r="G25" s="61" t="s">
        <v>772</v>
      </c>
      <c r="H25" s="202" t="s">
        <v>905</v>
      </c>
      <c r="I25" s="61" t="s">
        <v>811</v>
      </c>
      <c r="J25" s="202" t="s">
        <v>936</v>
      </c>
      <c r="K25" s="5"/>
      <c r="L25" s="5"/>
      <c r="M25" s="5"/>
      <c r="N25" s="5"/>
      <c r="O25" s="5"/>
      <c r="P25" s="5"/>
      <c r="Q25" s="5"/>
      <c r="R25" s="5"/>
    </row>
    <row r="26">
      <c r="A26" s="19"/>
      <c r="B26" s="196" t="s">
        <v>3059</v>
      </c>
      <c r="C26" s="10" t="s">
        <v>705</v>
      </c>
      <c r="D26" s="202" t="s">
        <v>841</v>
      </c>
      <c r="E26" s="61" t="s">
        <v>742</v>
      </c>
      <c r="F26" s="202" t="s">
        <v>866</v>
      </c>
      <c r="G26" s="61" t="s">
        <v>774</v>
      </c>
      <c r="H26" s="202" t="s">
        <v>3112</v>
      </c>
      <c r="I26" s="61" t="s">
        <v>813</v>
      </c>
      <c r="J26" s="202" t="s">
        <v>938</v>
      </c>
      <c r="K26" s="5"/>
      <c r="L26" s="5"/>
      <c r="M26" s="5"/>
      <c r="N26" s="5"/>
      <c r="O26" s="5"/>
      <c r="P26" s="5"/>
      <c r="Q26" s="5"/>
      <c r="R26" s="5"/>
    </row>
    <row r="27">
      <c r="A27" s="19"/>
      <c r="B27" s="196" t="s">
        <v>3060</v>
      </c>
      <c r="C27" s="10" t="s">
        <v>703</v>
      </c>
      <c r="D27" s="202" t="s">
        <v>840</v>
      </c>
      <c r="E27" s="61" t="s">
        <v>741</v>
      </c>
      <c r="F27" s="202" t="s">
        <v>865</v>
      </c>
      <c r="G27" s="61" t="s">
        <v>773</v>
      </c>
      <c r="H27" s="202" t="s">
        <v>906</v>
      </c>
      <c r="I27" s="61" t="s">
        <v>812</v>
      </c>
      <c r="J27" s="202" t="s">
        <v>937</v>
      </c>
      <c r="K27" s="5"/>
      <c r="L27" s="5"/>
      <c r="M27" s="5"/>
      <c r="N27" s="5"/>
      <c r="O27" s="5"/>
      <c r="P27" s="5"/>
      <c r="Q27" s="5"/>
      <c r="R27" s="5"/>
    </row>
    <row r="28">
      <c r="A28" s="19"/>
      <c r="B28" s="196" t="s">
        <v>3061</v>
      </c>
      <c r="C28" s="10" t="s">
        <v>704</v>
      </c>
      <c r="D28" s="202" t="s">
        <v>711</v>
      </c>
      <c r="E28" s="61" t="s">
        <v>711</v>
      </c>
      <c r="F28" s="202" t="s">
        <v>704</v>
      </c>
      <c r="G28" s="61" t="s">
        <v>704</v>
      </c>
      <c r="H28" s="202" t="s">
        <v>685</v>
      </c>
      <c r="I28" s="61" t="s">
        <v>735</v>
      </c>
      <c r="J28" s="202" t="s">
        <v>735</v>
      </c>
      <c r="K28" s="5"/>
      <c r="L28" s="5"/>
      <c r="M28" s="5"/>
      <c r="N28" s="5"/>
      <c r="O28" s="5"/>
      <c r="P28" s="5"/>
      <c r="Q28" s="5"/>
      <c r="R28" s="5"/>
    </row>
    <row r="29">
      <c r="A29" s="19"/>
      <c r="B29" s="196" t="s">
        <v>3062</v>
      </c>
      <c r="C29" s="10" t="s">
        <v>3063</v>
      </c>
      <c r="D29" s="202" t="s">
        <v>3065</v>
      </c>
      <c r="E29" s="61" t="s">
        <v>3065</v>
      </c>
      <c r="F29" s="202" t="s">
        <v>3065</v>
      </c>
      <c r="G29" s="61" t="s">
        <v>3113</v>
      </c>
      <c r="H29" s="202" t="s">
        <v>3065</v>
      </c>
      <c r="I29" s="61" t="s">
        <v>3114</v>
      </c>
      <c r="J29" s="202" t="s">
        <v>3088</v>
      </c>
      <c r="K29" s="5"/>
      <c r="L29" s="5"/>
      <c r="M29" s="5"/>
      <c r="N29" s="5"/>
      <c r="O29" s="5"/>
      <c r="P29" s="5"/>
      <c r="Q29" s="5"/>
      <c r="R29" s="5"/>
    </row>
    <row r="30">
      <c r="A30" s="19"/>
      <c r="B30" s="196" t="s">
        <v>3067</v>
      </c>
      <c r="C30" s="10"/>
      <c r="D30" s="202"/>
      <c r="E30" s="61"/>
      <c r="F30" s="202"/>
      <c r="G30" s="61"/>
      <c r="H30" s="202"/>
      <c r="I30" s="61"/>
      <c r="J30" s="202"/>
      <c r="K30" s="5"/>
      <c r="L30" s="5"/>
      <c r="M30" s="5"/>
      <c r="N30" s="5"/>
      <c r="O30" s="5"/>
      <c r="P30" s="5"/>
      <c r="Q30" s="5"/>
      <c r="R30" s="5"/>
    </row>
    <row r="31">
      <c r="A31" s="20"/>
      <c r="B31" s="196" t="s">
        <v>3068</v>
      </c>
      <c r="C31" s="203" t="s">
        <v>3115</v>
      </c>
      <c r="D31" s="204" t="s">
        <v>3116</v>
      </c>
      <c r="E31" s="205" t="s">
        <v>3117</v>
      </c>
      <c r="F31" s="204" t="s">
        <v>3118</v>
      </c>
      <c r="G31" s="205" t="s">
        <v>3119</v>
      </c>
      <c r="H31" s="204" t="s">
        <v>3120</v>
      </c>
      <c r="I31" s="205" t="s">
        <v>3121</v>
      </c>
      <c r="J31" s="204" t="s">
        <v>3122</v>
      </c>
      <c r="K31" s="5"/>
      <c r="L31" s="5"/>
      <c r="M31" s="5"/>
      <c r="N31" s="5"/>
      <c r="O31" s="5"/>
      <c r="P31" s="5"/>
      <c r="Q31" s="5"/>
      <c r="R31" s="5"/>
    </row>
    <row r="32">
      <c r="A32" s="211" t="s">
        <v>706</v>
      </c>
      <c r="B32" s="196" t="s">
        <v>3047</v>
      </c>
      <c r="C32" s="207" t="s">
        <v>707</v>
      </c>
      <c r="D32" s="208"/>
      <c r="E32" s="209" t="s">
        <v>867</v>
      </c>
      <c r="F32" s="208"/>
      <c r="G32" s="209" t="s">
        <v>775</v>
      </c>
      <c r="H32" s="208"/>
      <c r="I32" s="209" t="s">
        <v>814</v>
      </c>
      <c r="J32" s="208"/>
      <c r="K32" s="5"/>
      <c r="L32" s="5"/>
      <c r="M32" s="5"/>
      <c r="N32" s="5"/>
      <c r="O32" s="5"/>
      <c r="P32" s="5"/>
      <c r="Q32" s="5"/>
      <c r="R32" s="5"/>
    </row>
    <row r="33">
      <c r="A33" s="19"/>
      <c r="B33" s="196" t="s">
        <v>1137</v>
      </c>
      <c r="C33" s="10" t="s">
        <v>22</v>
      </c>
      <c r="D33" s="202" t="s">
        <v>153</v>
      </c>
      <c r="E33" s="61" t="s">
        <v>22</v>
      </c>
      <c r="F33" s="202" t="s">
        <v>153</v>
      </c>
      <c r="G33" s="61" t="s">
        <v>22</v>
      </c>
      <c r="H33" s="202" t="s">
        <v>153</v>
      </c>
      <c r="I33" s="61" t="s">
        <v>22</v>
      </c>
      <c r="J33" s="202" t="s">
        <v>153</v>
      </c>
      <c r="K33" s="5"/>
      <c r="L33" s="5"/>
      <c r="M33" s="5"/>
      <c r="N33" s="5"/>
      <c r="O33" s="5"/>
      <c r="P33" s="5"/>
      <c r="Q33" s="5"/>
      <c r="R33" s="5"/>
    </row>
    <row r="34">
      <c r="A34" s="19"/>
      <c r="B34" s="196" t="s">
        <v>3048</v>
      </c>
      <c r="C34" s="10" t="s">
        <v>3123</v>
      </c>
      <c r="D34" s="202" t="s">
        <v>3124</v>
      </c>
      <c r="E34" s="61" t="s">
        <v>3125</v>
      </c>
      <c r="F34" s="202" t="s">
        <v>3126</v>
      </c>
      <c r="G34" s="61" t="s">
        <v>3127</v>
      </c>
      <c r="H34" s="202" t="s">
        <v>3128</v>
      </c>
      <c r="I34" s="61" t="s">
        <v>3129</v>
      </c>
      <c r="J34" s="202" t="s">
        <v>3130</v>
      </c>
      <c r="K34" s="5"/>
      <c r="L34" s="5"/>
      <c r="M34" s="5"/>
      <c r="N34" s="5"/>
      <c r="O34" s="5"/>
      <c r="P34" s="5"/>
      <c r="Q34" s="5"/>
      <c r="R34" s="5"/>
    </row>
    <row r="35">
      <c r="A35" s="19"/>
      <c r="B35" s="196" t="s">
        <v>3057</v>
      </c>
      <c r="C35" s="10" t="s">
        <v>3131</v>
      </c>
      <c r="D35" s="202" t="s">
        <v>844</v>
      </c>
      <c r="E35" s="61" t="s">
        <v>745</v>
      </c>
      <c r="F35" s="202" t="s">
        <v>869</v>
      </c>
      <c r="G35" s="61" t="s">
        <v>777</v>
      </c>
      <c r="H35" s="202" t="s">
        <v>3132</v>
      </c>
      <c r="I35" s="61" t="s">
        <v>3133</v>
      </c>
      <c r="J35" s="202" t="s">
        <v>940</v>
      </c>
      <c r="K35" s="5"/>
      <c r="L35" s="5"/>
      <c r="M35" s="5"/>
      <c r="N35" s="5"/>
      <c r="O35" s="5"/>
      <c r="P35" s="5"/>
      <c r="Q35" s="5"/>
      <c r="R35" s="5"/>
    </row>
    <row r="36">
      <c r="A36" s="19"/>
      <c r="B36" s="196" t="s">
        <v>3059</v>
      </c>
      <c r="C36" s="10" t="s">
        <v>712</v>
      </c>
      <c r="D36" s="202" t="s">
        <v>847</v>
      </c>
      <c r="E36" s="61" t="s">
        <v>748</v>
      </c>
      <c r="F36" s="202" t="s">
        <v>871</v>
      </c>
      <c r="G36" s="61" t="s">
        <v>779</v>
      </c>
      <c r="H36" s="202" t="s">
        <v>913</v>
      </c>
      <c r="I36" s="61" t="s">
        <v>818</v>
      </c>
      <c r="J36" s="202" t="s">
        <v>942</v>
      </c>
      <c r="K36" s="5"/>
      <c r="L36" s="5"/>
      <c r="M36" s="5"/>
      <c r="N36" s="5"/>
      <c r="O36" s="5"/>
      <c r="P36" s="5"/>
      <c r="Q36" s="5"/>
      <c r="R36" s="5"/>
    </row>
    <row r="37">
      <c r="A37" s="19"/>
      <c r="B37" s="196" t="s">
        <v>3060</v>
      </c>
      <c r="C37" s="10" t="s">
        <v>710</v>
      </c>
      <c r="D37" s="202" t="s">
        <v>845</v>
      </c>
      <c r="E37" s="61" t="s">
        <v>746</v>
      </c>
      <c r="F37" s="202" t="s">
        <v>870</v>
      </c>
      <c r="G37" s="61" t="s">
        <v>778</v>
      </c>
      <c r="H37" s="202" t="s">
        <v>912</v>
      </c>
      <c r="I37" s="61" t="s">
        <v>817</v>
      </c>
      <c r="J37" s="202" t="s">
        <v>941</v>
      </c>
      <c r="K37" s="5"/>
      <c r="L37" s="5"/>
      <c r="M37" s="5"/>
      <c r="N37" s="5"/>
      <c r="O37" s="5"/>
      <c r="P37" s="5"/>
      <c r="Q37" s="5"/>
      <c r="R37" s="5"/>
    </row>
    <row r="38">
      <c r="A38" s="19"/>
      <c r="B38" s="196" t="s">
        <v>3061</v>
      </c>
      <c r="C38" s="10" t="s">
        <v>711</v>
      </c>
      <c r="D38" s="202" t="s">
        <v>846</v>
      </c>
      <c r="E38" s="61" t="s">
        <v>747</v>
      </c>
      <c r="F38" s="202" t="s">
        <v>824</v>
      </c>
      <c r="G38" s="61" t="s">
        <v>685</v>
      </c>
      <c r="H38" s="202" t="s">
        <v>735</v>
      </c>
      <c r="I38" s="61" t="s">
        <v>801</v>
      </c>
      <c r="J38" s="202" t="s">
        <v>697</v>
      </c>
      <c r="K38" s="5"/>
      <c r="L38" s="5"/>
      <c r="M38" s="5"/>
      <c r="N38" s="5"/>
      <c r="O38" s="5"/>
      <c r="P38" s="5"/>
      <c r="Q38" s="5"/>
      <c r="R38" s="5"/>
    </row>
    <row r="39">
      <c r="A39" s="19"/>
      <c r="B39" s="196" t="s">
        <v>3062</v>
      </c>
      <c r="C39" s="10" t="s">
        <v>3065</v>
      </c>
      <c r="D39" s="202" t="s">
        <v>3065</v>
      </c>
      <c r="E39" s="61" t="s">
        <v>3065</v>
      </c>
      <c r="F39" s="202" t="s">
        <v>3065</v>
      </c>
      <c r="G39" s="61" t="s">
        <v>3063</v>
      </c>
      <c r="H39" s="202" t="s">
        <v>3066</v>
      </c>
      <c r="I39" s="61" t="s">
        <v>3064</v>
      </c>
      <c r="J39" s="202" t="s">
        <v>3088</v>
      </c>
      <c r="K39" s="5"/>
      <c r="L39" s="5"/>
      <c r="M39" s="5"/>
      <c r="N39" s="5"/>
      <c r="O39" s="5"/>
      <c r="P39" s="5"/>
      <c r="Q39" s="5"/>
      <c r="R39" s="5"/>
    </row>
    <row r="40">
      <c r="A40" s="19"/>
      <c r="B40" s="196" t="s">
        <v>3067</v>
      </c>
      <c r="C40" s="10"/>
      <c r="D40" s="202"/>
      <c r="E40" s="61"/>
      <c r="F40" s="202"/>
      <c r="G40" s="61"/>
      <c r="H40" s="202"/>
      <c r="I40" s="61"/>
      <c r="J40" s="202"/>
      <c r="K40" s="5"/>
      <c r="L40" s="5"/>
      <c r="M40" s="5"/>
      <c r="N40" s="5"/>
      <c r="O40" s="5"/>
      <c r="P40" s="5"/>
      <c r="Q40" s="5"/>
      <c r="R40" s="5"/>
    </row>
    <row r="41">
      <c r="A41" s="20"/>
      <c r="B41" s="196" t="s">
        <v>3068</v>
      </c>
      <c r="C41" s="203" t="s">
        <v>3134</v>
      </c>
      <c r="D41" s="204" t="s">
        <v>3135</v>
      </c>
      <c r="E41" s="205" t="s">
        <v>3136</v>
      </c>
      <c r="F41" s="204" t="s">
        <v>3137</v>
      </c>
      <c r="G41" s="205" t="s">
        <v>3138</v>
      </c>
      <c r="H41" s="204" t="s">
        <v>3139</v>
      </c>
      <c r="I41" s="205" t="s">
        <v>3140</v>
      </c>
      <c r="J41" s="204" t="s">
        <v>3141</v>
      </c>
      <c r="K41" s="5"/>
      <c r="L41" s="5"/>
      <c r="M41" s="5"/>
      <c r="N41" s="5"/>
      <c r="O41" s="5"/>
      <c r="P41" s="5"/>
      <c r="Q41" s="5"/>
      <c r="R41" s="5"/>
    </row>
    <row r="42">
      <c r="A42" s="212" t="s">
        <v>713</v>
      </c>
      <c r="B42" s="196" t="s">
        <v>3047</v>
      </c>
      <c r="C42" s="207" t="s">
        <v>714</v>
      </c>
      <c r="D42" s="208"/>
      <c r="E42" s="209" t="s">
        <v>873</v>
      </c>
      <c r="F42" s="208"/>
      <c r="G42" s="209" t="s">
        <v>780</v>
      </c>
      <c r="H42" s="208"/>
      <c r="I42" s="209" t="s">
        <v>820</v>
      </c>
      <c r="J42" s="208"/>
      <c r="K42" s="5"/>
      <c r="L42" s="5"/>
      <c r="M42" s="5"/>
      <c r="N42" s="5"/>
      <c r="O42" s="5"/>
      <c r="P42" s="5"/>
      <c r="Q42" s="5"/>
      <c r="R42" s="5"/>
    </row>
    <row r="43">
      <c r="A43" s="19"/>
      <c r="B43" s="196" t="s">
        <v>1137</v>
      </c>
      <c r="C43" s="10" t="s">
        <v>22</v>
      </c>
      <c r="D43" s="202" t="s">
        <v>153</v>
      </c>
      <c r="E43" s="61" t="s">
        <v>22</v>
      </c>
      <c r="F43" s="202" t="s">
        <v>153</v>
      </c>
      <c r="G43" s="61" t="s">
        <v>22</v>
      </c>
      <c r="H43" s="202" t="s">
        <v>153</v>
      </c>
      <c r="I43" s="61" t="s">
        <v>22</v>
      </c>
      <c r="J43" s="202" t="s">
        <v>153</v>
      </c>
      <c r="K43" s="5"/>
      <c r="L43" s="5"/>
      <c r="M43" s="5"/>
      <c r="N43" s="5"/>
      <c r="O43" s="5"/>
      <c r="P43" s="5"/>
      <c r="Q43" s="5"/>
      <c r="R43" s="5"/>
    </row>
    <row r="44">
      <c r="A44" s="19"/>
      <c r="B44" s="196" t="s">
        <v>3048</v>
      </c>
      <c r="C44" s="10" t="s">
        <v>3142</v>
      </c>
      <c r="D44" s="202" t="s">
        <v>3143</v>
      </c>
      <c r="E44" s="61" t="s">
        <v>3144</v>
      </c>
      <c r="F44" s="202" t="s">
        <v>3145</v>
      </c>
      <c r="G44" s="61" t="s">
        <v>3146</v>
      </c>
      <c r="H44" s="202" t="s">
        <v>3147</v>
      </c>
      <c r="I44" s="61" t="s">
        <v>3148</v>
      </c>
      <c r="J44" s="202" t="s">
        <v>3149</v>
      </c>
      <c r="K44" s="5"/>
      <c r="L44" s="5"/>
      <c r="M44" s="5"/>
      <c r="N44" s="5"/>
      <c r="O44" s="5"/>
      <c r="P44" s="5"/>
      <c r="Q44" s="5"/>
      <c r="R44" s="5"/>
    </row>
    <row r="45">
      <c r="A45" s="19"/>
      <c r="B45" s="196" t="s">
        <v>3057</v>
      </c>
      <c r="C45" s="10" t="s">
        <v>3150</v>
      </c>
      <c r="D45" s="202" t="s">
        <v>849</v>
      </c>
      <c r="E45" s="61" t="s">
        <v>751</v>
      </c>
      <c r="F45" s="202" t="s">
        <v>875</v>
      </c>
      <c r="G45" s="61" t="s">
        <v>782</v>
      </c>
      <c r="H45" s="202" t="s">
        <v>915</v>
      </c>
      <c r="I45" s="61" t="s">
        <v>822</v>
      </c>
      <c r="J45" s="202" t="s">
        <v>3151</v>
      </c>
      <c r="K45" s="5"/>
      <c r="L45" s="5"/>
      <c r="M45" s="5"/>
      <c r="N45" s="5"/>
      <c r="O45" s="5"/>
      <c r="P45" s="5"/>
      <c r="Q45" s="5"/>
      <c r="R45" s="5"/>
    </row>
    <row r="46">
      <c r="A46" s="19"/>
      <c r="B46" s="196" t="s">
        <v>3059</v>
      </c>
      <c r="C46" s="10" t="s">
        <v>718</v>
      </c>
      <c r="D46" s="202" t="s">
        <v>851</v>
      </c>
      <c r="E46" s="61" t="s">
        <v>753</v>
      </c>
      <c r="F46" s="202" t="s">
        <v>878</v>
      </c>
      <c r="G46" s="61" t="s">
        <v>785</v>
      </c>
      <c r="H46" s="202" t="s">
        <v>917</v>
      </c>
      <c r="I46" s="61" t="s">
        <v>825</v>
      </c>
      <c r="J46" s="202" t="s">
        <v>955</v>
      </c>
      <c r="K46" s="5"/>
      <c r="L46" s="5"/>
      <c r="M46" s="5"/>
      <c r="N46" s="5"/>
      <c r="O46" s="5"/>
      <c r="P46" s="5"/>
      <c r="Q46" s="5"/>
      <c r="R46" s="5"/>
    </row>
    <row r="47">
      <c r="A47" s="19"/>
      <c r="B47" s="196" t="s">
        <v>3060</v>
      </c>
      <c r="C47" s="10" t="s">
        <v>717</v>
      </c>
      <c r="D47" s="202" t="s">
        <v>850</v>
      </c>
      <c r="E47" s="61" t="s">
        <v>752</v>
      </c>
      <c r="F47" s="202" t="s">
        <v>876</v>
      </c>
      <c r="G47" s="61" t="s">
        <v>783</v>
      </c>
      <c r="H47" s="202" t="s">
        <v>916</v>
      </c>
      <c r="I47" s="61" t="s">
        <v>823</v>
      </c>
      <c r="J47" s="202" t="s">
        <v>3152</v>
      </c>
      <c r="K47" s="5"/>
      <c r="L47" s="5"/>
      <c r="M47" s="5"/>
      <c r="N47" s="5"/>
      <c r="O47" s="5"/>
      <c r="P47" s="5"/>
      <c r="Q47" s="5"/>
      <c r="R47" s="5"/>
    </row>
    <row r="48">
      <c r="A48" s="19"/>
      <c r="B48" s="196" t="s">
        <v>3061</v>
      </c>
      <c r="C48" s="10" t="s">
        <v>711</v>
      </c>
      <c r="D48" s="202" t="s">
        <v>704</v>
      </c>
      <c r="E48" s="61" t="s">
        <v>735</v>
      </c>
      <c r="F48" s="202" t="s">
        <v>877</v>
      </c>
      <c r="G48" s="61" t="s">
        <v>784</v>
      </c>
      <c r="H48" s="202" t="s">
        <v>704</v>
      </c>
      <c r="I48" s="61" t="s">
        <v>824</v>
      </c>
      <c r="J48" s="202" t="s">
        <v>877</v>
      </c>
      <c r="K48" s="5"/>
      <c r="L48" s="5"/>
      <c r="M48" s="5"/>
      <c r="N48" s="5"/>
      <c r="O48" s="5"/>
      <c r="P48" s="5"/>
      <c r="Q48" s="5"/>
      <c r="R48" s="5"/>
    </row>
    <row r="49">
      <c r="A49" s="19"/>
      <c r="B49" s="196" t="s">
        <v>3062</v>
      </c>
      <c r="C49" s="10" t="s">
        <v>3063</v>
      </c>
      <c r="D49" s="202" t="s">
        <v>3063</v>
      </c>
      <c r="E49" s="61" t="s">
        <v>3088</v>
      </c>
      <c r="F49" s="202" t="s">
        <v>3088</v>
      </c>
      <c r="G49" s="61" t="s">
        <v>3064</v>
      </c>
      <c r="H49" s="202" t="s">
        <v>3153</v>
      </c>
      <c r="I49" s="61" t="s">
        <v>3065</v>
      </c>
      <c r="J49" s="202" t="s">
        <v>3088</v>
      </c>
      <c r="K49" s="5"/>
      <c r="L49" s="5"/>
      <c r="M49" s="5"/>
      <c r="N49" s="5"/>
      <c r="O49" s="5"/>
      <c r="P49" s="5"/>
      <c r="Q49" s="5"/>
      <c r="R49" s="5"/>
    </row>
    <row r="50">
      <c r="A50" s="19"/>
      <c r="B50" s="196" t="s">
        <v>3067</v>
      </c>
      <c r="C50" s="10"/>
      <c r="D50" s="202"/>
      <c r="E50" s="61"/>
      <c r="F50" s="202"/>
      <c r="G50" s="61"/>
      <c r="H50" s="202"/>
      <c r="I50" s="61"/>
      <c r="J50" s="202"/>
      <c r="K50" s="5"/>
      <c r="L50" s="5"/>
      <c r="M50" s="5"/>
      <c r="N50" s="5"/>
      <c r="O50" s="5"/>
      <c r="P50" s="5"/>
      <c r="Q50" s="5"/>
      <c r="R50" s="5"/>
    </row>
    <row r="51">
      <c r="A51" s="20"/>
      <c r="B51" s="196" t="s">
        <v>3068</v>
      </c>
      <c r="C51" s="203" t="s">
        <v>3154</v>
      </c>
      <c r="D51" s="204" t="s">
        <v>3155</v>
      </c>
      <c r="E51" s="205" t="s">
        <v>3156</v>
      </c>
      <c r="F51" s="204" t="s">
        <v>3157</v>
      </c>
      <c r="G51" s="205" t="s">
        <v>3158</v>
      </c>
      <c r="H51" s="204" t="s">
        <v>3159</v>
      </c>
      <c r="I51" s="205" t="s">
        <v>3160</v>
      </c>
      <c r="J51" s="204" t="s">
        <v>3161</v>
      </c>
      <c r="K51" s="5"/>
      <c r="L51" s="5"/>
      <c r="M51" s="5"/>
      <c r="N51" s="5"/>
      <c r="O51" s="5"/>
      <c r="P51" s="5"/>
      <c r="Q51" s="5"/>
      <c r="R51" s="5"/>
    </row>
    <row r="52" ht="12.75" hidden="1" customHeight="1">
      <c r="A52" s="213"/>
      <c r="B52" s="214"/>
      <c r="C52" s="215"/>
      <c r="D52" s="215"/>
      <c r="E52" s="215"/>
      <c r="F52" s="215"/>
      <c r="G52" s="215"/>
      <c r="H52" s="215"/>
      <c r="I52" s="215"/>
      <c r="J52" s="215"/>
      <c r="K52" s="5"/>
      <c r="L52" s="5"/>
      <c r="M52" s="5"/>
      <c r="N52" s="5"/>
      <c r="O52" s="5"/>
      <c r="P52" s="5"/>
      <c r="Q52" s="5"/>
      <c r="R52" s="5"/>
    </row>
    <row r="53" ht="12.75" hidden="1" customHeight="1">
      <c r="A53" s="213"/>
      <c r="B53" s="214"/>
      <c r="C53" s="216"/>
      <c r="D53" s="216"/>
      <c r="E53" s="216"/>
      <c r="F53" s="216"/>
      <c r="G53" s="216"/>
      <c r="H53" s="216"/>
      <c r="I53" s="216"/>
      <c r="J53" s="216"/>
      <c r="K53" s="5"/>
      <c r="L53" s="5"/>
      <c r="M53" s="5"/>
      <c r="N53" s="5"/>
      <c r="O53" s="5"/>
      <c r="P53" s="5"/>
      <c r="Q53" s="5"/>
      <c r="R53" s="5"/>
    </row>
    <row r="54" ht="12.75" hidden="1" customHeight="1">
      <c r="A54" s="213"/>
      <c r="B54" s="214"/>
      <c r="C54" s="216"/>
      <c r="D54" s="216"/>
      <c r="E54" s="216"/>
      <c r="F54" s="216"/>
      <c r="G54" s="216"/>
      <c r="H54" s="216"/>
      <c r="I54" s="216"/>
      <c r="J54" s="216"/>
      <c r="K54" s="5"/>
      <c r="L54" s="5"/>
      <c r="M54" s="5"/>
      <c r="N54" s="5"/>
      <c r="O54" s="5"/>
      <c r="P54" s="5"/>
      <c r="Q54" s="5"/>
      <c r="R54" s="5"/>
    </row>
    <row r="55" ht="12.75" hidden="1" customHeight="1">
      <c r="A55" s="213"/>
      <c r="B55" s="214"/>
      <c r="C55" s="216"/>
      <c r="D55" s="216"/>
      <c r="E55" s="216"/>
      <c r="F55" s="216"/>
      <c r="G55" s="216"/>
      <c r="H55" s="216"/>
      <c r="I55" s="216"/>
      <c r="J55" s="216"/>
      <c r="K55" s="5"/>
      <c r="L55" s="5"/>
      <c r="M55" s="5"/>
      <c r="N55" s="5"/>
      <c r="O55" s="5"/>
      <c r="P55" s="5"/>
      <c r="Q55" s="5"/>
      <c r="R55" s="5"/>
    </row>
    <row r="56" ht="12.75" hidden="1" customHeight="1">
      <c r="A56" s="213"/>
      <c r="B56" s="214"/>
      <c r="C56" s="216"/>
      <c r="D56" s="216"/>
      <c r="E56" s="216"/>
      <c r="F56" s="216"/>
      <c r="G56" s="216"/>
      <c r="H56" s="216"/>
      <c r="I56" s="216"/>
      <c r="J56" s="216"/>
      <c r="K56" s="5"/>
      <c r="L56" s="5"/>
      <c r="M56" s="5"/>
      <c r="N56" s="5"/>
      <c r="O56" s="5"/>
      <c r="P56" s="5"/>
      <c r="Q56" s="5"/>
      <c r="R56" s="5"/>
    </row>
    <row r="57" ht="12.75" hidden="1" customHeight="1">
      <c r="A57" s="213"/>
      <c r="B57" s="214"/>
      <c r="C57" s="216"/>
      <c r="D57" s="216"/>
      <c r="E57" s="216"/>
      <c r="F57" s="216"/>
      <c r="G57" s="216"/>
      <c r="H57" s="216"/>
      <c r="I57" s="216"/>
      <c r="J57" s="216"/>
      <c r="K57" s="5"/>
      <c r="L57" s="5"/>
      <c r="M57" s="5"/>
      <c r="N57" s="5"/>
      <c r="O57" s="5"/>
      <c r="P57" s="5"/>
      <c r="Q57" s="5"/>
      <c r="R57" s="5"/>
    </row>
    <row r="58" ht="12.75" hidden="1" customHeight="1">
      <c r="A58" s="213"/>
      <c r="B58" s="214"/>
      <c r="C58" s="216"/>
      <c r="D58" s="216"/>
      <c r="E58" s="216"/>
      <c r="F58" s="216"/>
      <c r="G58" s="216"/>
      <c r="H58" s="216"/>
      <c r="I58" s="216"/>
      <c r="J58" s="216"/>
      <c r="K58" s="5"/>
      <c r="L58" s="5"/>
      <c r="M58" s="5"/>
      <c r="N58" s="5"/>
      <c r="O58" s="5"/>
      <c r="P58" s="5"/>
      <c r="Q58" s="5"/>
      <c r="R58" s="5"/>
    </row>
    <row r="59" ht="12.75" hidden="1" customHeight="1">
      <c r="A59" s="213"/>
      <c r="B59" s="214"/>
      <c r="C59" s="216"/>
      <c r="D59" s="216"/>
      <c r="E59" s="216"/>
      <c r="F59" s="216"/>
      <c r="G59" s="216"/>
      <c r="H59" s="216"/>
      <c r="I59" s="216"/>
      <c r="J59" s="216"/>
      <c r="K59" s="5"/>
      <c r="L59" s="5"/>
      <c r="M59" s="5"/>
      <c r="N59" s="5"/>
      <c r="O59" s="5"/>
      <c r="P59" s="5"/>
      <c r="Q59" s="5"/>
      <c r="R59" s="5"/>
    </row>
    <row r="60" ht="12.75" hidden="1" customHeight="1">
      <c r="A60" s="213"/>
      <c r="B60" s="214"/>
      <c r="C60" s="216"/>
      <c r="D60" s="216"/>
      <c r="E60" s="216"/>
      <c r="F60" s="216"/>
      <c r="G60" s="216"/>
      <c r="H60" s="216"/>
      <c r="I60" s="216"/>
      <c r="J60" s="216"/>
      <c r="K60" s="5"/>
      <c r="L60" s="5"/>
      <c r="M60" s="5"/>
      <c r="N60" s="5"/>
      <c r="O60" s="5"/>
      <c r="P60" s="5"/>
      <c r="Q60" s="5"/>
      <c r="R60" s="5"/>
    </row>
    <row r="61" ht="12.75" hidden="1" customHeight="1">
      <c r="A61" s="213"/>
      <c r="B61" s="214"/>
      <c r="C61" s="216"/>
      <c r="D61" s="216"/>
      <c r="E61" s="216"/>
      <c r="F61" s="216"/>
      <c r="G61" s="216"/>
      <c r="H61" s="216"/>
      <c r="I61" s="216"/>
      <c r="J61" s="216"/>
      <c r="K61" s="5"/>
      <c r="L61" s="5"/>
      <c r="M61" s="5"/>
      <c r="N61" s="5"/>
      <c r="O61" s="5"/>
      <c r="P61" s="5"/>
      <c r="Q61" s="5"/>
      <c r="R61" s="5"/>
    </row>
    <row r="62" ht="12.75" hidden="1" customHeight="1">
      <c r="A62" s="213"/>
      <c r="B62" s="214"/>
      <c r="C62" s="216"/>
      <c r="D62" s="216"/>
      <c r="E62" s="216"/>
      <c r="F62" s="216"/>
      <c r="G62" s="216"/>
      <c r="H62" s="216"/>
      <c r="I62" s="216"/>
      <c r="J62" s="216"/>
      <c r="K62" s="5"/>
      <c r="L62" s="5"/>
      <c r="M62" s="5"/>
      <c r="N62" s="5"/>
      <c r="O62" s="5"/>
      <c r="P62" s="5"/>
      <c r="Q62" s="5"/>
      <c r="R62" s="5"/>
    </row>
    <row r="63" ht="12.75" hidden="1" customHeight="1">
      <c r="A63" s="213"/>
      <c r="B63" s="214"/>
      <c r="C63" s="216"/>
      <c r="D63" s="216"/>
      <c r="E63" s="216"/>
      <c r="F63" s="216"/>
      <c r="G63" s="216"/>
      <c r="H63" s="216"/>
      <c r="I63" s="216"/>
      <c r="J63" s="216"/>
      <c r="K63" s="5"/>
      <c r="L63" s="5"/>
      <c r="M63" s="5"/>
      <c r="N63" s="5"/>
      <c r="O63" s="5"/>
      <c r="P63" s="5"/>
      <c r="Q63" s="5"/>
      <c r="R63" s="5"/>
    </row>
    <row r="64" ht="12.75" hidden="1" customHeight="1">
      <c r="A64" s="213"/>
      <c r="B64" s="214"/>
      <c r="C64" s="216"/>
      <c r="D64" s="216"/>
      <c r="E64" s="216"/>
      <c r="F64" s="216"/>
      <c r="G64" s="216"/>
      <c r="H64" s="216"/>
      <c r="I64" s="216"/>
      <c r="J64" s="216"/>
      <c r="K64" s="5"/>
      <c r="L64" s="5"/>
      <c r="M64" s="5"/>
      <c r="N64" s="5"/>
      <c r="O64" s="5"/>
      <c r="P64" s="5"/>
      <c r="Q64" s="5"/>
      <c r="R64" s="5"/>
    </row>
    <row r="65" ht="12.75" hidden="1" customHeight="1">
      <c r="A65" s="213"/>
      <c r="B65" s="214"/>
      <c r="C65" s="216"/>
      <c r="D65" s="216"/>
      <c r="E65" s="216"/>
      <c r="F65" s="216"/>
      <c r="G65" s="216"/>
      <c r="H65" s="216"/>
      <c r="I65" s="216"/>
      <c r="J65" s="216"/>
      <c r="K65" s="5"/>
      <c r="L65" s="5"/>
      <c r="M65" s="5"/>
      <c r="N65" s="5"/>
      <c r="O65" s="5"/>
      <c r="P65" s="5"/>
      <c r="Q65" s="5"/>
      <c r="R65" s="5"/>
    </row>
    <row r="66" ht="12.75" hidden="1" customHeight="1">
      <c r="A66" s="213"/>
      <c r="B66" s="214"/>
      <c r="C66" s="216"/>
      <c r="D66" s="216"/>
      <c r="E66" s="216"/>
      <c r="F66" s="216"/>
      <c r="G66" s="216"/>
      <c r="H66" s="216"/>
      <c r="I66" s="216"/>
      <c r="J66" s="216"/>
      <c r="K66" s="5"/>
      <c r="L66" s="5"/>
      <c r="M66" s="5"/>
      <c r="N66" s="5"/>
      <c r="O66" s="5"/>
      <c r="P66" s="5"/>
      <c r="Q66" s="5"/>
      <c r="R66" s="5"/>
    </row>
    <row r="67" ht="12.75" hidden="1" customHeight="1">
      <c r="A67" s="213"/>
      <c r="B67" s="214"/>
      <c r="C67" s="216"/>
      <c r="D67" s="216"/>
      <c r="E67" s="216"/>
      <c r="F67" s="216"/>
      <c r="G67" s="216"/>
      <c r="H67" s="216"/>
      <c r="I67" s="216"/>
      <c r="J67" s="216"/>
      <c r="K67" s="5"/>
      <c r="L67" s="5"/>
      <c r="M67" s="5"/>
      <c r="N67" s="5"/>
      <c r="O67" s="5"/>
      <c r="P67" s="5"/>
      <c r="Q67" s="5"/>
      <c r="R67" s="5"/>
    </row>
    <row r="68" ht="12.75" hidden="1" customHeight="1">
      <c r="A68" s="213"/>
      <c r="B68" s="214"/>
      <c r="C68" s="216"/>
      <c r="D68" s="216"/>
      <c r="E68" s="216"/>
      <c r="F68" s="216"/>
      <c r="G68" s="216"/>
      <c r="H68" s="216"/>
      <c r="I68" s="216"/>
      <c r="J68" s="216"/>
      <c r="K68" s="5"/>
      <c r="L68" s="5"/>
      <c r="M68" s="5"/>
      <c r="N68" s="5"/>
      <c r="O68" s="5"/>
      <c r="P68" s="5"/>
      <c r="Q68" s="5"/>
      <c r="R68" s="5"/>
    </row>
    <row r="69" ht="12.75" hidden="1" customHeight="1">
      <c r="A69" s="213"/>
      <c r="B69" s="214"/>
      <c r="C69" s="216"/>
      <c r="D69" s="216"/>
      <c r="E69" s="216"/>
      <c r="F69" s="216"/>
      <c r="G69" s="216"/>
      <c r="H69" s="216"/>
      <c r="I69" s="216"/>
      <c r="J69" s="216"/>
      <c r="K69" s="5"/>
      <c r="L69" s="5"/>
      <c r="M69" s="5"/>
      <c r="N69" s="5"/>
      <c r="O69" s="5"/>
      <c r="P69" s="5"/>
      <c r="Q69" s="5"/>
      <c r="R69" s="5"/>
    </row>
    <row r="70" ht="12.75" hidden="1" customHeight="1">
      <c r="A70" s="213"/>
      <c r="B70" s="214"/>
      <c r="C70" s="216"/>
      <c r="D70" s="216"/>
      <c r="E70" s="216"/>
      <c r="F70" s="216"/>
      <c r="G70" s="216"/>
      <c r="H70" s="216"/>
      <c r="I70" s="216"/>
      <c r="J70" s="216"/>
      <c r="K70" s="5"/>
      <c r="L70" s="5"/>
      <c r="M70" s="5"/>
      <c r="N70" s="5"/>
      <c r="O70" s="5"/>
      <c r="P70" s="5"/>
      <c r="Q70" s="5"/>
      <c r="R70" s="5"/>
    </row>
    <row r="71" ht="12.75" hidden="1" customHeight="1">
      <c r="A71" s="213"/>
      <c r="B71" s="214"/>
      <c r="C71" s="216"/>
      <c r="D71" s="216"/>
      <c r="E71" s="216"/>
      <c r="F71" s="216"/>
      <c r="G71" s="216"/>
      <c r="H71" s="216"/>
      <c r="I71" s="216"/>
      <c r="J71" s="216"/>
      <c r="K71" s="5"/>
      <c r="L71" s="5"/>
      <c r="M71" s="5"/>
      <c r="N71" s="5"/>
      <c r="O71" s="5"/>
      <c r="P71" s="5"/>
      <c r="Q71" s="5"/>
      <c r="R71" s="5"/>
    </row>
    <row r="72" ht="12.75" hidden="1" customHeight="1">
      <c r="A72" s="213"/>
      <c r="B72" s="214"/>
      <c r="C72" s="216"/>
      <c r="D72" s="216"/>
      <c r="E72" s="216"/>
      <c r="F72" s="216"/>
      <c r="G72" s="216"/>
      <c r="H72" s="216"/>
      <c r="I72" s="216"/>
      <c r="J72" s="216"/>
      <c r="K72" s="5"/>
      <c r="L72" s="5"/>
      <c r="M72" s="5"/>
      <c r="N72" s="5"/>
      <c r="O72" s="5"/>
      <c r="P72" s="5"/>
      <c r="Q72" s="5"/>
      <c r="R72" s="5"/>
    </row>
    <row r="73" ht="12.75" hidden="1" customHeight="1">
      <c r="A73" s="213"/>
      <c r="B73" s="214"/>
      <c r="C73" s="216"/>
      <c r="D73" s="216"/>
      <c r="E73" s="216"/>
      <c r="F73" s="216"/>
      <c r="G73" s="216"/>
      <c r="H73" s="216"/>
      <c r="I73" s="216"/>
      <c r="J73" s="216"/>
      <c r="K73" s="5"/>
      <c r="L73" s="5"/>
      <c r="M73" s="5"/>
      <c r="N73" s="5"/>
      <c r="O73" s="5"/>
      <c r="P73" s="5"/>
      <c r="Q73" s="5"/>
      <c r="R73" s="5"/>
    </row>
    <row r="74" ht="12.75" hidden="1" customHeight="1">
      <c r="A74" s="213"/>
      <c r="B74" s="214"/>
      <c r="C74" s="216"/>
      <c r="D74" s="216"/>
      <c r="E74" s="216"/>
      <c r="F74" s="216"/>
      <c r="G74" s="216"/>
      <c r="H74" s="216"/>
      <c r="I74" s="216"/>
      <c r="J74" s="216"/>
      <c r="K74" s="5"/>
      <c r="L74" s="5"/>
      <c r="M74" s="5"/>
      <c r="N74" s="5"/>
      <c r="O74" s="5"/>
      <c r="P74" s="5"/>
      <c r="Q74" s="5"/>
      <c r="R74" s="5"/>
    </row>
    <row r="75" ht="12.75" hidden="1" customHeight="1">
      <c r="A75" s="213"/>
      <c r="B75" s="214"/>
      <c r="C75" s="216"/>
      <c r="D75" s="216"/>
      <c r="E75" s="216"/>
      <c r="F75" s="216"/>
      <c r="G75" s="216"/>
      <c r="H75" s="216"/>
      <c r="I75" s="216"/>
      <c r="J75" s="216"/>
      <c r="K75" s="5"/>
      <c r="L75" s="5"/>
      <c r="M75" s="5"/>
      <c r="N75" s="5"/>
      <c r="O75" s="5"/>
      <c r="P75" s="5"/>
      <c r="Q75" s="5"/>
      <c r="R75" s="5"/>
    </row>
    <row r="76" ht="12.75" hidden="1" customHeight="1">
      <c r="A76" s="213"/>
      <c r="B76" s="214"/>
      <c r="C76" s="216"/>
      <c r="D76" s="216"/>
      <c r="E76" s="216"/>
      <c r="F76" s="216"/>
      <c r="G76" s="216"/>
      <c r="H76" s="216"/>
      <c r="I76" s="216"/>
      <c r="J76" s="216"/>
      <c r="K76" s="5"/>
      <c r="L76" s="5"/>
      <c r="M76" s="5"/>
      <c r="N76" s="5"/>
      <c r="O76" s="5"/>
      <c r="P76" s="5"/>
      <c r="Q76" s="5"/>
      <c r="R76" s="5"/>
    </row>
    <row r="77" ht="12.75" hidden="1" customHeight="1">
      <c r="A77" s="213"/>
      <c r="B77" s="214"/>
      <c r="C77" s="216"/>
      <c r="D77" s="216"/>
      <c r="E77" s="216"/>
      <c r="F77" s="216"/>
      <c r="G77" s="216"/>
      <c r="H77" s="216"/>
      <c r="I77" s="216"/>
      <c r="J77" s="216"/>
      <c r="K77" s="5"/>
      <c r="L77" s="5"/>
      <c r="M77" s="5"/>
      <c r="N77" s="5"/>
      <c r="O77" s="5"/>
      <c r="P77" s="5"/>
      <c r="Q77" s="5"/>
      <c r="R77" s="5"/>
    </row>
    <row r="78" ht="12.75" hidden="1" customHeight="1">
      <c r="A78" s="213"/>
      <c r="B78" s="214"/>
      <c r="C78" s="216"/>
      <c r="D78" s="216"/>
      <c r="E78" s="216"/>
      <c r="F78" s="216"/>
      <c r="G78" s="216"/>
      <c r="H78" s="216"/>
      <c r="I78" s="216"/>
      <c r="J78" s="216"/>
      <c r="K78" s="5"/>
      <c r="L78" s="5"/>
      <c r="M78" s="5"/>
      <c r="N78" s="5"/>
      <c r="O78" s="5"/>
      <c r="P78" s="5"/>
      <c r="Q78" s="5"/>
      <c r="R78" s="5"/>
    </row>
    <row r="79" ht="12.75" hidden="1" customHeight="1">
      <c r="A79" s="213"/>
      <c r="B79" s="214"/>
      <c r="C79" s="216"/>
      <c r="D79" s="216"/>
      <c r="E79" s="216"/>
      <c r="F79" s="216"/>
      <c r="G79" s="216"/>
      <c r="H79" s="216"/>
      <c r="I79" s="216"/>
      <c r="J79" s="216"/>
      <c r="K79" s="5"/>
      <c r="L79" s="5"/>
      <c r="M79" s="5"/>
      <c r="N79" s="5"/>
      <c r="O79" s="5"/>
      <c r="P79" s="5"/>
      <c r="Q79" s="5"/>
      <c r="R79" s="5"/>
    </row>
    <row r="80" ht="12.75" hidden="1" customHeight="1">
      <c r="A80" s="213"/>
      <c r="B80" s="214"/>
      <c r="C80" s="216"/>
      <c r="D80" s="216"/>
      <c r="E80" s="216"/>
      <c r="F80" s="216"/>
      <c r="G80" s="216"/>
      <c r="H80" s="216"/>
      <c r="I80" s="216"/>
      <c r="J80" s="216"/>
      <c r="K80" s="5"/>
      <c r="L80" s="5"/>
      <c r="M80" s="5"/>
      <c r="N80" s="5"/>
      <c r="O80" s="5"/>
      <c r="P80" s="5"/>
      <c r="Q80" s="5"/>
      <c r="R80" s="5"/>
    </row>
    <row r="81" ht="12.75" hidden="1" customHeight="1">
      <c r="A81" s="213"/>
      <c r="B81" s="214"/>
      <c r="C81" s="216"/>
      <c r="D81" s="216"/>
      <c r="E81" s="216"/>
      <c r="F81" s="216"/>
      <c r="G81" s="216"/>
      <c r="H81" s="216"/>
      <c r="I81" s="216"/>
      <c r="J81" s="216"/>
      <c r="K81" s="5"/>
      <c r="L81" s="5"/>
      <c r="M81" s="5"/>
      <c r="N81" s="5"/>
      <c r="O81" s="5"/>
      <c r="P81" s="5"/>
      <c r="Q81" s="5"/>
      <c r="R81" s="5"/>
    </row>
    <row r="82" ht="12.75" hidden="1" customHeight="1">
      <c r="A82" s="213"/>
      <c r="B82" s="214"/>
      <c r="C82" s="216"/>
      <c r="D82" s="216"/>
      <c r="E82" s="216"/>
      <c r="F82" s="216"/>
      <c r="G82" s="216"/>
      <c r="H82" s="216"/>
      <c r="I82" s="216"/>
      <c r="J82" s="216"/>
      <c r="K82" s="5"/>
      <c r="L82" s="5"/>
      <c r="M82" s="5"/>
      <c r="N82" s="5"/>
      <c r="O82" s="5"/>
      <c r="P82" s="5"/>
      <c r="Q82" s="5"/>
      <c r="R82" s="5"/>
    </row>
    <row r="83" ht="12.75" hidden="1" customHeight="1">
      <c r="A83" s="213"/>
      <c r="B83" s="214"/>
      <c r="C83" s="216"/>
      <c r="D83" s="216"/>
      <c r="E83" s="216"/>
      <c r="F83" s="216"/>
      <c r="G83" s="216"/>
      <c r="H83" s="216"/>
      <c r="I83" s="216"/>
      <c r="J83" s="216"/>
      <c r="K83" s="5"/>
      <c r="L83" s="5"/>
      <c r="M83" s="5"/>
      <c r="N83" s="5"/>
      <c r="O83" s="5"/>
      <c r="P83" s="5"/>
      <c r="Q83" s="5"/>
      <c r="R83" s="5"/>
    </row>
    <row r="84" ht="12.75" hidden="1" customHeight="1">
      <c r="A84" s="213"/>
      <c r="B84" s="214"/>
      <c r="C84" s="216"/>
      <c r="D84" s="216"/>
      <c r="E84" s="216"/>
      <c r="F84" s="216"/>
      <c r="G84" s="216"/>
      <c r="H84" s="216"/>
      <c r="I84" s="216"/>
      <c r="J84" s="216"/>
      <c r="K84" s="5"/>
      <c r="L84" s="5"/>
      <c r="M84" s="5"/>
      <c r="N84" s="5"/>
      <c r="O84" s="5"/>
      <c r="P84" s="5"/>
      <c r="Q84" s="5"/>
      <c r="R84" s="5"/>
    </row>
    <row r="85" ht="12.75" hidden="1" customHeight="1">
      <c r="A85" s="213"/>
      <c r="B85" s="214"/>
      <c r="C85" s="216"/>
      <c r="D85" s="216"/>
      <c r="E85" s="216"/>
      <c r="F85" s="216"/>
      <c r="G85" s="216"/>
      <c r="H85" s="216"/>
      <c r="I85" s="216"/>
      <c r="J85" s="216"/>
      <c r="K85" s="5"/>
      <c r="L85" s="5"/>
      <c r="M85" s="5"/>
      <c r="N85" s="5"/>
      <c r="O85" s="5"/>
      <c r="P85" s="5"/>
      <c r="Q85" s="5"/>
      <c r="R85" s="5"/>
    </row>
    <row r="86" ht="12.75" hidden="1" customHeight="1">
      <c r="A86" s="213"/>
      <c r="B86" s="214"/>
      <c r="C86" s="216"/>
      <c r="D86" s="216"/>
      <c r="E86" s="216"/>
      <c r="F86" s="216"/>
      <c r="G86" s="216"/>
      <c r="H86" s="216"/>
      <c r="I86" s="216"/>
      <c r="J86" s="216"/>
      <c r="K86" s="5"/>
      <c r="L86" s="5"/>
      <c r="M86" s="5"/>
      <c r="N86" s="5"/>
      <c r="O86" s="5"/>
      <c r="P86" s="5"/>
      <c r="Q86" s="5"/>
      <c r="R86" s="5"/>
    </row>
    <row r="87" ht="12.75" hidden="1" customHeight="1">
      <c r="A87" s="213"/>
      <c r="B87" s="214"/>
      <c r="C87" s="216"/>
      <c r="D87" s="216"/>
      <c r="E87" s="216"/>
      <c r="F87" s="216"/>
      <c r="G87" s="216"/>
      <c r="H87" s="216"/>
      <c r="I87" s="216"/>
      <c r="J87" s="216"/>
      <c r="K87" s="5"/>
      <c r="L87" s="5"/>
      <c r="M87" s="5"/>
      <c r="N87" s="5"/>
      <c r="O87" s="5"/>
      <c r="P87" s="5"/>
      <c r="Q87" s="5"/>
      <c r="R87" s="5"/>
    </row>
    <row r="88" ht="12.75" hidden="1" customHeight="1">
      <c r="A88" s="213"/>
      <c r="B88" s="214"/>
      <c r="C88" s="216"/>
      <c r="D88" s="216"/>
      <c r="E88" s="216"/>
      <c r="F88" s="216"/>
      <c r="G88" s="216"/>
      <c r="H88" s="216"/>
      <c r="I88" s="216"/>
      <c r="J88" s="216"/>
      <c r="K88" s="5"/>
      <c r="L88" s="5"/>
      <c r="M88" s="5"/>
      <c r="N88" s="5"/>
      <c r="O88" s="5"/>
      <c r="P88" s="5"/>
      <c r="Q88" s="5"/>
      <c r="R88" s="5"/>
    </row>
    <row r="89" ht="12.75" hidden="1" customHeight="1">
      <c r="A89" s="213"/>
      <c r="B89" s="214"/>
      <c r="C89" s="216"/>
      <c r="D89" s="216"/>
      <c r="E89" s="216"/>
      <c r="F89" s="216"/>
      <c r="G89" s="216"/>
      <c r="H89" s="216"/>
      <c r="I89" s="216"/>
      <c r="J89" s="216"/>
      <c r="K89" s="5"/>
      <c r="L89" s="5"/>
      <c r="M89" s="5"/>
      <c r="N89" s="5"/>
      <c r="O89" s="5"/>
      <c r="P89" s="5"/>
      <c r="Q89" s="5"/>
      <c r="R89" s="5"/>
    </row>
    <row r="90" ht="12.75" hidden="1" customHeight="1">
      <c r="A90" s="213"/>
      <c r="B90" s="214"/>
      <c r="C90" s="216"/>
      <c r="D90" s="216"/>
      <c r="E90" s="216"/>
      <c r="F90" s="216"/>
      <c r="G90" s="216"/>
      <c r="H90" s="216"/>
      <c r="I90" s="216"/>
      <c r="J90" s="216"/>
      <c r="K90" s="5"/>
      <c r="L90" s="5"/>
      <c r="M90" s="5"/>
      <c r="N90" s="5"/>
      <c r="O90" s="5"/>
      <c r="P90" s="5"/>
      <c r="Q90" s="5"/>
      <c r="R90" s="5"/>
    </row>
    <row r="91" ht="12.75" hidden="1" customHeight="1">
      <c r="A91" s="213"/>
      <c r="B91" s="214"/>
      <c r="C91" s="216"/>
      <c r="D91" s="216"/>
      <c r="E91" s="216"/>
      <c r="F91" s="216"/>
      <c r="G91" s="216"/>
      <c r="H91" s="216"/>
      <c r="I91" s="216"/>
      <c r="J91" s="216"/>
      <c r="K91" s="5"/>
      <c r="L91" s="5"/>
      <c r="M91" s="5"/>
      <c r="N91" s="5"/>
      <c r="O91" s="5"/>
      <c r="P91" s="5"/>
      <c r="Q91" s="5"/>
      <c r="R91" s="5"/>
    </row>
    <row r="92" ht="12.75" hidden="1" customHeight="1">
      <c r="A92" s="213"/>
      <c r="B92" s="214"/>
      <c r="C92" s="216"/>
      <c r="D92" s="216"/>
      <c r="E92" s="216"/>
      <c r="F92" s="216"/>
      <c r="G92" s="216"/>
      <c r="H92" s="216"/>
      <c r="I92" s="216"/>
      <c r="J92" s="216"/>
      <c r="K92" s="5"/>
      <c r="L92" s="5"/>
      <c r="M92" s="5"/>
      <c r="N92" s="5"/>
      <c r="O92" s="5"/>
      <c r="P92" s="5"/>
      <c r="Q92" s="5"/>
      <c r="R92" s="5"/>
    </row>
    <row r="93" ht="12.75" hidden="1" customHeight="1">
      <c r="A93" s="213"/>
      <c r="B93" s="214"/>
      <c r="C93" s="216"/>
      <c r="D93" s="216"/>
      <c r="E93" s="216"/>
      <c r="F93" s="216"/>
      <c r="G93" s="216"/>
      <c r="H93" s="216"/>
      <c r="I93" s="216"/>
      <c r="J93" s="216"/>
      <c r="K93" s="5"/>
      <c r="L93" s="5"/>
      <c r="M93" s="5"/>
      <c r="N93" s="5"/>
      <c r="O93" s="5"/>
      <c r="P93" s="5"/>
      <c r="Q93" s="5"/>
      <c r="R93" s="5"/>
    </row>
    <row r="94" ht="12.75" hidden="1" customHeight="1">
      <c r="A94" s="213"/>
      <c r="B94" s="214"/>
      <c r="C94" s="216"/>
      <c r="D94" s="216"/>
      <c r="E94" s="216"/>
      <c r="F94" s="216"/>
      <c r="G94" s="216"/>
      <c r="H94" s="216"/>
      <c r="I94" s="216"/>
      <c r="J94" s="216"/>
      <c r="K94" s="5"/>
      <c r="L94" s="5"/>
      <c r="M94" s="5"/>
      <c r="N94" s="5"/>
      <c r="O94" s="5"/>
      <c r="P94" s="5"/>
      <c r="Q94" s="5"/>
      <c r="R94" s="5"/>
    </row>
    <row r="95" ht="12.75" hidden="1" customHeight="1">
      <c r="A95" s="213"/>
      <c r="B95" s="214"/>
      <c r="C95" s="216"/>
      <c r="D95" s="216"/>
      <c r="E95" s="216"/>
      <c r="F95" s="216"/>
      <c r="G95" s="216"/>
      <c r="H95" s="216"/>
      <c r="I95" s="216"/>
      <c r="J95" s="216"/>
      <c r="K95" s="5"/>
      <c r="L95" s="5"/>
      <c r="M95" s="5"/>
      <c r="N95" s="5"/>
      <c r="O95" s="5"/>
      <c r="P95" s="5"/>
      <c r="Q95" s="5"/>
      <c r="R95" s="5"/>
    </row>
    <row r="96" ht="12.75" hidden="1" customHeight="1">
      <c r="A96" s="213"/>
      <c r="B96" s="214"/>
      <c r="C96" s="216"/>
      <c r="D96" s="216"/>
      <c r="E96" s="216"/>
      <c r="F96" s="216"/>
      <c r="G96" s="216"/>
      <c r="H96" s="216"/>
      <c r="I96" s="216"/>
      <c r="J96" s="216"/>
      <c r="K96" s="5"/>
      <c r="L96" s="5"/>
      <c r="M96" s="5"/>
      <c r="N96" s="5"/>
      <c r="O96" s="5"/>
      <c r="P96" s="5"/>
      <c r="Q96" s="5"/>
      <c r="R96" s="5"/>
    </row>
    <row r="97" ht="12.75" hidden="1" customHeight="1">
      <c r="A97" s="213"/>
      <c r="B97" s="214"/>
      <c r="C97" s="216"/>
      <c r="D97" s="216"/>
      <c r="E97" s="216"/>
      <c r="F97" s="216"/>
      <c r="G97" s="216"/>
      <c r="H97" s="216"/>
      <c r="I97" s="216"/>
      <c r="J97" s="216"/>
      <c r="K97" s="5"/>
      <c r="L97" s="5"/>
      <c r="M97" s="5"/>
      <c r="N97" s="5"/>
      <c r="O97" s="5"/>
      <c r="P97" s="5"/>
      <c r="Q97" s="5"/>
      <c r="R97" s="5"/>
    </row>
    <row r="98" ht="12.75" hidden="1" customHeight="1">
      <c r="A98" s="213"/>
      <c r="B98" s="214"/>
      <c r="C98" s="216"/>
      <c r="D98" s="216"/>
      <c r="E98" s="216"/>
      <c r="F98" s="216"/>
      <c r="G98" s="216"/>
      <c r="H98" s="216"/>
      <c r="I98" s="216"/>
      <c r="J98" s="216"/>
      <c r="K98" s="5"/>
      <c r="L98" s="5"/>
      <c r="M98" s="5"/>
      <c r="N98" s="5"/>
      <c r="O98" s="5"/>
      <c r="P98" s="5"/>
      <c r="Q98" s="5"/>
      <c r="R98" s="5"/>
    </row>
    <row r="99" ht="12.75" hidden="1" customHeight="1">
      <c r="A99" s="213"/>
      <c r="B99" s="214"/>
      <c r="C99" s="216"/>
      <c r="D99" s="216"/>
      <c r="E99" s="216"/>
      <c r="F99" s="216"/>
      <c r="G99" s="216"/>
      <c r="H99" s="216"/>
      <c r="I99" s="216"/>
      <c r="J99" s="216"/>
      <c r="K99" s="5"/>
      <c r="L99" s="5"/>
      <c r="M99" s="5"/>
      <c r="N99" s="5"/>
      <c r="O99" s="5"/>
      <c r="P99" s="5"/>
      <c r="Q99" s="5"/>
      <c r="R99" s="5"/>
    </row>
    <row r="100" ht="12.75" hidden="1" customHeight="1">
      <c r="A100" s="213"/>
      <c r="B100" s="214"/>
      <c r="C100" s="216"/>
      <c r="D100" s="216"/>
      <c r="E100" s="216"/>
      <c r="F100" s="216"/>
      <c r="G100" s="216"/>
      <c r="H100" s="216"/>
      <c r="I100" s="216"/>
      <c r="J100" s="216"/>
      <c r="K100" s="5"/>
      <c r="L100" s="5"/>
      <c r="M100" s="5"/>
      <c r="N100" s="5"/>
      <c r="O100" s="5"/>
      <c r="P100" s="5"/>
      <c r="Q100" s="5"/>
      <c r="R100" s="5"/>
    </row>
    <row r="101" ht="12.75" hidden="1" customHeight="1">
      <c r="A101" s="213"/>
      <c r="B101" s="214"/>
      <c r="C101" s="216"/>
      <c r="D101" s="216"/>
      <c r="E101" s="216"/>
      <c r="F101" s="216"/>
      <c r="G101" s="216"/>
      <c r="H101" s="216"/>
      <c r="I101" s="216"/>
      <c r="J101" s="216"/>
      <c r="K101" s="5"/>
      <c r="L101" s="5"/>
      <c r="M101" s="5"/>
      <c r="N101" s="5"/>
      <c r="O101" s="5"/>
      <c r="P101" s="5"/>
      <c r="Q101" s="5"/>
      <c r="R101" s="5"/>
    </row>
    <row r="102" ht="12.75" hidden="1" customHeight="1">
      <c r="A102" s="213"/>
      <c r="B102" s="214"/>
      <c r="C102" s="216"/>
      <c r="D102" s="216"/>
      <c r="E102" s="216"/>
      <c r="F102" s="216"/>
      <c r="G102" s="216"/>
      <c r="H102" s="216"/>
      <c r="I102" s="216"/>
      <c r="J102" s="216"/>
      <c r="K102" s="5"/>
      <c r="L102" s="5"/>
      <c r="M102" s="5"/>
      <c r="N102" s="5"/>
      <c r="O102" s="5"/>
      <c r="P102" s="5"/>
      <c r="Q102" s="5"/>
      <c r="R102" s="5"/>
    </row>
    <row r="103" ht="12.75" hidden="1" customHeight="1">
      <c r="A103" s="213"/>
      <c r="B103" s="214"/>
      <c r="C103" s="216"/>
      <c r="D103" s="216"/>
      <c r="E103" s="216"/>
      <c r="F103" s="216"/>
      <c r="G103" s="216"/>
      <c r="H103" s="216"/>
      <c r="I103" s="216"/>
      <c r="J103" s="216"/>
      <c r="K103" s="5"/>
      <c r="L103" s="5"/>
      <c r="M103" s="5"/>
      <c r="N103" s="5"/>
      <c r="O103" s="5"/>
      <c r="P103" s="5"/>
      <c r="Q103" s="5"/>
      <c r="R103" s="5"/>
    </row>
    <row r="104" ht="12.75" hidden="1" customHeight="1">
      <c r="A104" s="213"/>
      <c r="B104" s="214"/>
      <c r="C104" s="216"/>
      <c r="D104" s="216"/>
      <c r="E104" s="216"/>
      <c r="F104" s="216"/>
      <c r="G104" s="216"/>
      <c r="H104" s="216"/>
      <c r="I104" s="216"/>
      <c r="J104" s="216"/>
      <c r="K104" s="5"/>
      <c r="L104" s="5"/>
      <c r="M104" s="5"/>
      <c r="N104" s="5"/>
      <c r="O104" s="5"/>
      <c r="P104" s="5"/>
      <c r="Q104" s="5"/>
      <c r="R104" s="5"/>
    </row>
    <row r="105" ht="12.75" hidden="1" customHeight="1">
      <c r="A105" s="213"/>
      <c r="B105" s="214"/>
      <c r="C105" s="216"/>
      <c r="D105" s="216"/>
      <c r="E105" s="216"/>
      <c r="F105" s="216"/>
      <c r="G105" s="216"/>
      <c r="H105" s="216"/>
      <c r="I105" s="216"/>
      <c r="J105" s="216"/>
      <c r="K105" s="5"/>
      <c r="L105" s="5"/>
      <c r="M105" s="5"/>
      <c r="N105" s="5"/>
      <c r="O105" s="5"/>
      <c r="P105" s="5"/>
      <c r="Q105" s="5"/>
      <c r="R105" s="5"/>
    </row>
    <row r="106" ht="12.75" hidden="1" customHeight="1">
      <c r="A106" s="213"/>
      <c r="B106" s="214"/>
      <c r="C106" s="216"/>
      <c r="D106" s="216"/>
      <c r="E106" s="216"/>
      <c r="F106" s="216"/>
      <c r="G106" s="216"/>
      <c r="H106" s="216"/>
      <c r="I106" s="216"/>
      <c r="J106" s="216"/>
      <c r="K106" s="5"/>
      <c r="L106" s="5"/>
      <c r="M106" s="5"/>
      <c r="N106" s="5"/>
      <c r="O106" s="5"/>
      <c r="P106" s="5"/>
      <c r="Q106" s="5"/>
      <c r="R106" s="5"/>
    </row>
    <row r="107" ht="12.75" hidden="1" customHeight="1">
      <c r="A107" s="213"/>
      <c r="B107" s="214"/>
      <c r="C107" s="216"/>
      <c r="D107" s="216"/>
      <c r="E107" s="216"/>
      <c r="F107" s="216"/>
      <c r="G107" s="216"/>
      <c r="H107" s="216"/>
      <c r="I107" s="216"/>
      <c r="J107" s="216"/>
      <c r="K107" s="5"/>
      <c r="L107" s="5"/>
      <c r="M107" s="5"/>
      <c r="N107" s="5"/>
      <c r="O107" s="5"/>
      <c r="P107" s="5"/>
      <c r="Q107" s="5"/>
      <c r="R107" s="5"/>
    </row>
    <row r="108" ht="12.75" hidden="1" customHeight="1">
      <c r="A108" s="213"/>
      <c r="B108" s="214"/>
      <c r="C108" s="216"/>
      <c r="D108" s="216"/>
      <c r="E108" s="216"/>
      <c r="F108" s="216"/>
      <c r="G108" s="216"/>
      <c r="H108" s="216"/>
      <c r="I108" s="216"/>
      <c r="J108" s="216"/>
      <c r="K108" s="5"/>
      <c r="L108" s="5"/>
      <c r="M108" s="5"/>
      <c r="N108" s="5"/>
      <c r="O108" s="5"/>
      <c r="P108" s="5"/>
      <c r="Q108" s="5"/>
      <c r="R108" s="5"/>
    </row>
    <row r="109" ht="12.75" hidden="1" customHeight="1">
      <c r="A109" s="213"/>
      <c r="B109" s="214"/>
      <c r="C109" s="216"/>
      <c r="D109" s="216"/>
      <c r="E109" s="216"/>
      <c r="F109" s="216"/>
      <c r="G109" s="216"/>
      <c r="H109" s="216"/>
      <c r="I109" s="216"/>
      <c r="J109" s="216"/>
      <c r="K109" s="5"/>
      <c r="L109" s="5"/>
      <c r="M109" s="5"/>
      <c r="N109" s="5"/>
      <c r="O109" s="5"/>
      <c r="P109" s="5"/>
      <c r="Q109" s="5"/>
      <c r="R109" s="5"/>
    </row>
    <row r="110" ht="12.75" hidden="1" customHeight="1">
      <c r="A110" s="213"/>
      <c r="B110" s="214"/>
      <c r="C110" s="216"/>
      <c r="D110" s="216"/>
      <c r="E110" s="216"/>
      <c r="F110" s="216"/>
      <c r="G110" s="216"/>
      <c r="H110" s="216"/>
      <c r="I110" s="216"/>
      <c r="J110" s="216"/>
      <c r="K110" s="5"/>
      <c r="L110" s="5"/>
      <c r="M110" s="5"/>
      <c r="N110" s="5"/>
      <c r="O110" s="5"/>
      <c r="P110" s="5"/>
      <c r="Q110" s="5"/>
      <c r="R110" s="5"/>
    </row>
    <row r="111" ht="12.75" hidden="1" customHeight="1">
      <c r="A111" s="213"/>
      <c r="B111" s="214"/>
      <c r="C111" s="216"/>
      <c r="D111" s="216"/>
      <c r="E111" s="216"/>
      <c r="F111" s="216"/>
      <c r="G111" s="216"/>
      <c r="H111" s="216"/>
      <c r="I111" s="216"/>
      <c r="J111" s="216"/>
      <c r="K111" s="5"/>
      <c r="L111" s="5"/>
      <c r="M111" s="5"/>
      <c r="N111" s="5"/>
      <c r="O111" s="5"/>
      <c r="P111" s="5"/>
      <c r="Q111" s="5"/>
      <c r="R111" s="5"/>
    </row>
    <row r="112" ht="12.75" hidden="1" customHeight="1">
      <c r="A112" s="213"/>
      <c r="B112" s="214"/>
      <c r="C112" s="216"/>
      <c r="D112" s="216"/>
      <c r="E112" s="216"/>
      <c r="F112" s="216"/>
      <c r="G112" s="216"/>
      <c r="H112" s="216"/>
      <c r="I112" s="216"/>
      <c r="J112" s="216"/>
      <c r="K112" s="5"/>
      <c r="L112" s="5"/>
      <c r="M112" s="5"/>
      <c r="N112" s="5"/>
      <c r="O112" s="5"/>
      <c r="P112" s="5"/>
      <c r="Q112" s="5"/>
      <c r="R112" s="5"/>
    </row>
    <row r="113" ht="12.75" hidden="1" customHeight="1">
      <c r="A113" s="213"/>
      <c r="B113" s="214"/>
      <c r="C113" s="216"/>
      <c r="D113" s="216"/>
      <c r="E113" s="216"/>
      <c r="F113" s="216"/>
      <c r="G113" s="216"/>
      <c r="H113" s="216"/>
      <c r="I113" s="216"/>
      <c r="J113" s="216"/>
      <c r="K113" s="5"/>
      <c r="L113" s="5"/>
      <c r="M113" s="5"/>
      <c r="N113" s="5"/>
      <c r="O113" s="5"/>
      <c r="P113" s="5"/>
      <c r="Q113" s="5"/>
      <c r="R113" s="5"/>
    </row>
    <row r="114" ht="12.75" hidden="1" customHeight="1">
      <c r="A114" s="213"/>
      <c r="B114" s="214"/>
      <c r="C114" s="216"/>
      <c r="D114" s="216"/>
      <c r="E114" s="216"/>
      <c r="F114" s="216"/>
      <c r="G114" s="216"/>
      <c r="H114" s="216"/>
      <c r="I114" s="216"/>
      <c r="J114" s="216"/>
      <c r="K114" s="5"/>
      <c r="L114" s="5"/>
      <c r="M114" s="5"/>
      <c r="N114" s="5"/>
      <c r="O114" s="5"/>
      <c r="P114" s="5"/>
      <c r="Q114" s="5"/>
      <c r="R114" s="5"/>
    </row>
    <row r="115" ht="12.75" hidden="1" customHeight="1">
      <c r="A115" s="213"/>
      <c r="B115" s="214"/>
      <c r="C115" s="216"/>
      <c r="D115" s="216"/>
      <c r="E115" s="216"/>
      <c r="F115" s="216"/>
      <c r="G115" s="216"/>
      <c r="H115" s="216"/>
      <c r="I115" s="216"/>
      <c r="J115" s="216"/>
      <c r="K115" s="5"/>
      <c r="L115" s="5"/>
      <c r="M115" s="5"/>
      <c r="N115" s="5"/>
      <c r="O115" s="5"/>
      <c r="P115" s="5"/>
      <c r="Q115" s="5"/>
      <c r="R115" s="5"/>
    </row>
    <row r="116" ht="12.75" hidden="1" customHeight="1">
      <c r="A116" s="213"/>
      <c r="B116" s="214"/>
      <c r="C116" s="216"/>
      <c r="D116" s="216"/>
      <c r="E116" s="216"/>
      <c r="F116" s="216"/>
      <c r="G116" s="216"/>
      <c r="H116" s="216"/>
      <c r="I116" s="216"/>
      <c r="J116" s="216"/>
      <c r="K116" s="5"/>
      <c r="L116" s="5"/>
      <c r="M116" s="5"/>
      <c r="N116" s="5"/>
      <c r="O116" s="5"/>
      <c r="P116" s="5"/>
      <c r="Q116" s="5"/>
      <c r="R116" s="5"/>
    </row>
    <row r="117" ht="12.75" hidden="1" customHeight="1">
      <c r="A117" s="213"/>
      <c r="B117" s="214"/>
      <c r="C117" s="216"/>
      <c r="D117" s="216"/>
      <c r="E117" s="216"/>
      <c r="F117" s="216"/>
      <c r="G117" s="216"/>
      <c r="H117" s="216"/>
      <c r="I117" s="216"/>
      <c r="J117" s="216"/>
      <c r="K117" s="5"/>
      <c r="L117" s="5"/>
      <c r="M117" s="5"/>
      <c r="N117" s="5"/>
      <c r="O117" s="5"/>
      <c r="P117" s="5"/>
      <c r="Q117" s="5"/>
      <c r="R117" s="5"/>
    </row>
    <row r="118" ht="12.75" hidden="1" customHeight="1">
      <c r="A118" s="213"/>
      <c r="B118" s="214"/>
      <c r="C118" s="216"/>
      <c r="D118" s="216"/>
      <c r="E118" s="216"/>
      <c r="F118" s="216"/>
      <c r="G118" s="216"/>
      <c r="H118" s="216"/>
      <c r="I118" s="216"/>
      <c r="J118" s="216"/>
      <c r="K118" s="5"/>
      <c r="L118" s="5"/>
      <c r="M118" s="5"/>
      <c r="N118" s="5"/>
      <c r="O118" s="5"/>
      <c r="P118" s="5"/>
      <c r="Q118" s="5"/>
      <c r="R118" s="5"/>
    </row>
    <row r="119" ht="12.75" hidden="1" customHeight="1">
      <c r="A119" s="213"/>
      <c r="B119" s="214"/>
      <c r="C119" s="216"/>
      <c r="D119" s="216"/>
      <c r="E119" s="216"/>
      <c r="F119" s="216"/>
      <c r="G119" s="216"/>
      <c r="H119" s="216"/>
      <c r="I119" s="216"/>
      <c r="J119" s="216"/>
      <c r="K119" s="5"/>
      <c r="L119" s="5"/>
      <c r="M119" s="5"/>
      <c r="N119" s="5"/>
      <c r="O119" s="5"/>
      <c r="P119" s="5"/>
      <c r="Q119" s="5"/>
      <c r="R119" s="5"/>
    </row>
    <row r="120" ht="12.75" hidden="1" customHeight="1">
      <c r="A120" s="213"/>
      <c r="B120" s="214"/>
      <c r="C120" s="216"/>
      <c r="D120" s="216"/>
      <c r="E120" s="216"/>
      <c r="F120" s="216"/>
      <c r="G120" s="216"/>
      <c r="H120" s="216"/>
      <c r="I120" s="216"/>
      <c r="J120" s="216"/>
      <c r="K120" s="5"/>
      <c r="L120" s="5"/>
      <c r="M120" s="5"/>
      <c r="N120" s="5"/>
      <c r="O120" s="5"/>
      <c r="P120" s="5"/>
      <c r="Q120" s="5"/>
      <c r="R120" s="5"/>
    </row>
    <row r="121" ht="12.75" hidden="1" customHeight="1">
      <c r="A121" s="213"/>
      <c r="B121" s="214"/>
      <c r="C121" s="216"/>
      <c r="D121" s="216"/>
      <c r="E121" s="216"/>
      <c r="F121" s="216"/>
      <c r="G121" s="216"/>
      <c r="H121" s="216"/>
      <c r="I121" s="216"/>
      <c r="J121" s="216"/>
      <c r="K121" s="5"/>
      <c r="L121" s="5"/>
      <c r="M121" s="5"/>
      <c r="N121" s="5"/>
      <c r="O121" s="5"/>
      <c r="P121" s="5"/>
      <c r="Q121" s="5"/>
      <c r="R121" s="5"/>
    </row>
    <row r="122" ht="12.75" hidden="1" customHeight="1">
      <c r="A122" s="213"/>
      <c r="B122" s="214"/>
      <c r="C122" s="216"/>
      <c r="D122" s="216"/>
      <c r="E122" s="216"/>
      <c r="F122" s="216"/>
      <c r="G122" s="216"/>
      <c r="H122" s="216"/>
      <c r="I122" s="216"/>
      <c r="J122" s="216"/>
      <c r="K122" s="5"/>
      <c r="L122" s="5"/>
      <c r="M122" s="5"/>
      <c r="N122" s="5"/>
      <c r="O122" s="5"/>
      <c r="P122" s="5"/>
      <c r="Q122" s="5"/>
      <c r="R122" s="5"/>
    </row>
    <row r="123" ht="12.75" hidden="1" customHeight="1">
      <c r="A123" s="213"/>
      <c r="B123" s="214"/>
      <c r="C123" s="216"/>
      <c r="D123" s="216"/>
      <c r="E123" s="216"/>
      <c r="F123" s="216"/>
      <c r="G123" s="216"/>
      <c r="H123" s="216"/>
      <c r="I123" s="216"/>
      <c r="J123" s="216"/>
      <c r="K123" s="5"/>
      <c r="L123" s="5"/>
      <c r="M123" s="5"/>
      <c r="N123" s="5"/>
      <c r="O123" s="5"/>
      <c r="P123" s="5"/>
      <c r="Q123" s="5"/>
      <c r="R123" s="5"/>
    </row>
    <row r="124" ht="12.75" hidden="1" customHeight="1">
      <c r="A124" s="213"/>
      <c r="B124" s="214"/>
      <c r="C124" s="216"/>
      <c r="D124" s="216"/>
      <c r="E124" s="216"/>
      <c r="F124" s="216"/>
      <c r="G124" s="216"/>
      <c r="H124" s="216"/>
      <c r="I124" s="216"/>
      <c r="J124" s="216"/>
      <c r="K124" s="5"/>
      <c r="L124" s="5"/>
      <c r="M124" s="5"/>
      <c r="N124" s="5"/>
      <c r="O124" s="5"/>
      <c r="P124" s="5"/>
      <c r="Q124" s="5"/>
      <c r="R124" s="5"/>
    </row>
    <row r="125" ht="12.75" hidden="1" customHeight="1">
      <c r="A125" s="213"/>
      <c r="B125" s="214"/>
      <c r="C125" s="216"/>
      <c r="D125" s="216"/>
      <c r="E125" s="216"/>
      <c r="F125" s="216"/>
      <c r="G125" s="216"/>
      <c r="H125" s="216"/>
      <c r="I125" s="216"/>
      <c r="J125" s="216"/>
      <c r="K125" s="5"/>
      <c r="L125" s="5"/>
      <c r="M125" s="5"/>
      <c r="N125" s="5"/>
      <c r="O125" s="5"/>
      <c r="P125" s="5"/>
      <c r="Q125" s="5"/>
      <c r="R125" s="5"/>
    </row>
    <row r="126" ht="12.75" hidden="1" customHeight="1">
      <c r="A126" s="213"/>
      <c r="B126" s="214"/>
      <c r="C126" s="216"/>
      <c r="D126" s="216"/>
      <c r="E126" s="216"/>
      <c r="F126" s="216"/>
      <c r="G126" s="216"/>
      <c r="H126" s="216"/>
      <c r="I126" s="216"/>
      <c r="J126" s="216"/>
      <c r="K126" s="5"/>
      <c r="L126" s="5"/>
      <c r="M126" s="5"/>
      <c r="N126" s="5"/>
      <c r="O126" s="5"/>
      <c r="P126" s="5"/>
      <c r="Q126" s="5"/>
      <c r="R126" s="5"/>
    </row>
    <row r="127" ht="12.75" hidden="1" customHeight="1">
      <c r="A127" s="213"/>
      <c r="B127" s="214"/>
      <c r="C127" s="216"/>
      <c r="D127" s="216"/>
      <c r="E127" s="216"/>
      <c r="F127" s="216"/>
      <c r="G127" s="216"/>
      <c r="H127" s="216"/>
      <c r="I127" s="216"/>
      <c r="J127" s="216"/>
      <c r="K127" s="5"/>
      <c r="L127" s="5"/>
      <c r="M127" s="5"/>
      <c r="N127" s="5"/>
      <c r="O127" s="5"/>
      <c r="P127" s="5"/>
      <c r="Q127" s="5"/>
      <c r="R127" s="5"/>
    </row>
    <row r="128" ht="12.75" hidden="1" customHeight="1">
      <c r="A128" s="213"/>
      <c r="B128" s="214"/>
      <c r="C128" s="216"/>
      <c r="D128" s="216"/>
      <c r="E128" s="216"/>
      <c r="F128" s="216"/>
      <c r="G128" s="216"/>
      <c r="H128" s="216"/>
      <c r="I128" s="216"/>
      <c r="J128" s="216"/>
      <c r="K128" s="5"/>
      <c r="L128" s="5"/>
      <c r="M128" s="5"/>
      <c r="N128" s="5"/>
      <c r="O128" s="5"/>
      <c r="P128" s="5"/>
      <c r="Q128" s="5"/>
      <c r="R128" s="5"/>
    </row>
    <row r="129" ht="12.75" hidden="1" customHeight="1">
      <c r="A129" s="213"/>
      <c r="B129" s="214"/>
      <c r="C129" s="216"/>
      <c r="D129" s="216"/>
      <c r="E129" s="216"/>
      <c r="F129" s="216"/>
      <c r="G129" s="216"/>
      <c r="H129" s="216"/>
      <c r="I129" s="216"/>
      <c r="J129" s="216"/>
      <c r="K129" s="5"/>
      <c r="L129" s="5"/>
      <c r="M129" s="5"/>
      <c r="N129" s="5"/>
      <c r="O129" s="5"/>
      <c r="P129" s="5"/>
      <c r="Q129" s="5"/>
      <c r="R129" s="5"/>
    </row>
    <row r="130" ht="12.75" hidden="1" customHeight="1">
      <c r="A130" s="213"/>
      <c r="B130" s="214"/>
      <c r="C130" s="216"/>
      <c r="D130" s="216"/>
      <c r="E130" s="216"/>
      <c r="F130" s="216"/>
      <c r="G130" s="216"/>
      <c r="H130" s="216"/>
      <c r="I130" s="216"/>
      <c r="J130" s="216"/>
      <c r="K130" s="5"/>
      <c r="L130" s="5"/>
      <c r="M130" s="5"/>
      <c r="N130" s="5"/>
      <c r="O130" s="5"/>
      <c r="P130" s="5"/>
      <c r="Q130" s="5"/>
      <c r="R130" s="5"/>
    </row>
    <row r="131" ht="12.75" hidden="1" customHeight="1">
      <c r="A131" s="213"/>
      <c r="B131" s="214"/>
      <c r="C131" s="216"/>
      <c r="D131" s="216"/>
      <c r="E131" s="216"/>
      <c r="F131" s="216"/>
      <c r="G131" s="216"/>
      <c r="H131" s="216"/>
      <c r="I131" s="216"/>
      <c r="J131" s="216"/>
      <c r="K131" s="5"/>
      <c r="L131" s="5"/>
      <c r="M131" s="5"/>
      <c r="N131" s="5"/>
      <c r="O131" s="5"/>
      <c r="P131" s="5"/>
      <c r="Q131" s="5"/>
      <c r="R131" s="5"/>
    </row>
    <row r="132" ht="12.75" hidden="1" customHeight="1">
      <c r="A132" s="213"/>
      <c r="B132" s="214"/>
      <c r="C132" s="216"/>
      <c r="D132" s="216"/>
      <c r="E132" s="216"/>
      <c r="F132" s="216"/>
      <c r="G132" s="216"/>
      <c r="H132" s="216"/>
      <c r="I132" s="216"/>
      <c r="J132" s="216"/>
      <c r="K132" s="5"/>
      <c r="L132" s="5"/>
      <c r="M132" s="5"/>
      <c r="N132" s="5"/>
      <c r="O132" s="5"/>
      <c r="P132" s="5"/>
      <c r="Q132" s="5"/>
      <c r="R132" s="5"/>
    </row>
    <row r="133" ht="12.75" hidden="1" customHeight="1">
      <c r="A133" s="213"/>
      <c r="B133" s="214"/>
      <c r="C133" s="216"/>
      <c r="D133" s="216"/>
      <c r="E133" s="216"/>
      <c r="F133" s="216"/>
      <c r="G133" s="216"/>
      <c r="H133" s="216"/>
      <c r="I133" s="216"/>
      <c r="J133" s="216"/>
      <c r="K133" s="5"/>
      <c r="L133" s="5"/>
      <c r="M133" s="5"/>
      <c r="N133" s="5"/>
      <c r="O133" s="5"/>
      <c r="P133" s="5"/>
      <c r="Q133" s="5"/>
      <c r="R133" s="5"/>
    </row>
    <row r="134" ht="12.75" hidden="1" customHeight="1">
      <c r="A134" s="213"/>
      <c r="B134" s="214"/>
      <c r="C134" s="216"/>
      <c r="D134" s="216"/>
      <c r="E134" s="216"/>
      <c r="F134" s="216"/>
      <c r="G134" s="216"/>
      <c r="H134" s="216"/>
      <c r="I134" s="216"/>
      <c r="J134" s="216"/>
      <c r="K134" s="5"/>
      <c r="L134" s="5"/>
      <c r="M134" s="5"/>
      <c r="N134" s="5"/>
      <c r="O134" s="5"/>
      <c r="P134" s="5"/>
      <c r="Q134" s="5"/>
      <c r="R134" s="5"/>
    </row>
    <row r="135" ht="12.75" hidden="1" customHeight="1">
      <c r="A135" s="213"/>
      <c r="B135" s="214"/>
      <c r="C135" s="216"/>
      <c r="D135" s="216"/>
      <c r="E135" s="216"/>
      <c r="F135" s="216"/>
      <c r="G135" s="216"/>
      <c r="H135" s="216"/>
      <c r="I135" s="216"/>
      <c r="J135" s="216"/>
      <c r="K135" s="5"/>
      <c r="L135" s="5"/>
      <c r="M135" s="5"/>
      <c r="N135" s="5"/>
      <c r="O135" s="5"/>
      <c r="P135" s="5"/>
      <c r="Q135" s="5"/>
      <c r="R135" s="5"/>
    </row>
    <row r="136" ht="12.75" hidden="1" customHeight="1">
      <c r="A136" s="213"/>
      <c r="B136" s="214"/>
      <c r="C136" s="216"/>
      <c r="D136" s="216"/>
      <c r="E136" s="216"/>
      <c r="F136" s="216"/>
      <c r="G136" s="216"/>
      <c r="H136" s="216"/>
      <c r="I136" s="216"/>
      <c r="J136" s="216"/>
      <c r="K136" s="5"/>
      <c r="L136" s="5"/>
      <c r="M136" s="5"/>
      <c r="N136" s="5"/>
      <c r="O136" s="5"/>
      <c r="P136" s="5"/>
      <c r="Q136" s="5"/>
      <c r="R136" s="5"/>
    </row>
    <row r="137" ht="12.75" hidden="1" customHeight="1">
      <c r="A137" s="213"/>
      <c r="B137" s="214"/>
      <c r="C137" s="216"/>
      <c r="D137" s="216"/>
      <c r="E137" s="216"/>
      <c r="F137" s="216"/>
      <c r="G137" s="216"/>
      <c r="H137" s="216"/>
      <c r="I137" s="216"/>
      <c r="J137" s="216"/>
      <c r="K137" s="5"/>
      <c r="L137" s="5"/>
      <c r="M137" s="5"/>
      <c r="N137" s="5"/>
      <c r="O137" s="5"/>
      <c r="P137" s="5"/>
      <c r="Q137" s="5"/>
      <c r="R137" s="5"/>
    </row>
    <row r="138" ht="12.75" hidden="1" customHeight="1">
      <c r="A138" s="213"/>
      <c r="B138" s="214"/>
      <c r="C138" s="216"/>
      <c r="D138" s="216"/>
      <c r="E138" s="216"/>
      <c r="F138" s="216"/>
      <c r="G138" s="216"/>
      <c r="H138" s="216"/>
      <c r="I138" s="216"/>
      <c r="J138" s="216"/>
      <c r="K138" s="5"/>
      <c r="L138" s="5"/>
      <c r="M138" s="5"/>
      <c r="N138" s="5"/>
      <c r="O138" s="5"/>
      <c r="P138" s="5"/>
      <c r="Q138" s="5"/>
      <c r="R138" s="5"/>
    </row>
    <row r="139" ht="12.75" hidden="1" customHeight="1">
      <c r="A139" s="213"/>
      <c r="B139" s="214"/>
      <c r="C139" s="216"/>
      <c r="D139" s="216"/>
      <c r="E139" s="216"/>
      <c r="F139" s="216"/>
      <c r="G139" s="216"/>
      <c r="H139" s="216"/>
      <c r="I139" s="216"/>
      <c r="J139" s="216"/>
      <c r="K139" s="5"/>
      <c r="L139" s="5"/>
      <c r="M139" s="5"/>
      <c r="N139" s="5"/>
      <c r="O139" s="5"/>
      <c r="P139" s="5"/>
      <c r="Q139" s="5"/>
      <c r="R139" s="5"/>
    </row>
    <row r="140" ht="12.75" hidden="1" customHeight="1">
      <c r="A140" s="213"/>
      <c r="B140" s="214"/>
      <c r="C140" s="216"/>
      <c r="D140" s="216"/>
      <c r="E140" s="216"/>
      <c r="F140" s="216"/>
      <c r="G140" s="216"/>
      <c r="H140" s="216"/>
      <c r="I140" s="216"/>
      <c r="J140" s="216"/>
      <c r="K140" s="5"/>
      <c r="L140" s="5"/>
      <c r="M140" s="5"/>
      <c r="N140" s="5"/>
      <c r="O140" s="5"/>
      <c r="P140" s="5"/>
      <c r="Q140" s="5"/>
      <c r="R140" s="5"/>
    </row>
    <row r="141" ht="12.75" hidden="1" customHeight="1">
      <c r="A141" s="213"/>
      <c r="B141" s="214"/>
      <c r="C141" s="216"/>
      <c r="D141" s="216"/>
      <c r="E141" s="216"/>
      <c r="F141" s="216"/>
      <c r="G141" s="216"/>
      <c r="H141" s="216"/>
      <c r="I141" s="216"/>
      <c r="J141" s="216"/>
      <c r="K141" s="5"/>
      <c r="L141" s="5"/>
      <c r="M141" s="5"/>
      <c r="N141" s="5"/>
      <c r="O141" s="5"/>
      <c r="P141" s="5"/>
      <c r="Q141" s="5"/>
      <c r="R141" s="5"/>
    </row>
    <row r="142" ht="12.75" hidden="1" customHeight="1">
      <c r="A142" s="213"/>
      <c r="B142" s="214"/>
      <c r="C142" s="216"/>
      <c r="D142" s="216"/>
      <c r="E142" s="216"/>
      <c r="F142" s="216"/>
      <c r="G142" s="216"/>
      <c r="H142" s="216"/>
      <c r="I142" s="216"/>
      <c r="J142" s="216"/>
      <c r="K142" s="5"/>
      <c r="L142" s="5"/>
      <c r="M142" s="5"/>
      <c r="N142" s="5"/>
      <c r="O142" s="5"/>
      <c r="P142" s="5"/>
      <c r="Q142" s="5"/>
      <c r="R142" s="5"/>
    </row>
    <row r="143" ht="12.75" hidden="1" customHeight="1">
      <c r="A143" s="213"/>
      <c r="B143" s="214"/>
      <c r="C143" s="216"/>
      <c r="D143" s="216"/>
      <c r="E143" s="216"/>
      <c r="F143" s="216"/>
      <c r="G143" s="216"/>
      <c r="H143" s="216"/>
      <c r="I143" s="216"/>
      <c r="J143" s="216"/>
      <c r="K143" s="5"/>
      <c r="L143" s="5"/>
      <c r="M143" s="5"/>
      <c r="N143" s="5"/>
      <c r="O143" s="5"/>
      <c r="P143" s="5"/>
      <c r="Q143" s="5"/>
      <c r="R143" s="5"/>
    </row>
    <row r="144" ht="12.75" hidden="1" customHeight="1">
      <c r="A144" s="213"/>
      <c r="B144" s="214"/>
      <c r="C144" s="216"/>
      <c r="D144" s="216"/>
      <c r="E144" s="216"/>
      <c r="F144" s="216"/>
      <c r="G144" s="216"/>
      <c r="H144" s="216"/>
      <c r="I144" s="216"/>
      <c r="J144" s="216"/>
      <c r="K144" s="5"/>
      <c r="L144" s="5"/>
      <c r="M144" s="5"/>
      <c r="N144" s="5"/>
      <c r="O144" s="5"/>
      <c r="P144" s="5"/>
      <c r="Q144" s="5"/>
      <c r="R144" s="5"/>
    </row>
    <row r="145" ht="12.75" hidden="1" customHeight="1">
      <c r="A145" s="213"/>
      <c r="B145" s="214"/>
      <c r="C145" s="216"/>
      <c r="D145" s="216"/>
      <c r="E145" s="216"/>
      <c r="F145" s="216"/>
      <c r="G145" s="216"/>
      <c r="H145" s="216"/>
      <c r="I145" s="216"/>
      <c r="J145" s="216"/>
      <c r="K145" s="5"/>
      <c r="L145" s="5"/>
      <c r="M145" s="5"/>
      <c r="N145" s="5"/>
      <c r="O145" s="5"/>
      <c r="P145" s="5"/>
      <c r="Q145" s="5"/>
      <c r="R145" s="5"/>
    </row>
    <row r="146" ht="12.75" hidden="1" customHeight="1">
      <c r="A146" s="213"/>
      <c r="B146" s="214"/>
      <c r="C146" s="216"/>
      <c r="D146" s="216"/>
      <c r="E146" s="216"/>
      <c r="F146" s="216"/>
      <c r="G146" s="216"/>
      <c r="H146" s="216"/>
      <c r="I146" s="216"/>
      <c r="J146" s="216"/>
      <c r="K146" s="5"/>
      <c r="L146" s="5"/>
      <c r="M146" s="5"/>
      <c r="N146" s="5"/>
      <c r="O146" s="5"/>
      <c r="P146" s="5"/>
      <c r="Q146" s="5"/>
      <c r="R146" s="5"/>
    </row>
    <row r="147" ht="12.75" hidden="1" customHeight="1">
      <c r="A147" s="213"/>
      <c r="B147" s="214"/>
      <c r="C147" s="216"/>
      <c r="D147" s="216"/>
      <c r="E147" s="216"/>
      <c r="F147" s="216"/>
      <c r="G147" s="216"/>
      <c r="H147" s="216"/>
      <c r="I147" s="216"/>
      <c r="J147" s="216"/>
      <c r="K147" s="5"/>
      <c r="L147" s="5"/>
      <c r="M147" s="5"/>
      <c r="N147" s="5"/>
      <c r="O147" s="5"/>
      <c r="P147" s="5"/>
      <c r="Q147" s="5"/>
      <c r="R147" s="5"/>
    </row>
    <row r="148" ht="12.75" hidden="1" customHeight="1">
      <c r="A148" s="213"/>
      <c r="B148" s="214"/>
      <c r="C148" s="216"/>
      <c r="D148" s="216"/>
      <c r="E148" s="216"/>
      <c r="F148" s="216"/>
      <c r="G148" s="216"/>
      <c r="H148" s="216"/>
      <c r="I148" s="216"/>
      <c r="J148" s="216"/>
      <c r="K148" s="5"/>
      <c r="L148" s="5"/>
      <c r="M148" s="5"/>
      <c r="N148" s="5"/>
      <c r="O148" s="5"/>
      <c r="P148" s="5"/>
      <c r="Q148" s="5"/>
      <c r="R148" s="5"/>
    </row>
    <row r="149" ht="12.75" hidden="1" customHeight="1">
      <c r="A149" s="213"/>
      <c r="B149" s="214"/>
      <c r="C149" s="216"/>
      <c r="D149" s="216"/>
      <c r="E149" s="216"/>
      <c r="F149" s="216"/>
      <c r="G149" s="216"/>
      <c r="H149" s="216"/>
      <c r="I149" s="216"/>
      <c r="J149" s="216"/>
      <c r="K149" s="5"/>
      <c r="L149" s="5"/>
      <c r="M149" s="5"/>
      <c r="N149" s="5"/>
      <c r="O149" s="5"/>
      <c r="P149" s="5"/>
      <c r="Q149" s="5"/>
      <c r="R149" s="5"/>
    </row>
    <row r="150" ht="12.75" hidden="1" customHeight="1">
      <c r="A150" s="213"/>
      <c r="B150" s="214"/>
      <c r="C150" s="216"/>
      <c r="D150" s="216"/>
      <c r="E150" s="216"/>
      <c r="F150" s="216"/>
      <c r="G150" s="216"/>
      <c r="H150" s="216"/>
      <c r="I150" s="216"/>
      <c r="J150" s="216"/>
      <c r="K150" s="5"/>
      <c r="L150" s="5"/>
      <c r="M150" s="5"/>
      <c r="N150" s="5"/>
      <c r="O150" s="5"/>
      <c r="P150" s="5"/>
      <c r="Q150" s="5"/>
      <c r="R150" s="5"/>
    </row>
    <row r="151" ht="12.75" hidden="1" customHeight="1">
      <c r="A151" s="213"/>
      <c r="B151" s="214"/>
      <c r="C151" s="216"/>
      <c r="D151" s="216"/>
      <c r="E151" s="216"/>
      <c r="F151" s="216"/>
      <c r="G151" s="216"/>
      <c r="H151" s="216"/>
      <c r="I151" s="216"/>
      <c r="J151" s="216"/>
      <c r="K151" s="5"/>
      <c r="L151" s="5"/>
      <c r="M151" s="5"/>
      <c r="N151" s="5"/>
      <c r="O151" s="5"/>
      <c r="P151" s="5"/>
      <c r="Q151" s="5"/>
      <c r="R151" s="5"/>
    </row>
    <row r="152" ht="12.75" hidden="1" customHeight="1">
      <c r="A152" s="213"/>
      <c r="B152" s="214"/>
      <c r="C152" s="216"/>
      <c r="D152" s="216"/>
      <c r="E152" s="216"/>
      <c r="F152" s="216"/>
      <c r="G152" s="216"/>
      <c r="H152" s="216"/>
      <c r="I152" s="216"/>
      <c r="J152" s="216"/>
      <c r="K152" s="5"/>
      <c r="L152" s="5"/>
      <c r="M152" s="5"/>
      <c r="N152" s="5"/>
      <c r="O152" s="5"/>
      <c r="P152" s="5"/>
      <c r="Q152" s="5"/>
      <c r="R152" s="5"/>
    </row>
    <row r="153" ht="12.75" hidden="1" customHeight="1">
      <c r="A153" s="213"/>
      <c r="B153" s="214"/>
      <c r="C153" s="216"/>
      <c r="D153" s="216"/>
      <c r="E153" s="216"/>
      <c r="F153" s="216"/>
      <c r="G153" s="216"/>
      <c r="H153" s="216"/>
      <c r="I153" s="216"/>
      <c r="J153" s="216"/>
      <c r="K153" s="5"/>
      <c r="L153" s="5"/>
      <c r="M153" s="5"/>
      <c r="N153" s="5"/>
      <c r="O153" s="5"/>
      <c r="P153" s="5"/>
      <c r="Q153" s="5"/>
      <c r="R153" s="5"/>
    </row>
    <row r="154" ht="12.75" hidden="1" customHeight="1">
      <c r="A154" s="213"/>
      <c r="B154" s="214"/>
      <c r="C154" s="216"/>
      <c r="D154" s="216"/>
      <c r="E154" s="216"/>
      <c r="F154" s="216"/>
      <c r="G154" s="216"/>
      <c r="H154" s="216"/>
      <c r="I154" s="216"/>
      <c r="J154" s="216"/>
      <c r="K154" s="5"/>
      <c r="L154" s="5"/>
      <c r="M154" s="5"/>
      <c r="N154" s="5"/>
      <c r="O154" s="5"/>
      <c r="P154" s="5"/>
      <c r="Q154" s="5"/>
      <c r="R154" s="5"/>
    </row>
    <row r="155" ht="12.75" hidden="1" customHeight="1">
      <c r="A155" s="213"/>
      <c r="B155" s="214"/>
      <c r="C155" s="216"/>
      <c r="D155" s="216"/>
      <c r="E155" s="216"/>
      <c r="F155" s="216"/>
      <c r="G155" s="216"/>
      <c r="H155" s="216"/>
      <c r="I155" s="216"/>
      <c r="J155" s="216"/>
      <c r="K155" s="5"/>
      <c r="L155" s="5"/>
      <c r="M155" s="5"/>
      <c r="N155" s="5"/>
      <c r="O155" s="5"/>
      <c r="P155" s="5"/>
      <c r="Q155" s="5"/>
      <c r="R155" s="5"/>
    </row>
    <row r="156" ht="12.75" hidden="1" customHeight="1">
      <c r="A156" s="213"/>
      <c r="B156" s="214"/>
      <c r="C156" s="216"/>
      <c r="D156" s="216"/>
      <c r="E156" s="216"/>
      <c r="F156" s="216"/>
      <c r="G156" s="216"/>
      <c r="H156" s="216"/>
      <c r="I156" s="216"/>
      <c r="J156" s="216"/>
      <c r="K156" s="5"/>
      <c r="L156" s="5"/>
      <c r="M156" s="5"/>
      <c r="N156" s="5"/>
      <c r="O156" s="5"/>
      <c r="P156" s="5"/>
      <c r="Q156" s="5"/>
      <c r="R156" s="5"/>
    </row>
    <row r="157" ht="12.75" hidden="1" customHeight="1">
      <c r="A157" s="213"/>
      <c r="B157" s="214"/>
      <c r="C157" s="216"/>
      <c r="D157" s="216"/>
      <c r="E157" s="216"/>
      <c r="F157" s="216"/>
      <c r="G157" s="216"/>
      <c r="H157" s="216"/>
      <c r="I157" s="216"/>
      <c r="J157" s="216"/>
      <c r="K157" s="5"/>
      <c r="L157" s="5"/>
      <c r="M157" s="5"/>
      <c r="N157" s="5"/>
      <c r="O157" s="5"/>
      <c r="P157" s="5"/>
      <c r="Q157" s="5"/>
      <c r="R157" s="5"/>
    </row>
    <row r="158" ht="12.75" hidden="1" customHeight="1">
      <c r="A158" s="213"/>
      <c r="B158" s="214"/>
      <c r="C158" s="216"/>
      <c r="D158" s="216"/>
      <c r="E158" s="216"/>
      <c r="F158" s="216"/>
      <c r="G158" s="216"/>
      <c r="H158" s="216"/>
      <c r="I158" s="216"/>
      <c r="J158" s="216"/>
      <c r="K158" s="5"/>
      <c r="L158" s="5"/>
      <c r="M158" s="5"/>
      <c r="N158" s="5"/>
      <c r="O158" s="5"/>
      <c r="P158" s="5"/>
      <c r="Q158" s="5"/>
      <c r="R158" s="5"/>
    </row>
    <row r="159" ht="12.75" hidden="1" customHeight="1">
      <c r="A159" s="213"/>
      <c r="B159" s="214"/>
      <c r="C159" s="216"/>
      <c r="D159" s="216"/>
      <c r="E159" s="216"/>
      <c r="F159" s="216"/>
      <c r="G159" s="216"/>
      <c r="H159" s="216"/>
      <c r="I159" s="216"/>
      <c r="J159" s="216"/>
      <c r="K159" s="5"/>
      <c r="L159" s="5"/>
      <c r="M159" s="5"/>
      <c r="N159" s="5"/>
      <c r="O159" s="5"/>
      <c r="P159" s="5"/>
      <c r="Q159" s="5"/>
      <c r="R159" s="5"/>
    </row>
    <row r="160" ht="12.75" hidden="1" customHeight="1">
      <c r="A160" s="213"/>
      <c r="B160" s="214"/>
      <c r="C160" s="216"/>
      <c r="D160" s="216"/>
      <c r="E160" s="216"/>
      <c r="F160" s="216"/>
      <c r="G160" s="216"/>
      <c r="H160" s="216"/>
      <c r="I160" s="216"/>
      <c r="J160" s="216"/>
      <c r="K160" s="5"/>
      <c r="L160" s="5"/>
      <c r="M160" s="5"/>
      <c r="N160" s="5"/>
      <c r="O160" s="5"/>
      <c r="P160" s="5"/>
      <c r="Q160" s="5"/>
      <c r="R160" s="5"/>
    </row>
    <row r="161" ht="12.75" hidden="1" customHeight="1">
      <c r="A161" s="213"/>
      <c r="B161" s="214"/>
      <c r="C161" s="216"/>
      <c r="D161" s="216"/>
      <c r="E161" s="216"/>
      <c r="F161" s="216"/>
      <c r="G161" s="216"/>
      <c r="H161" s="216"/>
      <c r="I161" s="216"/>
      <c r="J161" s="216"/>
      <c r="K161" s="5"/>
      <c r="L161" s="5"/>
      <c r="M161" s="5"/>
      <c r="N161" s="5"/>
      <c r="O161" s="5"/>
      <c r="P161" s="5"/>
      <c r="Q161" s="5"/>
      <c r="R161" s="5"/>
    </row>
    <row r="162" ht="12.75" hidden="1" customHeight="1">
      <c r="A162" s="213"/>
      <c r="B162" s="214"/>
      <c r="C162" s="216"/>
      <c r="D162" s="216"/>
      <c r="E162" s="216"/>
      <c r="F162" s="216"/>
      <c r="G162" s="216"/>
      <c r="H162" s="216"/>
      <c r="I162" s="216"/>
      <c r="J162" s="216"/>
      <c r="K162" s="5"/>
      <c r="L162" s="5"/>
      <c r="M162" s="5"/>
      <c r="N162" s="5"/>
      <c r="O162" s="5"/>
      <c r="P162" s="5"/>
      <c r="Q162" s="5"/>
      <c r="R162" s="5"/>
    </row>
    <row r="163" ht="12.75" hidden="1" customHeight="1">
      <c r="A163" s="213"/>
      <c r="B163" s="214"/>
      <c r="C163" s="216"/>
      <c r="D163" s="216"/>
      <c r="E163" s="216"/>
      <c r="F163" s="216"/>
      <c r="G163" s="216"/>
      <c r="H163" s="216"/>
      <c r="I163" s="216"/>
      <c r="J163" s="216"/>
      <c r="K163" s="5"/>
      <c r="L163" s="5"/>
      <c r="M163" s="5"/>
      <c r="N163" s="5"/>
      <c r="O163" s="5"/>
      <c r="P163" s="5"/>
      <c r="Q163" s="5"/>
      <c r="R163" s="5"/>
    </row>
    <row r="164" ht="12.75" hidden="1" customHeight="1">
      <c r="A164" s="213"/>
      <c r="B164" s="214"/>
      <c r="C164" s="216"/>
      <c r="D164" s="216"/>
      <c r="E164" s="216"/>
      <c r="F164" s="216"/>
      <c r="G164" s="216"/>
      <c r="H164" s="216"/>
      <c r="I164" s="216"/>
      <c r="J164" s="216"/>
      <c r="K164" s="5"/>
      <c r="L164" s="5"/>
      <c r="M164" s="5"/>
      <c r="N164" s="5"/>
      <c r="O164" s="5"/>
      <c r="P164" s="5"/>
      <c r="Q164" s="5"/>
      <c r="R164" s="5"/>
    </row>
    <row r="165" ht="12.75" hidden="1" customHeight="1">
      <c r="A165" s="213"/>
      <c r="B165" s="214"/>
      <c r="C165" s="216"/>
      <c r="D165" s="216"/>
      <c r="E165" s="216"/>
      <c r="F165" s="216"/>
      <c r="G165" s="216"/>
      <c r="H165" s="216"/>
      <c r="I165" s="216"/>
      <c r="J165" s="216"/>
      <c r="K165" s="5"/>
      <c r="L165" s="5"/>
      <c r="M165" s="5"/>
      <c r="N165" s="5"/>
      <c r="O165" s="5"/>
      <c r="P165" s="5"/>
      <c r="Q165" s="5"/>
      <c r="R165" s="5"/>
    </row>
    <row r="166" ht="12.75" hidden="1" customHeight="1">
      <c r="A166" s="213"/>
      <c r="B166" s="214"/>
      <c r="C166" s="216"/>
      <c r="D166" s="216"/>
      <c r="E166" s="216"/>
      <c r="F166" s="216"/>
      <c r="G166" s="216"/>
      <c r="H166" s="216"/>
      <c r="I166" s="216"/>
      <c r="J166" s="216"/>
      <c r="K166" s="5"/>
      <c r="L166" s="5"/>
      <c r="M166" s="5"/>
      <c r="N166" s="5"/>
      <c r="O166" s="5"/>
      <c r="P166" s="5"/>
      <c r="Q166" s="5"/>
      <c r="R166" s="5"/>
    </row>
    <row r="167" ht="12.75" hidden="1" customHeight="1">
      <c r="A167" s="213"/>
      <c r="B167" s="214"/>
      <c r="C167" s="216"/>
      <c r="D167" s="216"/>
      <c r="E167" s="216"/>
      <c r="F167" s="216"/>
      <c r="G167" s="216"/>
      <c r="H167" s="216"/>
      <c r="I167" s="216"/>
      <c r="J167" s="216"/>
      <c r="K167" s="5"/>
      <c r="L167" s="5"/>
      <c r="M167" s="5"/>
      <c r="N167" s="5"/>
      <c r="O167" s="5"/>
      <c r="P167" s="5"/>
      <c r="Q167" s="5"/>
      <c r="R167" s="5"/>
    </row>
    <row r="168" ht="12.75" hidden="1" customHeight="1">
      <c r="A168" s="213"/>
      <c r="B168" s="214"/>
      <c r="C168" s="216"/>
      <c r="D168" s="216"/>
      <c r="E168" s="216"/>
      <c r="F168" s="216"/>
      <c r="G168" s="216"/>
      <c r="H168" s="216"/>
      <c r="I168" s="216"/>
      <c r="J168" s="216"/>
      <c r="K168" s="5"/>
      <c r="L168" s="5"/>
      <c r="M168" s="5"/>
      <c r="N168" s="5"/>
      <c r="O168" s="5"/>
      <c r="P168" s="5"/>
      <c r="Q168" s="5"/>
      <c r="R168" s="5"/>
    </row>
    <row r="169" ht="12.75" hidden="1" customHeight="1">
      <c r="A169" s="213"/>
      <c r="B169" s="214"/>
      <c r="C169" s="216"/>
      <c r="D169" s="216"/>
      <c r="E169" s="216"/>
      <c r="F169" s="216"/>
      <c r="G169" s="216"/>
      <c r="H169" s="216"/>
      <c r="I169" s="216"/>
      <c r="J169" s="216"/>
      <c r="K169" s="5"/>
      <c r="L169" s="5"/>
      <c r="M169" s="5"/>
      <c r="N169" s="5"/>
      <c r="O169" s="5"/>
      <c r="P169" s="5"/>
      <c r="Q169" s="5"/>
      <c r="R169" s="5"/>
    </row>
    <row r="170" ht="12.75" hidden="1" customHeight="1">
      <c r="A170" s="213"/>
      <c r="B170" s="214"/>
      <c r="C170" s="216"/>
      <c r="D170" s="216"/>
      <c r="E170" s="216"/>
      <c r="F170" s="216"/>
      <c r="G170" s="216"/>
      <c r="H170" s="216"/>
      <c r="I170" s="216"/>
      <c r="J170" s="216"/>
      <c r="K170" s="5"/>
      <c r="L170" s="5"/>
      <c r="M170" s="5"/>
      <c r="N170" s="5"/>
      <c r="O170" s="5"/>
      <c r="P170" s="5"/>
      <c r="Q170" s="5"/>
      <c r="R170" s="5"/>
    </row>
    <row r="171" ht="12.75" hidden="1" customHeight="1">
      <c r="A171" s="213"/>
      <c r="B171" s="214"/>
      <c r="C171" s="216"/>
      <c r="D171" s="216"/>
      <c r="E171" s="216"/>
      <c r="F171" s="216"/>
      <c r="G171" s="216"/>
      <c r="H171" s="216"/>
      <c r="I171" s="216"/>
      <c r="J171" s="216"/>
      <c r="K171" s="5"/>
      <c r="L171" s="5"/>
      <c r="M171" s="5"/>
      <c r="N171" s="5"/>
      <c r="O171" s="5"/>
      <c r="P171" s="5"/>
      <c r="Q171" s="5"/>
      <c r="R171" s="5"/>
    </row>
    <row r="172" ht="12.75" hidden="1" customHeight="1">
      <c r="A172" s="213"/>
      <c r="B172" s="214"/>
      <c r="C172" s="216"/>
      <c r="D172" s="216"/>
      <c r="E172" s="216"/>
      <c r="F172" s="216"/>
      <c r="G172" s="216"/>
      <c r="H172" s="216"/>
      <c r="I172" s="216"/>
      <c r="J172" s="216"/>
      <c r="K172" s="5"/>
      <c r="L172" s="5"/>
      <c r="M172" s="5"/>
      <c r="N172" s="5"/>
      <c r="O172" s="5"/>
      <c r="P172" s="5"/>
      <c r="Q172" s="5"/>
      <c r="R172" s="5"/>
    </row>
    <row r="173" ht="12.75" hidden="1" customHeight="1">
      <c r="A173" s="213"/>
      <c r="B173" s="214"/>
      <c r="C173" s="216"/>
      <c r="D173" s="216"/>
      <c r="E173" s="216"/>
      <c r="F173" s="216"/>
      <c r="G173" s="216"/>
      <c r="H173" s="216"/>
      <c r="I173" s="216"/>
      <c r="J173" s="216"/>
      <c r="K173" s="5"/>
      <c r="L173" s="5"/>
      <c r="M173" s="5"/>
      <c r="N173" s="5"/>
      <c r="O173" s="5"/>
      <c r="P173" s="5"/>
      <c r="Q173" s="5"/>
      <c r="R173" s="5"/>
    </row>
    <row r="174" ht="12.75" hidden="1" customHeight="1">
      <c r="A174" s="213"/>
      <c r="B174" s="214"/>
      <c r="C174" s="216"/>
      <c r="D174" s="216"/>
      <c r="E174" s="216"/>
      <c r="F174" s="216"/>
      <c r="G174" s="216"/>
      <c r="H174" s="216"/>
      <c r="I174" s="216"/>
      <c r="J174" s="216"/>
      <c r="K174" s="5"/>
      <c r="L174" s="5"/>
      <c r="M174" s="5"/>
      <c r="N174" s="5"/>
      <c r="O174" s="5"/>
      <c r="P174" s="5"/>
      <c r="Q174" s="5"/>
      <c r="R174" s="5"/>
    </row>
    <row r="175" ht="12.75" hidden="1" customHeight="1">
      <c r="A175" s="213"/>
      <c r="B175" s="214"/>
      <c r="C175" s="216"/>
      <c r="D175" s="216"/>
      <c r="E175" s="216"/>
      <c r="F175" s="216"/>
      <c r="G175" s="216"/>
      <c r="H175" s="216"/>
      <c r="I175" s="216"/>
      <c r="J175" s="216"/>
      <c r="K175" s="5"/>
      <c r="L175" s="5"/>
      <c r="M175" s="5"/>
      <c r="N175" s="5"/>
      <c r="O175" s="5"/>
      <c r="P175" s="5"/>
      <c r="Q175" s="5"/>
      <c r="R175" s="5"/>
    </row>
    <row r="176" ht="12.75" hidden="1" customHeight="1">
      <c r="A176" s="213"/>
      <c r="B176" s="214"/>
      <c r="C176" s="216"/>
      <c r="D176" s="216"/>
      <c r="E176" s="216"/>
      <c r="F176" s="216"/>
      <c r="G176" s="216"/>
      <c r="H176" s="216"/>
      <c r="I176" s="216"/>
      <c r="J176" s="216"/>
      <c r="K176" s="5"/>
      <c r="L176" s="5"/>
      <c r="M176" s="5"/>
      <c r="N176" s="5"/>
      <c r="O176" s="5"/>
      <c r="P176" s="5"/>
      <c r="Q176" s="5"/>
      <c r="R176" s="5"/>
    </row>
    <row r="177" ht="12.75" hidden="1" customHeight="1">
      <c r="A177" s="213"/>
      <c r="B177" s="214"/>
      <c r="C177" s="216"/>
      <c r="D177" s="216"/>
      <c r="E177" s="216"/>
      <c r="F177" s="216"/>
      <c r="G177" s="216"/>
      <c r="H177" s="216"/>
      <c r="I177" s="216"/>
      <c r="J177" s="216"/>
      <c r="K177" s="5"/>
      <c r="L177" s="5"/>
      <c r="M177" s="5"/>
      <c r="N177" s="5"/>
      <c r="O177" s="5"/>
      <c r="P177" s="5"/>
      <c r="Q177" s="5"/>
      <c r="R177" s="5"/>
    </row>
    <row r="178" ht="12.75" hidden="1" customHeight="1">
      <c r="A178" s="213"/>
      <c r="B178" s="214"/>
      <c r="C178" s="216"/>
      <c r="D178" s="216"/>
      <c r="E178" s="216"/>
      <c r="F178" s="216"/>
      <c r="G178" s="216"/>
      <c r="H178" s="216"/>
      <c r="I178" s="216"/>
      <c r="J178" s="216"/>
      <c r="K178" s="5"/>
      <c r="L178" s="5"/>
      <c r="M178" s="5"/>
      <c r="N178" s="5"/>
      <c r="O178" s="5"/>
      <c r="P178" s="5"/>
      <c r="Q178" s="5"/>
      <c r="R178" s="5"/>
    </row>
    <row r="179" ht="12.75" hidden="1" customHeight="1">
      <c r="A179" s="213"/>
      <c r="B179" s="214"/>
      <c r="C179" s="216"/>
      <c r="D179" s="216"/>
      <c r="E179" s="216"/>
      <c r="F179" s="216"/>
      <c r="G179" s="216"/>
      <c r="H179" s="216"/>
      <c r="I179" s="216"/>
      <c r="J179" s="216"/>
      <c r="K179" s="5"/>
      <c r="L179" s="5"/>
      <c r="M179" s="5"/>
      <c r="N179" s="5"/>
      <c r="O179" s="5"/>
      <c r="P179" s="5"/>
      <c r="Q179" s="5"/>
      <c r="R179" s="5"/>
    </row>
    <row r="180" ht="12.75" hidden="1" customHeight="1">
      <c r="A180" s="213"/>
      <c r="B180" s="214"/>
      <c r="C180" s="216"/>
      <c r="D180" s="216"/>
      <c r="E180" s="216"/>
      <c r="F180" s="216"/>
      <c r="G180" s="216"/>
      <c r="H180" s="216"/>
      <c r="I180" s="216"/>
      <c r="J180" s="216"/>
      <c r="K180" s="5"/>
      <c r="L180" s="5"/>
      <c r="M180" s="5"/>
      <c r="N180" s="5"/>
      <c r="O180" s="5"/>
      <c r="P180" s="5"/>
      <c r="Q180" s="5"/>
      <c r="R180" s="5"/>
    </row>
    <row r="181" ht="12.75" hidden="1" customHeight="1">
      <c r="A181" s="213"/>
      <c r="B181" s="214"/>
      <c r="C181" s="216"/>
      <c r="D181" s="216"/>
      <c r="E181" s="216"/>
      <c r="F181" s="216"/>
      <c r="G181" s="216"/>
      <c r="H181" s="216"/>
      <c r="I181" s="216"/>
      <c r="J181" s="216"/>
      <c r="K181" s="5"/>
      <c r="L181" s="5"/>
      <c r="M181" s="5"/>
      <c r="N181" s="5"/>
      <c r="O181" s="5"/>
      <c r="P181" s="5"/>
      <c r="Q181" s="5"/>
      <c r="R181" s="5"/>
    </row>
    <row r="182" ht="12.75" hidden="1" customHeight="1">
      <c r="A182" s="213"/>
      <c r="B182" s="214"/>
      <c r="C182" s="216"/>
      <c r="D182" s="216"/>
      <c r="E182" s="216"/>
      <c r="F182" s="216"/>
      <c r="G182" s="216"/>
      <c r="H182" s="216"/>
      <c r="I182" s="216"/>
      <c r="J182" s="216"/>
      <c r="K182" s="5"/>
      <c r="L182" s="5"/>
      <c r="M182" s="5"/>
      <c r="N182" s="5"/>
      <c r="O182" s="5"/>
      <c r="P182" s="5"/>
      <c r="Q182" s="5"/>
      <c r="R182" s="5"/>
    </row>
    <row r="183" ht="12.75" hidden="1" customHeight="1">
      <c r="A183" s="213"/>
      <c r="B183" s="214"/>
      <c r="C183" s="216"/>
      <c r="D183" s="216"/>
      <c r="E183" s="216"/>
      <c r="F183" s="216"/>
      <c r="G183" s="216"/>
      <c r="H183" s="216"/>
      <c r="I183" s="216"/>
      <c r="J183" s="216"/>
      <c r="K183" s="5"/>
      <c r="L183" s="5"/>
      <c r="M183" s="5"/>
      <c r="N183" s="5"/>
      <c r="O183" s="5"/>
      <c r="P183" s="5"/>
      <c r="Q183" s="5"/>
      <c r="R183" s="5"/>
    </row>
    <row r="184" ht="12.75" hidden="1" customHeight="1">
      <c r="A184" s="213"/>
      <c r="B184" s="214"/>
      <c r="C184" s="216"/>
      <c r="D184" s="216"/>
      <c r="E184" s="216"/>
      <c r="F184" s="216"/>
      <c r="G184" s="216"/>
      <c r="H184" s="216"/>
      <c r="I184" s="216"/>
      <c r="J184" s="216"/>
      <c r="K184" s="5"/>
      <c r="L184" s="5"/>
      <c r="M184" s="5"/>
      <c r="N184" s="5"/>
      <c r="O184" s="5"/>
      <c r="P184" s="5"/>
      <c r="Q184" s="5"/>
      <c r="R184" s="5"/>
    </row>
    <row r="185" ht="12.75" hidden="1" customHeight="1">
      <c r="A185" s="213"/>
      <c r="B185" s="214"/>
      <c r="C185" s="216"/>
      <c r="D185" s="216"/>
      <c r="E185" s="216"/>
      <c r="F185" s="216"/>
      <c r="G185" s="216"/>
      <c r="H185" s="216"/>
      <c r="I185" s="216"/>
      <c r="J185" s="216"/>
      <c r="K185" s="5"/>
      <c r="L185" s="5"/>
      <c r="M185" s="5"/>
      <c r="N185" s="5"/>
      <c r="O185" s="5"/>
      <c r="P185" s="5"/>
      <c r="Q185" s="5"/>
      <c r="R185" s="5"/>
    </row>
    <row r="186" ht="12.75" hidden="1" customHeight="1">
      <c r="A186" s="213"/>
      <c r="B186" s="214"/>
      <c r="C186" s="216"/>
      <c r="D186" s="216"/>
      <c r="E186" s="216"/>
      <c r="F186" s="216"/>
      <c r="G186" s="216"/>
      <c r="H186" s="216"/>
      <c r="I186" s="216"/>
      <c r="J186" s="216"/>
      <c r="K186" s="5"/>
      <c r="L186" s="5"/>
      <c r="M186" s="5"/>
      <c r="N186" s="5"/>
      <c r="O186" s="5"/>
      <c r="P186" s="5"/>
      <c r="Q186" s="5"/>
      <c r="R186" s="5"/>
    </row>
    <row r="187" ht="12.75" hidden="1" customHeight="1">
      <c r="A187" s="213"/>
      <c r="B187" s="214"/>
      <c r="C187" s="216"/>
      <c r="D187" s="216"/>
      <c r="E187" s="216"/>
      <c r="F187" s="216"/>
      <c r="G187" s="216"/>
      <c r="H187" s="216"/>
      <c r="I187" s="216"/>
      <c r="J187" s="216"/>
      <c r="K187" s="5"/>
      <c r="L187" s="5"/>
      <c r="M187" s="5"/>
      <c r="N187" s="5"/>
      <c r="O187" s="5"/>
      <c r="P187" s="5"/>
      <c r="Q187" s="5"/>
      <c r="R187" s="5"/>
    </row>
    <row r="188" ht="12.75" hidden="1" customHeight="1">
      <c r="A188" s="213"/>
      <c r="B188" s="214"/>
      <c r="C188" s="216"/>
      <c r="D188" s="216"/>
      <c r="E188" s="216"/>
      <c r="F188" s="216"/>
      <c r="G188" s="216"/>
      <c r="H188" s="216"/>
      <c r="I188" s="216"/>
      <c r="J188" s="216"/>
      <c r="K188" s="5"/>
      <c r="L188" s="5"/>
      <c r="M188" s="5"/>
      <c r="N188" s="5"/>
      <c r="O188" s="5"/>
      <c r="P188" s="5"/>
      <c r="Q188" s="5"/>
      <c r="R188" s="5"/>
    </row>
    <row r="189" ht="12.75" hidden="1" customHeight="1">
      <c r="A189" s="213"/>
      <c r="B189" s="214"/>
      <c r="C189" s="216"/>
      <c r="D189" s="216"/>
      <c r="E189" s="216"/>
      <c r="F189" s="216"/>
      <c r="G189" s="216"/>
      <c r="H189" s="216"/>
      <c r="I189" s="216"/>
      <c r="J189" s="216"/>
      <c r="K189" s="5"/>
      <c r="L189" s="5"/>
      <c r="M189" s="5"/>
      <c r="N189" s="5"/>
      <c r="O189" s="5"/>
      <c r="P189" s="5"/>
      <c r="Q189" s="5"/>
      <c r="R189" s="5"/>
    </row>
    <row r="190" ht="12.75" hidden="1" customHeight="1">
      <c r="A190" s="213"/>
      <c r="B190" s="214"/>
      <c r="C190" s="216"/>
      <c r="D190" s="216"/>
      <c r="E190" s="216"/>
      <c r="F190" s="216"/>
      <c r="G190" s="216"/>
      <c r="H190" s="216"/>
      <c r="I190" s="216"/>
      <c r="J190" s="216"/>
      <c r="K190" s="5"/>
      <c r="L190" s="5"/>
      <c r="M190" s="5"/>
      <c r="N190" s="5"/>
      <c r="O190" s="5"/>
      <c r="P190" s="5"/>
      <c r="Q190" s="5"/>
      <c r="R190" s="5"/>
    </row>
    <row r="191" ht="12.75" hidden="1" customHeight="1">
      <c r="A191" s="213"/>
      <c r="B191" s="214"/>
      <c r="C191" s="216"/>
      <c r="D191" s="216"/>
      <c r="E191" s="216"/>
      <c r="F191" s="216"/>
      <c r="G191" s="216"/>
      <c r="H191" s="216"/>
      <c r="I191" s="216"/>
      <c r="J191" s="216"/>
      <c r="K191" s="5"/>
      <c r="L191" s="5"/>
      <c r="M191" s="5"/>
      <c r="N191" s="5"/>
      <c r="O191" s="5"/>
      <c r="P191" s="5"/>
      <c r="Q191" s="5"/>
      <c r="R191" s="5"/>
    </row>
    <row r="192" ht="12.75" hidden="1" customHeight="1">
      <c r="A192" s="213"/>
      <c r="B192" s="214"/>
      <c r="C192" s="216"/>
      <c r="D192" s="216"/>
      <c r="E192" s="216"/>
      <c r="F192" s="216"/>
      <c r="G192" s="216"/>
      <c r="H192" s="216"/>
      <c r="I192" s="216"/>
      <c r="J192" s="216"/>
      <c r="K192" s="5"/>
      <c r="L192" s="5"/>
      <c r="M192" s="5"/>
      <c r="N192" s="5"/>
      <c r="O192" s="5"/>
      <c r="P192" s="5"/>
      <c r="Q192" s="5"/>
      <c r="R192" s="5"/>
    </row>
    <row r="193" ht="12.75" hidden="1" customHeight="1">
      <c r="A193" s="213"/>
      <c r="B193" s="214"/>
      <c r="C193" s="216"/>
      <c r="D193" s="216"/>
      <c r="E193" s="216"/>
      <c r="F193" s="216"/>
      <c r="G193" s="216"/>
      <c r="H193" s="216"/>
      <c r="I193" s="216"/>
      <c r="J193" s="216"/>
      <c r="K193" s="5"/>
      <c r="L193" s="5"/>
      <c r="M193" s="5"/>
      <c r="N193" s="5"/>
      <c r="O193" s="5"/>
      <c r="P193" s="5"/>
      <c r="Q193" s="5"/>
      <c r="R193" s="5"/>
    </row>
    <row r="194" ht="12.75" hidden="1" customHeight="1">
      <c r="A194" s="213"/>
      <c r="B194" s="214"/>
      <c r="C194" s="216"/>
      <c r="D194" s="216"/>
      <c r="E194" s="216"/>
      <c r="F194" s="216"/>
      <c r="G194" s="216"/>
      <c r="H194" s="216"/>
      <c r="I194" s="216"/>
      <c r="J194" s="216"/>
      <c r="K194" s="5"/>
      <c r="L194" s="5"/>
      <c r="M194" s="5"/>
      <c r="N194" s="5"/>
      <c r="O194" s="5"/>
      <c r="P194" s="5"/>
      <c r="Q194" s="5"/>
      <c r="R194" s="5"/>
    </row>
    <row r="195" ht="12.75" hidden="1" customHeight="1">
      <c r="A195" s="213"/>
      <c r="B195" s="214"/>
      <c r="C195" s="216"/>
      <c r="D195" s="216"/>
      <c r="E195" s="216"/>
      <c r="F195" s="216"/>
      <c r="G195" s="216"/>
      <c r="H195" s="216"/>
      <c r="I195" s="216"/>
      <c r="J195" s="216"/>
      <c r="K195" s="5"/>
      <c r="L195" s="5"/>
      <c r="M195" s="5"/>
      <c r="N195" s="5"/>
      <c r="O195" s="5"/>
      <c r="P195" s="5"/>
      <c r="Q195" s="5"/>
      <c r="R195" s="5"/>
    </row>
    <row r="196" ht="12.75" hidden="1" customHeight="1">
      <c r="A196" s="213"/>
      <c r="B196" s="214"/>
      <c r="C196" s="216"/>
      <c r="D196" s="216"/>
      <c r="E196" s="216"/>
      <c r="F196" s="216"/>
      <c r="G196" s="216"/>
      <c r="H196" s="216"/>
      <c r="I196" s="216"/>
      <c r="J196" s="216"/>
      <c r="K196" s="5"/>
      <c r="L196" s="5"/>
      <c r="M196" s="5"/>
      <c r="N196" s="5"/>
      <c r="O196" s="5"/>
      <c r="P196" s="5"/>
      <c r="Q196" s="5"/>
      <c r="R196" s="5"/>
    </row>
    <row r="197" ht="12.75" hidden="1" customHeight="1">
      <c r="A197" s="213"/>
      <c r="B197" s="214"/>
      <c r="C197" s="216"/>
      <c r="D197" s="216"/>
      <c r="E197" s="216"/>
      <c r="F197" s="216"/>
      <c r="G197" s="216"/>
      <c r="H197" s="216"/>
      <c r="I197" s="216"/>
      <c r="J197" s="216"/>
      <c r="K197" s="5"/>
      <c r="L197" s="5"/>
      <c r="M197" s="5"/>
      <c r="N197" s="5"/>
      <c r="O197" s="5"/>
      <c r="P197" s="5"/>
      <c r="Q197" s="5"/>
      <c r="R197" s="5"/>
    </row>
    <row r="198" ht="12.75" hidden="1" customHeight="1">
      <c r="A198" s="213"/>
      <c r="B198" s="214"/>
      <c r="C198" s="216"/>
      <c r="D198" s="216"/>
      <c r="E198" s="216"/>
      <c r="F198" s="216"/>
      <c r="G198" s="216"/>
      <c r="H198" s="216"/>
      <c r="I198" s="216"/>
      <c r="J198" s="216"/>
      <c r="K198" s="5"/>
      <c r="L198" s="5"/>
      <c r="M198" s="5"/>
      <c r="N198" s="5"/>
      <c r="O198" s="5"/>
      <c r="P198" s="5"/>
      <c r="Q198" s="5"/>
      <c r="R198" s="5"/>
    </row>
    <row r="199" ht="12.75" hidden="1" customHeight="1">
      <c r="A199" s="213"/>
      <c r="B199" s="214"/>
      <c r="C199" s="216"/>
      <c r="D199" s="216"/>
      <c r="E199" s="216"/>
      <c r="F199" s="216"/>
      <c r="G199" s="216"/>
      <c r="H199" s="216"/>
      <c r="I199" s="216"/>
      <c r="J199" s="216"/>
      <c r="K199" s="5"/>
      <c r="L199" s="5"/>
      <c r="M199" s="5"/>
      <c r="N199" s="5"/>
      <c r="O199" s="5"/>
      <c r="P199" s="5"/>
      <c r="Q199" s="5"/>
      <c r="R199" s="5"/>
    </row>
    <row r="200" ht="12.75" hidden="1" customHeight="1">
      <c r="A200" s="213"/>
      <c r="B200" s="214"/>
      <c r="C200" s="216"/>
      <c r="D200" s="216"/>
      <c r="E200" s="216"/>
      <c r="F200" s="216"/>
      <c r="G200" s="216"/>
      <c r="H200" s="216"/>
      <c r="I200" s="216"/>
      <c r="J200" s="216"/>
      <c r="K200" s="5"/>
      <c r="L200" s="5"/>
      <c r="M200" s="5"/>
      <c r="N200" s="5"/>
      <c r="O200" s="5"/>
      <c r="P200" s="5"/>
      <c r="Q200" s="5"/>
      <c r="R200" s="5"/>
    </row>
    <row r="201" ht="12.75" hidden="1" customHeight="1">
      <c r="A201" s="213"/>
      <c r="B201" s="214"/>
      <c r="C201" s="216"/>
      <c r="D201" s="216"/>
      <c r="E201" s="216"/>
      <c r="F201" s="216"/>
      <c r="G201" s="216"/>
      <c r="H201" s="216"/>
      <c r="I201" s="216"/>
      <c r="J201" s="216"/>
      <c r="K201" s="5"/>
      <c r="L201" s="5"/>
      <c r="M201" s="5"/>
      <c r="N201" s="5"/>
      <c r="O201" s="5"/>
      <c r="P201" s="5"/>
      <c r="Q201" s="5"/>
      <c r="R201" s="5"/>
    </row>
    <row r="202" ht="12.75" hidden="1" customHeight="1">
      <c r="A202" s="213"/>
      <c r="B202" s="214"/>
      <c r="C202" s="216"/>
      <c r="D202" s="216"/>
      <c r="E202" s="216"/>
      <c r="F202" s="216"/>
      <c r="G202" s="216"/>
      <c r="H202" s="216"/>
      <c r="I202" s="216"/>
      <c r="J202" s="216"/>
      <c r="K202" s="5"/>
      <c r="L202" s="5"/>
      <c r="M202" s="5"/>
      <c r="N202" s="5"/>
      <c r="O202" s="5"/>
      <c r="P202" s="5"/>
      <c r="Q202" s="5"/>
      <c r="R202" s="5"/>
    </row>
    <row r="203" ht="12.75" hidden="1" customHeight="1">
      <c r="A203" s="213"/>
      <c r="B203" s="214"/>
      <c r="C203" s="216"/>
      <c r="D203" s="216"/>
      <c r="E203" s="216"/>
      <c r="F203" s="216"/>
      <c r="G203" s="216"/>
      <c r="H203" s="216"/>
      <c r="I203" s="216"/>
      <c r="J203" s="216"/>
      <c r="K203" s="5"/>
      <c r="L203" s="5"/>
      <c r="M203" s="5"/>
      <c r="N203" s="5"/>
      <c r="O203" s="5"/>
      <c r="P203" s="5"/>
      <c r="Q203" s="5"/>
      <c r="R203" s="5"/>
    </row>
    <row r="204" ht="12.75" hidden="1" customHeight="1">
      <c r="A204" s="213"/>
      <c r="B204" s="214"/>
      <c r="C204" s="216"/>
      <c r="D204" s="216"/>
      <c r="E204" s="216"/>
      <c r="F204" s="216"/>
      <c r="G204" s="216"/>
      <c r="H204" s="216"/>
      <c r="I204" s="216"/>
      <c r="J204" s="216"/>
      <c r="K204" s="5"/>
      <c r="L204" s="5"/>
      <c r="M204" s="5"/>
      <c r="N204" s="5"/>
      <c r="O204" s="5"/>
      <c r="P204" s="5"/>
      <c r="Q204" s="5"/>
      <c r="R204" s="5"/>
    </row>
    <row r="205" ht="12.75" hidden="1" customHeight="1">
      <c r="A205" s="213"/>
      <c r="B205" s="214"/>
      <c r="C205" s="216"/>
      <c r="D205" s="216"/>
      <c r="E205" s="216"/>
      <c r="F205" s="216"/>
      <c r="G205" s="216"/>
      <c r="H205" s="216"/>
      <c r="I205" s="216"/>
      <c r="J205" s="216"/>
      <c r="K205" s="5"/>
      <c r="L205" s="5"/>
      <c r="M205" s="5"/>
      <c r="N205" s="5"/>
      <c r="O205" s="5"/>
      <c r="P205" s="5"/>
      <c r="Q205" s="5"/>
      <c r="R205" s="5"/>
    </row>
    <row r="206" ht="12.75" hidden="1" customHeight="1">
      <c r="A206" s="213"/>
      <c r="B206" s="214"/>
      <c r="C206" s="216"/>
      <c r="D206" s="216"/>
      <c r="E206" s="216"/>
      <c r="F206" s="216"/>
      <c r="G206" s="216"/>
      <c r="H206" s="216"/>
      <c r="I206" s="216"/>
      <c r="J206" s="216"/>
      <c r="K206" s="5"/>
      <c r="L206" s="5"/>
      <c r="M206" s="5"/>
      <c r="N206" s="5"/>
      <c r="O206" s="5"/>
      <c r="P206" s="5"/>
      <c r="Q206" s="5"/>
      <c r="R206" s="5"/>
    </row>
    <row r="207" ht="12.75" hidden="1" customHeight="1">
      <c r="A207" s="213"/>
      <c r="B207" s="214"/>
      <c r="C207" s="216"/>
      <c r="D207" s="216"/>
      <c r="E207" s="216"/>
      <c r="F207" s="216"/>
      <c r="G207" s="216"/>
      <c r="H207" s="216"/>
      <c r="I207" s="216"/>
      <c r="J207" s="216"/>
      <c r="K207" s="5"/>
      <c r="L207" s="5"/>
      <c r="M207" s="5"/>
      <c r="N207" s="5"/>
      <c r="O207" s="5"/>
      <c r="P207" s="5"/>
      <c r="Q207" s="5"/>
      <c r="R207" s="5"/>
    </row>
    <row r="208" ht="12.75" hidden="1" customHeight="1">
      <c r="A208" s="213"/>
      <c r="B208" s="214"/>
      <c r="C208" s="216"/>
      <c r="D208" s="216"/>
      <c r="E208" s="216"/>
      <c r="F208" s="216"/>
      <c r="G208" s="216"/>
      <c r="H208" s="216"/>
      <c r="I208" s="216"/>
      <c r="J208" s="216"/>
      <c r="K208" s="5"/>
      <c r="L208" s="5"/>
      <c r="M208" s="5"/>
      <c r="N208" s="5"/>
      <c r="O208" s="5"/>
      <c r="P208" s="5"/>
      <c r="Q208" s="5"/>
      <c r="R208" s="5"/>
    </row>
    <row r="209" ht="12.75" hidden="1" customHeight="1">
      <c r="A209" s="213"/>
      <c r="B209" s="214"/>
      <c r="C209" s="216"/>
      <c r="D209" s="216"/>
      <c r="E209" s="216"/>
      <c r="F209" s="216"/>
      <c r="G209" s="216"/>
      <c r="H209" s="216"/>
      <c r="I209" s="216"/>
      <c r="J209" s="216"/>
      <c r="K209" s="5"/>
      <c r="L209" s="5"/>
      <c r="M209" s="5"/>
      <c r="N209" s="5"/>
      <c r="O209" s="5"/>
      <c r="P209" s="5"/>
      <c r="Q209" s="5"/>
      <c r="R209" s="5"/>
    </row>
    <row r="210" ht="12.75" hidden="1" customHeight="1">
      <c r="A210" s="213"/>
      <c r="B210" s="214"/>
      <c r="C210" s="216"/>
      <c r="D210" s="216"/>
      <c r="E210" s="216"/>
      <c r="F210" s="216"/>
      <c r="G210" s="216"/>
      <c r="H210" s="216"/>
      <c r="I210" s="216"/>
      <c r="J210" s="216"/>
      <c r="K210" s="5"/>
      <c r="L210" s="5"/>
      <c r="M210" s="5"/>
      <c r="N210" s="5"/>
      <c r="O210" s="5"/>
      <c r="P210" s="5"/>
      <c r="Q210" s="5"/>
      <c r="R210" s="5"/>
    </row>
    <row r="211" ht="12.75" hidden="1" customHeight="1">
      <c r="A211" s="213"/>
      <c r="B211" s="214"/>
      <c r="C211" s="216"/>
      <c r="D211" s="216"/>
      <c r="E211" s="216"/>
      <c r="F211" s="216"/>
      <c r="G211" s="216"/>
      <c r="H211" s="216"/>
      <c r="I211" s="216"/>
      <c r="J211" s="216"/>
      <c r="K211" s="5"/>
      <c r="L211" s="5"/>
      <c r="M211" s="5"/>
      <c r="N211" s="5"/>
      <c r="O211" s="5"/>
      <c r="P211" s="5"/>
      <c r="Q211" s="5"/>
      <c r="R211" s="5"/>
    </row>
    <row r="212" ht="12.75" hidden="1" customHeight="1">
      <c r="A212" s="213"/>
      <c r="B212" s="214"/>
      <c r="C212" s="216"/>
      <c r="D212" s="216"/>
      <c r="E212" s="216"/>
      <c r="F212" s="216"/>
      <c r="G212" s="216"/>
      <c r="H212" s="216"/>
      <c r="I212" s="216"/>
      <c r="J212" s="216"/>
      <c r="K212" s="5"/>
      <c r="L212" s="5"/>
      <c r="M212" s="5"/>
      <c r="N212" s="5"/>
      <c r="O212" s="5"/>
      <c r="P212" s="5"/>
      <c r="Q212" s="5"/>
      <c r="R212" s="5"/>
    </row>
    <row r="213" ht="12.75" hidden="1" customHeight="1">
      <c r="A213" s="213"/>
      <c r="B213" s="214"/>
      <c r="C213" s="216"/>
      <c r="D213" s="216"/>
      <c r="E213" s="216"/>
      <c r="F213" s="216"/>
      <c r="G213" s="216"/>
      <c r="H213" s="216"/>
      <c r="I213" s="216"/>
      <c r="J213" s="216"/>
      <c r="K213" s="5"/>
      <c r="L213" s="5"/>
      <c r="M213" s="5"/>
      <c r="N213" s="5"/>
      <c r="O213" s="5"/>
      <c r="P213" s="5"/>
      <c r="Q213" s="5"/>
      <c r="R213" s="5"/>
    </row>
    <row r="214" ht="12.75" hidden="1" customHeight="1">
      <c r="A214" s="213"/>
      <c r="B214" s="214"/>
      <c r="C214" s="216"/>
      <c r="D214" s="216"/>
      <c r="E214" s="216"/>
      <c r="F214" s="216"/>
      <c r="G214" s="216"/>
      <c r="H214" s="216"/>
      <c r="I214" s="216"/>
      <c r="J214" s="216"/>
      <c r="K214" s="5"/>
      <c r="L214" s="5"/>
      <c r="M214" s="5"/>
      <c r="N214" s="5"/>
      <c r="O214" s="5"/>
      <c r="P214" s="5"/>
      <c r="Q214" s="5"/>
      <c r="R214" s="5"/>
    </row>
    <row r="215" ht="12.75" hidden="1" customHeight="1">
      <c r="A215" s="213"/>
      <c r="B215" s="214"/>
      <c r="C215" s="216"/>
      <c r="D215" s="216"/>
      <c r="E215" s="216"/>
      <c r="F215" s="216"/>
      <c r="G215" s="216"/>
      <c r="H215" s="216"/>
      <c r="I215" s="216"/>
      <c r="J215" s="216"/>
      <c r="K215" s="5"/>
      <c r="L215" s="5"/>
      <c r="M215" s="5"/>
      <c r="N215" s="5"/>
      <c r="O215" s="5"/>
      <c r="P215" s="5"/>
      <c r="Q215" s="5"/>
      <c r="R215" s="5"/>
    </row>
    <row r="216" ht="12.75" hidden="1" customHeight="1">
      <c r="A216" s="213"/>
      <c r="B216" s="214"/>
      <c r="C216" s="216"/>
      <c r="D216" s="216"/>
      <c r="E216" s="216"/>
      <c r="F216" s="216"/>
      <c r="G216" s="216"/>
      <c r="H216" s="216"/>
      <c r="I216" s="216"/>
      <c r="J216" s="216"/>
      <c r="K216" s="5"/>
      <c r="L216" s="5"/>
      <c r="M216" s="5"/>
      <c r="N216" s="5"/>
      <c r="O216" s="5"/>
      <c r="P216" s="5"/>
      <c r="Q216" s="5"/>
      <c r="R216" s="5"/>
    </row>
    <row r="217" ht="12.75" hidden="1" customHeight="1">
      <c r="A217" s="213"/>
      <c r="B217" s="214"/>
      <c r="C217" s="216"/>
      <c r="D217" s="216"/>
      <c r="E217" s="216"/>
      <c r="F217" s="216"/>
      <c r="G217" s="216"/>
      <c r="H217" s="216"/>
      <c r="I217" s="216"/>
      <c r="J217" s="216"/>
      <c r="K217" s="5"/>
      <c r="L217" s="5"/>
      <c r="M217" s="5"/>
      <c r="N217" s="5"/>
      <c r="O217" s="5"/>
      <c r="P217" s="5"/>
      <c r="Q217" s="5"/>
      <c r="R217" s="5"/>
    </row>
    <row r="218" ht="12.75" hidden="1" customHeight="1">
      <c r="A218" s="213"/>
      <c r="B218" s="214"/>
      <c r="C218" s="216"/>
      <c r="D218" s="216"/>
      <c r="E218" s="216"/>
      <c r="F218" s="216"/>
      <c r="G218" s="216"/>
      <c r="H218" s="216"/>
      <c r="I218" s="216"/>
      <c r="J218" s="216"/>
      <c r="K218" s="5"/>
      <c r="L218" s="5"/>
      <c r="M218" s="5"/>
      <c r="N218" s="5"/>
      <c r="O218" s="5"/>
      <c r="P218" s="5"/>
      <c r="Q218" s="5"/>
      <c r="R218" s="5"/>
    </row>
    <row r="219" ht="12.75" hidden="1" customHeight="1">
      <c r="A219" s="213"/>
      <c r="B219" s="214"/>
      <c r="C219" s="216"/>
      <c r="D219" s="216"/>
      <c r="E219" s="216"/>
      <c r="F219" s="216"/>
      <c r="G219" s="216"/>
      <c r="H219" s="216"/>
      <c r="I219" s="216"/>
      <c r="J219" s="216"/>
      <c r="K219" s="5"/>
      <c r="L219" s="5"/>
      <c r="M219" s="5"/>
      <c r="N219" s="5"/>
      <c r="O219" s="5"/>
      <c r="P219" s="5"/>
      <c r="Q219" s="5"/>
      <c r="R219" s="5"/>
    </row>
    <row r="220" ht="12.75" hidden="1" customHeight="1">
      <c r="A220" s="213"/>
      <c r="B220" s="214"/>
      <c r="C220" s="216"/>
      <c r="D220" s="216"/>
      <c r="E220" s="216"/>
      <c r="F220" s="216"/>
      <c r="G220" s="216"/>
      <c r="H220" s="216"/>
      <c r="I220" s="216"/>
      <c r="J220" s="216"/>
      <c r="K220" s="5"/>
      <c r="L220" s="5"/>
      <c r="M220" s="5"/>
      <c r="N220" s="5"/>
      <c r="O220" s="5"/>
      <c r="P220" s="5"/>
      <c r="Q220" s="5"/>
      <c r="R220" s="5"/>
    </row>
    <row r="221" ht="12.75" hidden="1" customHeight="1">
      <c r="A221" s="213"/>
      <c r="B221" s="214"/>
      <c r="C221" s="216"/>
      <c r="D221" s="216"/>
      <c r="E221" s="216"/>
      <c r="F221" s="216"/>
      <c r="G221" s="216"/>
      <c r="H221" s="216"/>
      <c r="I221" s="216"/>
      <c r="J221" s="216"/>
      <c r="K221" s="5"/>
      <c r="L221" s="5"/>
      <c r="M221" s="5"/>
      <c r="N221" s="5"/>
      <c r="O221" s="5"/>
      <c r="P221" s="5"/>
      <c r="Q221" s="5"/>
      <c r="R221" s="5"/>
    </row>
    <row r="222" ht="12.75" hidden="1" customHeight="1">
      <c r="A222" s="213"/>
      <c r="B222" s="214"/>
      <c r="C222" s="216"/>
      <c r="D222" s="216"/>
      <c r="E222" s="216"/>
      <c r="F222" s="216"/>
      <c r="G222" s="216"/>
      <c r="H222" s="216"/>
      <c r="I222" s="216"/>
      <c r="J222" s="216"/>
      <c r="K222" s="5"/>
      <c r="L222" s="5"/>
      <c r="M222" s="5"/>
      <c r="N222" s="5"/>
      <c r="O222" s="5"/>
      <c r="P222" s="5"/>
      <c r="Q222" s="5"/>
      <c r="R222" s="5"/>
    </row>
    <row r="223" ht="12.75" hidden="1" customHeight="1">
      <c r="A223" s="213"/>
      <c r="B223" s="214"/>
      <c r="C223" s="216"/>
      <c r="D223" s="216"/>
      <c r="E223" s="216"/>
      <c r="F223" s="216"/>
      <c r="G223" s="216"/>
      <c r="H223" s="216"/>
      <c r="I223" s="216"/>
      <c r="J223" s="216"/>
      <c r="K223" s="5"/>
      <c r="L223" s="5"/>
      <c r="M223" s="5"/>
      <c r="N223" s="5"/>
      <c r="O223" s="5"/>
      <c r="P223" s="5"/>
      <c r="Q223" s="5"/>
      <c r="R223" s="5"/>
    </row>
    <row r="224" ht="12.75" hidden="1" customHeight="1">
      <c r="A224" s="213"/>
      <c r="B224" s="214"/>
      <c r="C224" s="216"/>
      <c r="D224" s="216"/>
      <c r="E224" s="216"/>
      <c r="F224" s="216"/>
      <c r="G224" s="216"/>
      <c r="H224" s="216"/>
      <c r="I224" s="216"/>
      <c r="J224" s="216"/>
      <c r="K224" s="5"/>
      <c r="L224" s="5"/>
      <c r="M224" s="5"/>
      <c r="N224" s="5"/>
      <c r="O224" s="5"/>
      <c r="P224" s="5"/>
      <c r="Q224" s="5"/>
      <c r="R224" s="5"/>
    </row>
    <row r="225" ht="12.75" hidden="1" customHeight="1">
      <c r="A225" s="213"/>
      <c r="B225" s="214"/>
      <c r="C225" s="216"/>
      <c r="D225" s="216"/>
      <c r="E225" s="216"/>
      <c r="F225" s="216"/>
      <c r="G225" s="216"/>
      <c r="H225" s="216"/>
      <c r="I225" s="216"/>
      <c r="J225" s="216"/>
      <c r="K225" s="5"/>
      <c r="L225" s="5"/>
      <c r="M225" s="5"/>
      <c r="N225" s="5"/>
      <c r="O225" s="5"/>
      <c r="P225" s="5"/>
      <c r="Q225" s="5"/>
      <c r="R225" s="5"/>
    </row>
    <row r="226" ht="12.75" hidden="1" customHeight="1">
      <c r="A226" s="213"/>
      <c r="B226" s="214"/>
      <c r="C226" s="216"/>
      <c r="D226" s="216"/>
      <c r="E226" s="216"/>
      <c r="F226" s="216"/>
      <c r="G226" s="216"/>
      <c r="H226" s="216"/>
      <c r="I226" s="216"/>
      <c r="J226" s="216"/>
      <c r="K226" s="5"/>
      <c r="L226" s="5"/>
      <c r="M226" s="5"/>
      <c r="N226" s="5"/>
      <c r="O226" s="5"/>
      <c r="P226" s="5"/>
      <c r="Q226" s="5"/>
      <c r="R226" s="5"/>
    </row>
    <row r="227" ht="12.75" hidden="1" customHeight="1">
      <c r="A227" s="213"/>
      <c r="B227" s="214"/>
      <c r="C227" s="216"/>
      <c r="D227" s="216"/>
      <c r="E227" s="216"/>
      <c r="F227" s="216"/>
      <c r="G227" s="216"/>
      <c r="H227" s="216"/>
      <c r="I227" s="216"/>
      <c r="J227" s="216"/>
      <c r="K227" s="5"/>
      <c r="L227" s="5"/>
      <c r="M227" s="5"/>
      <c r="N227" s="5"/>
      <c r="O227" s="5"/>
      <c r="P227" s="5"/>
      <c r="Q227" s="5"/>
      <c r="R227" s="5"/>
    </row>
    <row r="228" ht="12.75" hidden="1" customHeight="1">
      <c r="A228" s="213"/>
      <c r="B228" s="214"/>
      <c r="C228" s="216"/>
      <c r="D228" s="216"/>
      <c r="E228" s="216"/>
      <c r="F228" s="216"/>
      <c r="G228" s="216"/>
      <c r="H228" s="216"/>
      <c r="I228" s="216"/>
      <c r="J228" s="216"/>
      <c r="K228" s="5"/>
      <c r="L228" s="5"/>
      <c r="M228" s="5"/>
      <c r="N228" s="5"/>
      <c r="O228" s="5"/>
      <c r="P228" s="5"/>
      <c r="Q228" s="5"/>
      <c r="R228" s="5"/>
    </row>
    <row r="229" ht="12.75" hidden="1" customHeight="1">
      <c r="A229" s="213"/>
      <c r="B229" s="214"/>
      <c r="C229" s="216"/>
      <c r="D229" s="216"/>
      <c r="E229" s="216"/>
      <c r="F229" s="216"/>
      <c r="G229" s="216"/>
      <c r="H229" s="216"/>
      <c r="I229" s="216"/>
      <c r="J229" s="216"/>
      <c r="K229" s="5"/>
      <c r="L229" s="5"/>
      <c r="M229" s="5"/>
      <c r="N229" s="5"/>
      <c r="O229" s="5"/>
      <c r="P229" s="5"/>
      <c r="Q229" s="5"/>
      <c r="R229" s="5"/>
    </row>
    <row r="230" ht="12.75" hidden="1" customHeight="1">
      <c r="A230" s="213"/>
      <c r="B230" s="214"/>
      <c r="C230" s="216"/>
      <c r="D230" s="216"/>
      <c r="E230" s="216"/>
      <c r="F230" s="216"/>
      <c r="G230" s="216"/>
      <c r="H230" s="216"/>
      <c r="I230" s="216"/>
      <c r="J230" s="216"/>
      <c r="K230" s="5"/>
      <c r="L230" s="5"/>
      <c r="M230" s="5"/>
      <c r="N230" s="5"/>
      <c r="O230" s="5"/>
      <c r="P230" s="5"/>
      <c r="Q230" s="5"/>
      <c r="R230" s="5"/>
    </row>
    <row r="231" ht="12.75" hidden="1" customHeight="1">
      <c r="A231" s="213"/>
      <c r="B231" s="214"/>
      <c r="C231" s="216"/>
      <c r="D231" s="216"/>
      <c r="E231" s="216"/>
      <c r="F231" s="216"/>
      <c r="G231" s="216"/>
      <c r="H231" s="216"/>
      <c r="I231" s="216"/>
      <c r="J231" s="216"/>
      <c r="K231" s="5"/>
      <c r="L231" s="5"/>
      <c r="M231" s="5"/>
      <c r="N231" s="5"/>
      <c r="O231" s="5"/>
      <c r="P231" s="5"/>
      <c r="Q231" s="5"/>
      <c r="R231" s="5"/>
    </row>
    <row r="232" ht="12.75" hidden="1" customHeight="1">
      <c r="A232" s="213"/>
      <c r="B232" s="214"/>
      <c r="C232" s="216"/>
      <c r="D232" s="216"/>
      <c r="E232" s="216"/>
      <c r="F232" s="216"/>
      <c r="G232" s="216"/>
      <c r="H232" s="216"/>
      <c r="I232" s="216"/>
      <c r="J232" s="216"/>
      <c r="K232" s="5"/>
      <c r="L232" s="5"/>
      <c r="M232" s="5"/>
      <c r="N232" s="5"/>
      <c r="O232" s="5"/>
      <c r="P232" s="5"/>
      <c r="Q232" s="5"/>
      <c r="R232" s="5"/>
    </row>
    <row r="233" ht="12.75" hidden="1" customHeight="1">
      <c r="A233" s="213"/>
      <c r="B233" s="214"/>
      <c r="C233" s="216"/>
      <c r="D233" s="216"/>
      <c r="E233" s="216"/>
      <c r="F233" s="216"/>
      <c r="G233" s="216"/>
      <c r="H233" s="216"/>
      <c r="I233" s="216"/>
      <c r="J233" s="216"/>
      <c r="K233" s="5"/>
      <c r="L233" s="5"/>
      <c r="M233" s="5"/>
      <c r="N233" s="5"/>
      <c r="O233" s="5"/>
      <c r="P233" s="5"/>
      <c r="Q233" s="5"/>
      <c r="R233" s="5"/>
    </row>
    <row r="234" ht="12.75" hidden="1" customHeight="1">
      <c r="A234" s="213"/>
      <c r="B234" s="214"/>
      <c r="C234" s="216"/>
      <c r="D234" s="216"/>
      <c r="E234" s="216"/>
      <c r="F234" s="216"/>
      <c r="G234" s="216"/>
      <c r="H234" s="216"/>
      <c r="I234" s="216"/>
      <c r="J234" s="216"/>
      <c r="K234" s="5"/>
      <c r="L234" s="5"/>
      <c r="M234" s="5"/>
      <c r="N234" s="5"/>
      <c r="O234" s="5"/>
      <c r="P234" s="5"/>
      <c r="Q234" s="5"/>
      <c r="R234" s="5"/>
    </row>
    <row r="235" ht="12.75" hidden="1" customHeight="1">
      <c r="A235" s="213"/>
      <c r="B235" s="214"/>
      <c r="C235" s="216"/>
      <c r="D235" s="216"/>
      <c r="E235" s="216"/>
      <c r="F235" s="216"/>
      <c r="G235" s="216"/>
      <c r="H235" s="216"/>
      <c r="I235" s="216"/>
      <c r="J235" s="216"/>
      <c r="K235" s="5"/>
      <c r="L235" s="5"/>
      <c r="M235" s="5"/>
      <c r="N235" s="5"/>
      <c r="O235" s="5"/>
      <c r="P235" s="5"/>
      <c r="Q235" s="5"/>
      <c r="R235" s="5"/>
    </row>
    <row r="236" ht="12.75" hidden="1" customHeight="1">
      <c r="A236" s="213"/>
      <c r="B236" s="214"/>
      <c r="C236" s="216"/>
      <c r="D236" s="216"/>
      <c r="E236" s="216"/>
      <c r="F236" s="216"/>
      <c r="G236" s="216"/>
      <c r="H236" s="216"/>
      <c r="I236" s="216"/>
      <c r="J236" s="216"/>
      <c r="K236" s="5"/>
      <c r="L236" s="5"/>
      <c r="M236" s="5"/>
      <c r="N236" s="5"/>
      <c r="O236" s="5"/>
      <c r="P236" s="5"/>
      <c r="Q236" s="5"/>
      <c r="R236" s="5"/>
    </row>
    <row r="237" ht="12.75" hidden="1" customHeight="1">
      <c r="A237" s="213"/>
      <c r="B237" s="214"/>
      <c r="C237" s="216"/>
      <c r="D237" s="216"/>
      <c r="E237" s="216"/>
      <c r="F237" s="216"/>
      <c r="G237" s="216"/>
      <c r="H237" s="216"/>
      <c r="I237" s="216"/>
      <c r="J237" s="216"/>
      <c r="K237" s="5"/>
      <c r="L237" s="5"/>
      <c r="M237" s="5"/>
      <c r="N237" s="5"/>
      <c r="O237" s="5"/>
      <c r="P237" s="5"/>
      <c r="Q237" s="5"/>
      <c r="R237" s="5"/>
    </row>
    <row r="238" ht="12.75" hidden="1" customHeight="1">
      <c r="A238" s="213"/>
      <c r="B238" s="214"/>
      <c r="C238" s="216"/>
      <c r="D238" s="216"/>
      <c r="E238" s="216"/>
      <c r="F238" s="216"/>
      <c r="G238" s="216"/>
      <c r="H238" s="216"/>
      <c r="I238" s="216"/>
      <c r="J238" s="216"/>
      <c r="K238" s="5"/>
      <c r="L238" s="5"/>
      <c r="M238" s="5"/>
      <c r="N238" s="5"/>
      <c r="O238" s="5"/>
      <c r="P238" s="5"/>
      <c r="Q238" s="5"/>
      <c r="R238" s="5"/>
    </row>
    <row r="239" ht="12.75" hidden="1" customHeight="1">
      <c r="A239" s="213"/>
      <c r="B239" s="214"/>
      <c r="C239" s="216"/>
      <c r="D239" s="216"/>
      <c r="E239" s="216"/>
      <c r="F239" s="216"/>
      <c r="G239" s="216"/>
      <c r="H239" s="216"/>
      <c r="I239" s="216"/>
      <c r="J239" s="216"/>
      <c r="K239" s="5"/>
      <c r="L239" s="5"/>
      <c r="M239" s="5"/>
      <c r="N239" s="5"/>
      <c r="O239" s="5"/>
      <c r="P239" s="5"/>
      <c r="Q239" s="5"/>
      <c r="R239" s="5"/>
    </row>
    <row r="240" ht="12.75" hidden="1" customHeight="1">
      <c r="A240" s="213"/>
      <c r="B240" s="214"/>
      <c r="C240" s="216"/>
      <c r="D240" s="216"/>
      <c r="E240" s="216"/>
      <c r="F240" s="216"/>
      <c r="G240" s="216"/>
      <c r="H240" s="216"/>
      <c r="I240" s="216"/>
      <c r="J240" s="216"/>
      <c r="K240" s="5"/>
      <c r="L240" s="5"/>
      <c r="M240" s="5"/>
      <c r="N240" s="5"/>
      <c r="O240" s="5"/>
      <c r="P240" s="5"/>
      <c r="Q240" s="5"/>
      <c r="R240" s="5"/>
    </row>
    <row r="241" ht="12.75" hidden="1" customHeight="1">
      <c r="A241" s="213"/>
      <c r="B241" s="214"/>
      <c r="C241" s="216"/>
      <c r="D241" s="216"/>
      <c r="E241" s="216"/>
      <c r="F241" s="216"/>
      <c r="G241" s="216"/>
      <c r="H241" s="216"/>
      <c r="I241" s="216"/>
      <c r="J241" s="216"/>
      <c r="K241" s="5"/>
      <c r="L241" s="5"/>
      <c r="M241" s="5"/>
      <c r="N241" s="5"/>
      <c r="O241" s="5"/>
      <c r="P241" s="5"/>
      <c r="Q241" s="5"/>
      <c r="R241" s="5"/>
    </row>
    <row r="242" ht="12.75" hidden="1" customHeight="1">
      <c r="A242" s="213"/>
      <c r="B242" s="214"/>
      <c r="C242" s="216"/>
      <c r="D242" s="216"/>
      <c r="E242" s="216"/>
      <c r="F242" s="216"/>
      <c r="G242" s="216"/>
      <c r="H242" s="216"/>
      <c r="I242" s="216"/>
      <c r="J242" s="216"/>
      <c r="K242" s="5"/>
      <c r="L242" s="5"/>
      <c r="M242" s="5"/>
      <c r="N242" s="5"/>
      <c r="O242" s="5"/>
      <c r="P242" s="5"/>
      <c r="Q242" s="5"/>
      <c r="R242" s="5"/>
    </row>
    <row r="243" ht="12.75" hidden="1" customHeight="1">
      <c r="A243" s="213"/>
      <c r="B243" s="214"/>
      <c r="C243" s="216"/>
      <c r="D243" s="216"/>
      <c r="E243" s="216"/>
      <c r="F243" s="216"/>
      <c r="G243" s="216"/>
      <c r="H243" s="216"/>
      <c r="I243" s="216"/>
      <c r="J243" s="216"/>
      <c r="K243" s="5"/>
      <c r="L243" s="5"/>
      <c r="M243" s="5"/>
      <c r="N243" s="5"/>
      <c r="O243" s="5"/>
      <c r="P243" s="5"/>
      <c r="Q243" s="5"/>
      <c r="R243" s="5"/>
    </row>
    <row r="244" ht="12.75" hidden="1" customHeight="1">
      <c r="A244" s="213"/>
      <c r="B244" s="214"/>
      <c r="C244" s="216"/>
      <c r="D244" s="216"/>
      <c r="E244" s="216"/>
      <c r="F244" s="216"/>
      <c r="G244" s="216"/>
      <c r="H244" s="216"/>
      <c r="I244" s="216"/>
      <c r="J244" s="216"/>
      <c r="K244" s="5"/>
      <c r="L244" s="5"/>
      <c r="M244" s="5"/>
      <c r="N244" s="5"/>
      <c r="O244" s="5"/>
      <c r="P244" s="5"/>
      <c r="Q244" s="5"/>
      <c r="R244" s="5"/>
    </row>
    <row r="245" ht="12.75" hidden="1" customHeight="1">
      <c r="A245" s="213"/>
      <c r="B245" s="214"/>
      <c r="C245" s="216"/>
      <c r="D245" s="216"/>
      <c r="E245" s="216"/>
      <c r="F245" s="216"/>
      <c r="G245" s="216"/>
      <c r="H245" s="216"/>
      <c r="I245" s="216"/>
      <c r="J245" s="216"/>
      <c r="K245" s="5"/>
      <c r="L245" s="5"/>
      <c r="M245" s="5"/>
      <c r="N245" s="5"/>
      <c r="O245" s="5"/>
      <c r="P245" s="5"/>
      <c r="Q245" s="5"/>
      <c r="R245" s="5"/>
    </row>
    <row r="246" ht="12.75" hidden="1" customHeight="1">
      <c r="A246" s="213"/>
      <c r="B246" s="214"/>
      <c r="C246" s="216"/>
      <c r="D246" s="216"/>
      <c r="E246" s="216"/>
      <c r="F246" s="216"/>
      <c r="G246" s="216"/>
      <c r="H246" s="216"/>
      <c r="I246" s="216"/>
      <c r="J246" s="216"/>
      <c r="K246" s="5"/>
      <c r="L246" s="5"/>
      <c r="M246" s="5"/>
      <c r="N246" s="5"/>
      <c r="O246" s="5"/>
      <c r="P246" s="5"/>
      <c r="Q246" s="5"/>
      <c r="R246" s="5"/>
    </row>
    <row r="247" ht="12.75" hidden="1" customHeight="1">
      <c r="A247" s="213"/>
      <c r="B247" s="214"/>
      <c r="C247" s="216"/>
      <c r="D247" s="216"/>
      <c r="E247" s="216"/>
      <c r="F247" s="216"/>
      <c r="G247" s="216"/>
      <c r="H247" s="216"/>
      <c r="I247" s="216"/>
      <c r="J247" s="216"/>
      <c r="K247" s="5"/>
      <c r="L247" s="5"/>
      <c r="M247" s="5"/>
      <c r="N247" s="5"/>
      <c r="O247" s="5"/>
      <c r="P247" s="5"/>
      <c r="Q247" s="5"/>
      <c r="R247" s="5"/>
    </row>
    <row r="248" ht="12.75" hidden="1" customHeight="1">
      <c r="A248" s="213"/>
      <c r="B248" s="214"/>
      <c r="C248" s="216"/>
      <c r="D248" s="216"/>
      <c r="E248" s="216"/>
      <c r="F248" s="216"/>
      <c r="G248" s="216"/>
      <c r="H248" s="216"/>
      <c r="I248" s="216"/>
      <c r="J248" s="216"/>
      <c r="K248" s="5"/>
      <c r="L248" s="5"/>
      <c r="M248" s="5"/>
      <c r="N248" s="5"/>
      <c r="O248" s="5"/>
      <c r="P248" s="5"/>
      <c r="Q248" s="5"/>
      <c r="R248" s="5"/>
    </row>
    <row r="249" ht="12.75" hidden="1" customHeight="1">
      <c r="A249" s="213"/>
      <c r="B249" s="214"/>
      <c r="C249" s="216"/>
      <c r="D249" s="216"/>
      <c r="E249" s="216"/>
      <c r="F249" s="216"/>
      <c r="G249" s="216"/>
      <c r="H249" s="216"/>
      <c r="I249" s="216"/>
      <c r="J249" s="216"/>
      <c r="K249" s="5"/>
      <c r="L249" s="5"/>
      <c r="M249" s="5"/>
      <c r="N249" s="5"/>
      <c r="O249" s="5"/>
      <c r="P249" s="5"/>
      <c r="Q249" s="5"/>
      <c r="R249" s="5"/>
    </row>
    <row r="250" ht="12.75" hidden="1" customHeight="1">
      <c r="A250" s="213"/>
      <c r="B250" s="214"/>
      <c r="C250" s="216"/>
      <c r="D250" s="216"/>
      <c r="E250" s="216"/>
      <c r="F250" s="216"/>
      <c r="G250" s="216"/>
      <c r="H250" s="216"/>
      <c r="I250" s="216"/>
      <c r="J250" s="216"/>
      <c r="K250" s="5"/>
      <c r="L250" s="5"/>
      <c r="M250" s="5"/>
      <c r="N250" s="5"/>
      <c r="O250" s="5"/>
      <c r="P250" s="5"/>
      <c r="Q250" s="5"/>
      <c r="R250" s="5"/>
    </row>
    <row r="251" ht="12.75" hidden="1" customHeight="1">
      <c r="A251" s="213"/>
      <c r="B251" s="214"/>
      <c r="C251" s="216"/>
      <c r="D251" s="216"/>
      <c r="E251" s="216"/>
      <c r="F251" s="216"/>
      <c r="G251" s="216"/>
      <c r="H251" s="216"/>
      <c r="I251" s="216"/>
      <c r="J251" s="216"/>
      <c r="K251" s="5"/>
      <c r="L251" s="5"/>
      <c r="M251" s="5"/>
      <c r="N251" s="5"/>
      <c r="O251" s="5"/>
      <c r="P251" s="5"/>
      <c r="Q251" s="5"/>
      <c r="R251" s="5"/>
    </row>
    <row r="252" ht="12.75" hidden="1" customHeight="1">
      <c r="A252" s="213"/>
      <c r="B252" s="214"/>
      <c r="C252" s="216"/>
      <c r="D252" s="216"/>
      <c r="E252" s="216"/>
      <c r="F252" s="216"/>
      <c r="G252" s="216"/>
      <c r="H252" s="216"/>
      <c r="I252" s="216"/>
      <c r="J252" s="216"/>
      <c r="K252" s="5"/>
      <c r="L252" s="5"/>
      <c r="M252" s="5"/>
      <c r="N252" s="5"/>
      <c r="O252" s="5"/>
      <c r="P252" s="5"/>
      <c r="Q252" s="5"/>
      <c r="R252" s="5"/>
    </row>
    <row r="253" ht="12.75" hidden="1" customHeight="1">
      <c r="A253" s="213"/>
      <c r="B253" s="214"/>
      <c r="C253" s="216"/>
      <c r="D253" s="216"/>
      <c r="E253" s="216"/>
      <c r="F253" s="216"/>
      <c r="G253" s="216"/>
      <c r="H253" s="216"/>
      <c r="I253" s="216"/>
      <c r="J253" s="216"/>
      <c r="K253" s="5"/>
      <c r="L253" s="5"/>
      <c r="M253" s="5"/>
      <c r="N253" s="5"/>
      <c r="O253" s="5"/>
      <c r="P253" s="5"/>
      <c r="Q253" s="5"/>
      <c r="R253" s="5"/>
    </row>
    <row r="254" ht="12.75" hidden="1" customHeight="1">
      <c r="A254" s="213"/>
      <c r="B254" s="214"/>
      <c r="C254" s="216"/>
      <c r="D254" s="216"/>
      <c r="E254" s="216"/>
      <c r="F254" s="216"/>
      <c r="G254" s="216"/>
      <c r="H254" s="216"/>
      <c r="I254" s="216"/>
      <c r="J254" s="216"/>
      <c r="K254" s="5"/>
      <c r="L254" s="5"/>
      <c r="M254" s="5"/>
      <c r="N254" s="5"/>
      <c r="O254" s="5"/>
      <c r="P254" s="5"/>
      <c r="Q254" s="5"/>
      <c r="R254" s="5"/>
    </row>
    <row r="255" ht="12.75" hidden="1" customHeight="1">
      <c r="A255" s="213"/>
      <c r="B255" s="214"/>
      <c r="C255" s="216"/>
      <c r="D255" s="216"/>
      <c r="E255" s="216"/>
      <c r="F255" s="216"/>
      <c r="G255" s="216"/>
      <c r="H255" s="216"/>
      <c r="I255" s="216"/>
      <c r="J255" s="216"/>
      <c r="K255" s="5"/>
      <c r="L255" s="5"/>
      <c r="M255" s="5"/>
      <c r="N255" s="5"/>
      <c r="O255" s="5"/>
      <c r="P255" s="5"/>
      <c r="Q255" s="5"/>
      <c r="R255" s="5"/>
    </row>
    <row r="256" ht="12.75" hidden="1" customHeight="1">
      <c r="A256" s="213"/>
      <c r="B256" s="214"/>
      <c r="C256" s="216"/>
      <c r="D256" s="216"/>
      <c r="E256" s="216"/>
      <c r="F256" s="216"/>
      <c r="G256" s="216"/>
      <c r="H256" s="216"/>
      <c r="I256" s="216"/>
      <c r="J256" s="216"/>
      <c r="K256" s="5"/>
      <c r="L256" s="5"/>
      <c r="M256" s="5"/>
      <c r="N256" s="5"/>
      <c r="O256" s="5"/>
      <c r="P256" s="5"/>
      <c r="Q256" s="5"/>
      <c r="R256" s="5"/>
    </row>
    <row r="257" ht="12.75" hidden="1" customHeight="1">
      <c r="A257" s="213"/>
      <c r="B257" s="214"/>
      <c r="C257" s="216"/>
      <c r="D257" s="216"/>
      <c r="E257" s="216"/>
      <c r="F257" s="216"/>
      <c r="G257" s="216"/>
      <c r="H257" s="216"/>
      <c r="I257" s="216"/>
      <c r="J257" s="216"/>
      <c r="K257" s="5"/>
      <c r="L257" s="5"/>
      <c r="M257" s="5"/>
      <c r="N257" s="5"/>
      <c r="O257" s="5"/>
      <c r="P257" s="5"/>
      <c r="Q257" s="5"/>
      <c r="R257" s="5"/>
    </row>
    <row r="258" ht="12.75" hidden="1" customHeight="1">
      <c r="A258" s="213"/>
      <c r="B258" s="214"/>
      <c r="C258" s="216"/>
      <c r="D258" s="216"/>
      <c r="E258" s="216"/>
      <c r="F258" s="216"/>
      <c r="G258" s="216"/>
      <c r="H258" s="216"/>
      <c r="I258" s="216"/>
      <c r="J258" s="216"/>
      <c r="K258" s="5"/>
      <c r="L258" s="5"/>
      <c r="M258" s="5"/>
      <c r="N258" s="5"/>
      <c r="O258" s="5"/>
      <c r="P258" s="5"/>
      <c r="Q258" s="5"/>
      <c r="R258" s="5"/>
    </row>
    <row r="259" ht="12.75" hidden="1" customHeight="1">
      <c r="A259" s="213"/>
      <c r="B259" s="214"/>
      <c r="C259" s="216"/>
      <c r="D259" s="216"/>
      <c r="E259" s="216"/>
      <c r="F259" s="216"/>
      <c r="G259" s="216"/>
      <c r="H259" s="216"/>
      <c r="I259" s="216"/>
      <c r="J259" s="216"/>
      <c r="K259" s="5"/>
      <c r="L259" s="5"/>
      <c r="M259" s="5"/>
      <c r="N259" s="5"/>
      <c r="O259" s="5"/>
      <c r="P259" s="5"/>
      <c r="Q259" s="5"/>
      <c r="R259" s="5"/>
    </row>
    <row r="260" ht="12.75" hidden="1" customHeight="1">
      <c r="A260" s="213"/>
      <c r="B260" s="214"/>
      <c r="C260" s="216"/>
      <c r="D260" s="216"/>
      <c r="E260" s="216"/>
      <c r="F260" s="216"/>
      <c r="G260" s="216"/>
      <c r="H260" s="216"/>
      <c r="I260" s="216"/>
      <c r="J260" s="216"/>
      <c r="K260" s="5"/>
      <c r="L260" s="5"/>
      <c r="M260" s="5"/>
      <c r="N260" s="5"/>
      <c r="O260" s="5"/>
      <c r="P260" s="5"/>
      <c r="Q260" s="5"/>
      <c r="R260" s="5"/>
    </row>
    <row r="261" ht="12.75" hidden="1" customHeight="1">
      <c r="A261" s="213"/>
      <c r="B261" s="214"/>
      <c r="C261" s="216"/>
      <c r="D261" s="216"/>
      <c r="E261" s="216"/>
      <c r="F261" s="216"/>
      <c r="G261" s="216"/>
      <c r="H261" s="216"/>
      <c r="I261" s="216"/>
      <c r="J261" s="216"/>
      <c r="K261" s="5"/>
      <c r="L261" s="5"/>
      <c r="M261" s="5"/>
      <c r="N261" s="5"/>
      <c r="O261" s="5"/>
      <c r="P261" s="5"/>
      <c r="Q261" s="5"/>
      <c r="R261" s="5"/>
    </row>
    <row r="262" ht="12.75" hidden="1" customHeight="1">
      <c r="A262" s="213"/>
      <c r="B262" s="214"/>
      <c r="C262" s="216"/>
      <c r="D262" s="216"/>
      <c r="E262" s="216"/>
      <c r="F262" s="216"/>
      <c r="G262" s="216"/>
      <c r="H262" s="216"/>
      <c r="I262" s="216"/>
      <c r="J262" s="216"/>
      <c r="K262" s="5"/>
      <c r="L262" s="5"/>
      <c r="M262" s="5"/>
      <c r="N262" s="5"/>
      <c r="O262" s="5"/>
      <c r="P262" s="5"/>
      <c r="Q262" s="5"/>
      <c r="R262" s="5"/>
    </row>
    <row r="263" ht="12.75" hidden="1" customHeight="1">
      <c r="A263" s="213"/>
      <c r="B263" s="214"/>
      <c r="C263" s="216"/>
      <c r="D263" s="216"/>
      <c r="E263" s="216"/>
      <c r="F263" s="216"/>
      <c r="G263" s="216"/>
      <c r="H263" s="216"/>
      <c r="I263" s="216"/>
      <c r="J263" s="216"/>
      <c r="K263" s="5"/>
      <c r="L263" s="5"/>
      <c r="M263" s="5"/>
      <c r="N263" s="5"/>
      <c r="O263" s="5"/>
      <c r="P263" s="5"/>
      <c r="Q263" s="5"/>
      <c r="R263" s="5"/>
    </row>
    <row r="264" ht="12.75" hidden="1" customHeight="1">
      <c r="A264" s="213"/>
      <c r="B264" s="214"/>
      <c r="C264" s="216"/>
      <c r="D264" s="216"/>
      <c r="E264" s="216"/>
      <c r="F264" s="216"/>
      <c r="G264" s="216"/>
      <c r="H264" s="216"/>
      <c r="I264" s="216"/>
      <c r="J264" s="216"/>
      <c r="K264" s="5"/>
      <c r="L264" s="5"/>
      <c r="M264" s="5"/>
      <c r="N264" s="5"/>
      <c r="O264" s="5"/>
      <c r="P264" s="5"/>
      <c r="Q264" s="5"/>
      <c r="R264" s="5"/>
    </row>
    <row r="265" ht="12.75" hidden="1" customHeight="1">
      <c r="A265" s="213"/>
      <c r="B265" s="214"/>
      <c r="C265" s="216"/>
      <c r="D265" s="216"/>
      <c r="E265" s="216"/>
      <c r="F265" s="216"/>
      <c r="G265" s="216"/>
      <c r="H265" s="216"/>
      <c r="I265" s="216"/>
      <c r="J265" s="216"/>
      <c r="K265" s="5"/>
      <c r="L265" s="5"/>
      <c r="M265" s="5"/>
      <c r="N265" s="5"/>
      <c r="O265" s="5"/>
      <c r="P265" s="5"/>
      <c r="Q265" s="5"/>
      <c r="R265" s="5"/>
    </row>
    <row r="266" ht="12.75" hidden="1" customHeight="1">
      <c r="A266" s="213"/>
      <c r="B266" s="214"/>
      <c r="C266" s="216"/>
      <c r="D266" s="216"/>
      <c r="E266" s="216"/>
      <c r="F266" s="216"/>
      <c r="G266" s="216"/>
      <c r="H266" s="216"/>
      <c r="I266" s="216"/>
      <c r="J266" s="216"/>
      <c r="K266" s="5"/>
      <c r="L266" s="5"/>
      <c r="M266" s="5"/>
      <c r="N266" s="5"/>
      <c r="O266" s="5"/>
      <c r="P266" s="5"/>
      <c r="Q266" s="5"/>
      <c r="R266" s="5"/>
    </row>
    <row r="267" ht="12.75" hidden="1" customHeight="1">
      <c r="A267" s="213"/>
      <c r="B267" s="214"/>
      <c r="C267" s="216"/>
      <c r="D267" s="216"/>
      <c r="E267" s="216"/>
      <c r="F267" s="216"/>
      <c r="G267" s="216"/>
      <c r="H267" s="216"/>
      <c r="I267" s="216"/>
      <c r="J267" s="216"/>
      <c r="K267" s="5"/>
      <c r="L267" s="5"/>
      <c r="M267" s="5"/>
      <c r="N267" s="5"/>
      <c r="O267" s="5"/>
      <c r="P267" s="5"/>
      <c r="Q267" s="5"/>
      <c r="R267" s="5"/>
    </row>
    <row r="268" ht="12.75" hidden="1" customHeight="1">
      <c r="A268" s="213"/>
      <c r="B268" s="214"/>
      <c r="C268" s="216"/>
      <c r="D268" s="216"/>
      <c r="E268" s="216"/>
      <c r="F268" s="216"/>
      <c r="G268" s="216"/>
      <c r="H268" s="216"/>
      <c r="I268" s="216"/>
      <c r="J268" s="216"/>
      <c r="K268" s="5"/>
      <c r="L268" s="5"/>
      <c r="M268" s="5"/>
      <c r="N268" s="5"/>
      <c r="O268" s="5"/>
      <c r="P268" s="5"/>
      <c r="Q268" s="5"/>
      <c r="R268" s="5"/>
    </row>
    <row r="269" ht="12.75" hidden="1" customHeight="1">
      <c r="A269" s="213"/>
      <c r="B269" s="214"/>
      <c r="C269" s="216"/>
      <c r="D269" s="216"/>
      <c r="E269" s="216"/>
      <c r="F269" s="216"/>
      <c r="G269" s="216"/>
      <c r="H269" s="216"/>
      <c r="I269" s="216"/>
      <c r="J269" s="216"/>
      <c r="K269" s="5"/>
      <c r="L269" s="5"/>
      <c r="M269" s="5"/>
      <c r="N269" s="5"/>
      <c r="O269" s="5"/>
      <c r="P269" s="5"/>
      <c r="Q269" s="5"/>
      <c r="R269" s="5"/>
    </row>
    <row r="270" ht="12.75" hidden="1" customHeight="1">
      <c r="A270" s="213"/>
      <c r="B270" s="214"/>
      <c r="C270" s="216"/>
      <c r="D270" s="216"/>
      <c r="E270" s="216"/>
      <c r="F270" s="216"/>
      <c r="G270" s="216"/>
      <c r="H270" s="216"/>
      <c r="I270" s="216"/>
      <c r="J270" s="216"/>
      <c r="K270" s="5"/>
      <c r="L270" s="5"/>
      <c r="M270" s="5"/>
      <c r="N270" s="5"/>
      <c r="O270" s="5"/>
      <c r="P270" s="5"/>
      <c r="Q270" s="5"/>
      <c r="R270" s="5"/>
    </row>
    <row r="271" ht="12.75" hidden="1" customHeight="1">
      <c r="A271" s="213"/>
      <c r="B271" s="214"/>
      <c r="C271" s="216"/>
      <c r="D271" s="216"/>
      <c r="E271" s="216"/>
      <c r="F271" s="216"/>
      <c r="G271" s="216"/>
      <c r="H271" s="216"/>
      <c r="I271" s="216"/>
      <c r="J271" s="216"/>
      <c r="K271" s="5"/>
      <c r="L271" s="5"/>
      <c r="M271" s="5"/>
      <c r="N271" s="5"/>
      <c r="O271" s="5"/>
      <c r="P271" s="5"/>
      <c r="Q271" s="5"/>
      <c r="R271" s="5"/>
    </row>
    <row r="272" ht="12.75" hidden="1" customHeight="1">
      <c r="A272" s="213"/>
      <c r="B272" s="214"/>
      <c r="C272" s="216"/>
      <c r="D272" s="216"/>
      <c r="E272" s="216"/>
      <c r="F272" s="216"/>
      <c r="G272" s="216"/>
      <c r="H272" s="216"/>
      <c r="I272" s="216"/>
      <c r="J272" s="216"/>
      <c r="K272" s="5"/>
      <c r="L272" s="5"/>
      <c r="M272" s="5"/>
      <c r="N272" s="5"/>
      <c r="O272" s="5"/>
      <c r="P272" s="5"/>
      <c r="Q272" s="5"/>
      <c r="R272" s="5"/>
    </row>
    <row r="273" ht="12.75" hidden="1" customHeight="1">
      <c r="A273" s="213"/>
      <c r="B273" s="214"/>
      <c r="C273" s="216"/>
      <c r="D273" s="216"/>
      <c r="E273" s="216"/>
      <c r="F273" s="216"/>
      <c r="G273" s="216"/>
      <c r="H273" s="216"/>
      <c r="I273" s="216"/>
      <c r="J273" s="216"/>
      <c r="K273" s="5"/>
      <c r="L273" s="5"/>
      <c r="M273" s="5"/>
      <c r="N273" s="5"/>
      <c r="O273" s="5"/>
      <c r="P273" s="5"/>
      <c r="Q273" s="5"/>
      <c r="R273" s="5"/>
    </row>
    <row r="274" ht="12.75" hidden="1" customHeight="1">
      <c r="A274" s="213"/>
      <c r="B274" s="214"/>
      <c r="C274" s="216"/>
      <c r="D274" s="216"/>
      <c r="E274" s="216"/>
      <c r="F274" s="216"/>
      <c r="G274" s="216"/>
      <c r="H274" s="216"/>
      <c r="I274" s="216"/>
      <c r="J274" s="216"/>
      <c r="K274" s="5"/>
      <c r="L274" s="5"/>
      <c r="M274" s="5"/>
      <c r="N274" s="5"/>
      <c r="O274" s="5"/>
      <c r="P274" s="5"/>
      <c r="Q274" s="5"/>
      <c r="R274" s="5"/>
    </row>
    <row r="275" ht="12.75" hidden="1" customHeight="1">
      <c r="A275" s="213"/>
      <c r="B275" s="214"/>
      <c r="C275" s="216"/>
      <c r="D275" s="216"/>
      <c r="E275" s="216"/>
      <c r="F275" s="216"/>
      <c r="G275" s="216"/>
      <c r="H275" s="216"/>
      <c r="I275" s="216"/>
      <c r="J275" s="216"/>
      <c r="K275" s="5"/>
      <c r="L275" s="5"/>
      <c r="M275" s="5"/>
      <c r="N275" s="5"/>
      <c r="O275" s="5"/>
      <c r="P275" s="5"/>
      <c r="Q275" s="5"/>
      <c r="R275" s="5"/>
    </row>
    <row r="276" ht="12.75" hidden="1" customHeight="1">
      <c r="A276" s="213"/>
      <c r="B276" s="214"/>
      <c r="C276" s="216"/>
      <c r="D276" s="216"/>
      <c r="E276" s="216"/>
      <c r="F276" s="216"/>
      <c r="G276" s="216"/>
      <c r="H276" s="216"/>
      <c r="I276" s="216"/>
      <c r="J276" s="216"/>
      <c r="K276" s="5"/>
      <c r="L276" s="5"/>
      <c r="M276" s="5"/>
      <c r="N276" s="5"/>
      <c r="O276" s="5"/>
      <c r="P276" s="5"/>
      <c r="Q276" s="5"/>
      <c r="R276" s="5"/>
    </row>
    <row r="277" ht="12.75" hidden="1" customHeight="1">
      <c r="A277" s="213"/>
      <c r="B277" s="214"/>
      <c r="C277" s="216"/>
      <c r="D277" s="216"/>
      <c r="E277" s="216"/>
      <c r="F277" s="216"/>
      <c r="G277" s="216"/>
      <c r="H277" s="216"/>
      <c r="I277" s="216"/>
      <c r="J277" s="216"/>
      <c r="K277" s="5"/>
      <c r="L277" s="5"/>
      <c r="M277" s="5"/>
      <c r="N277" s="5"/>
      <c r="O277" s="5"/>
      <c r="P277" s="5"/>
      <c r="Q277" s="5"/>
      <c r="R277" s="5"/>
    </row>
    <row r="278" ht="12.75" hidden="1" customHeight="1">
      <c r="A278" s="213"/>
      <c r="B278" s="214"/>
      <c r="C278" s="216"/>
      <c r="D278" s="216"/>
      <c r="E278" s="216"/>
      <c r="F278" s="216"/>
      <c r="G278" s="216"/>
      <c r="H278" s="216"/>
      <c r="I278" s="216"/>
      <c r="J278" s="216"/>
      <c r="K278" s="5"/>
      <c r="L278" s="5"/>
      <c r="M278" s="5"/>
      <c r="N278" s="5"/>
      <c r="O278" s="5"/>
      <c r="P278" s="5"/>
      <c r="Q278" s="5"/>
      <c r="R278" s="5"/>
    </row>
    <row r="279" ht="12.75" hidden="1" customHeight="1">
      <c r="A279" s="213"/>
      <c r="B279" s="214"/>
      <c r="C279" s="216"/>
      <c r="D279" s="216"/>
      <c r="E279" s="216"/>
      <c r="F279" s="216"/>
      <c r="G279" s="216"/>
      <c r="H279" s="216"/>
      <c r="I279" s="216"/>
      <c r="J279" s="216"/>
      <c r="K279" s="5"/>
      <c r="L279" s="5"/>
      <c r="M279" s="5"/>
      <c r="N279" s="5"/>
      <c r="O279" s="5"/>
      <c r="P279" s="5"/>
      <c r="Q279" s="5"/>
      <c r="R279" s="5"/>
    </row>
    <row r="280" ht="12.75" hidden="1" customHeight="1">
      <c r="A280" s="213"/>
      <c r="B280" s="214"/>
      <c r="C280" s="216"/>
      <c r="D280" s="216"/>
      <c r="E280" s="216"/>
      <c r="F280" s="216"/>
      <c r="G280" s="216"/>
      <c r="H280" s="216"/>
      <c r="I280" s="216"/>
      <c r="J280" s="216"/>
      <c r="K280" s="5"/>
      <c r="L280" s="5"/>
      <c r="M280" s="5"/>
      <c r="N280" s="5"/>
      <c r="O280" s="5"/>
      <c r="P280" s="5"/>
      <c r="Q280" s="5"/>
      <c r="R280" s="5"/>
    </row>
    <row r="281" ht="12.75" hidden="1" customHeight="1">
      <c r="A281" s="213"/>
      <c r="B281" s="214"/>
      <c r="C281" s="216"/>
      <c r="D281" s="216"/>
      <c r="E281" s="216"/>
      <c r="F281" s="216"/>
      <c r="G281" s="216"/>
      <c r="H281" s="216"/>
      <c r="I281" s="216"/>
      <c r="J281" s="216"/>
      <c r="K281" s="5"/>
      <c r="L281" s="5"/>
      <c r="M281" s="5"/>
      <c r="N281" s="5"/>
      <c r="O281" s="5"/>
      <c r="P281" s="5"/>
      <c r="Q281" s="5"/>
      <c r="R281" s="5"/>
    </row>
    <row r="282" ht="12.75" hidden="1" customHeight="1">
      <c r="A282" s="213"/>
      <c r="B282" s="214"/>
      <c r="C282" s="216"/>
      <c r="D282" s="216"/>
      <c r="E282" s="216"/>
      <c r="F282" s="216"/>
      <c r="G282" s="216"/>
      <c r="H282" s="216"/>
      <c r="I282" s="216"/>
      <c r="J282" s="216"/>
      <c r="K282" s="5"/>
      <c r="L282" s="5"/>
      <c r="M282" s="5"/>
      <c r="N282" s="5"/>
      <c r="O282" s="5"/>
      <c r="P282" s="5"/>
      <c r="Q282" s="5"/>
      <c r="R282" s="5"/>
    </row>
    <row r="283" ht="12.75" hidden="1" customHeight="1">
      <c r="A283" s="213"/>
      <c r="B283" s="214"/>
      <c r="C283" s="216"/>
      <c r="D283" s="216"/>
      <c r="E283" s="216"/>
      <c r="F283" s="216"/>
      <c r="G283" s="216"/>
      <c r="H283" s="216"/>
      <c r="I283" s="216"/>
      <c r="J283" s="216"/>
      <c r="K283" s="5"/>
      <c r="L283" s="5"/>
      <c r="M283" s="5"/>
      <c r="N283" s="5"/>
      <c r="O283" s="5"/>
      <c r="P283" s="5"/>
      <c r="Q283" s="5"/>
      <c r="R283" s="5"/>
    </row>
    <row r="284" ht="12.75" hidden="1" customHeight="1">
      <c r="A284" s="213"/>
      <c r="B284" s="214"/>
      <c r="C284" s="216"/>
      <c r="D284" s="216"/>
      <c r="E284" s="216"/>
      <c r="F284" s="216"/>
      <c r="G284" s="216"/>
      <c r="H284" s="216"/>
      <c r="I284" s="216"/>
      <c r="J284" s="216"/>
      <c r="K284" s="5"/>
      <c r="L284" s="5"/>
      <c r="M284" s="5"/>
      <c r="N284" s="5"/>
      <c r="O284" s="5"/>
      <c r="P284" s="5"/>
      <c r="Q284" s="5"/>
      <c r="R284" s="5"/>
    </row>
    <row r="285" ht="12.75" hidden="1" customHeight="1">
      <c r="A285" s="213"/>
      <c r="B285" s="214"/>
      <c r="C285" s="216"/>
      <c r="D285" s="216"/>
      <c r="E285" s="216"/>
      <c r="F285" s="216"/>
      <c r="G285" s="216"/>
      <c r="H285" s="216"/>
      <c r="I285" s="216"/>
      <c r="J285" s="216"/>
      <c r="K285" s="5"/>
      <c r="L285" s="5"/>
      <c r="M285" s="5"/>
      <c r="N285" s="5"/>
      <c r="O285" s="5"/>
      <c r="P285" s="5"/>
      <c r="Q285" s="5"/>
      <c r="R285" s="5"/>
    </row>
    <row r="286" ht="12.75" hidden="1" customHeight="1">
      <c r="A286" s="213"/>
      <c r="B286" s="214"/>
      <c r="C286" s="216"/>
      <c r="D286" s="216"/>
      <c r="E286" s="216"/>
      <c r="F286" s="216"/>
      <c r="G286" s="216"/>
      <c r="H286" s="216"/>
      <c r="I286" s="216"/>
      <c r="J286" s="216"/>
      <c r="K286" s="5"/>
      <c r="L286" s="5"/>
      <c r="M286" s="5"/>
      <c r="N286" s="5"/>
      <c r="O286" s="5"/>
      <c r="P286" s="5"/>
      <c r="Q286" s="5"/>
      <c r="R286" s="5"/>
    </row>
    <row r="287" ht="12.75" hidden="1" customHeight="1">
      <c r="A287" s="213"/>
      <c r="B287" s="214"/>
      <c r="C287" s="216"/>
      <c r="D287" s="216"/>
      <c r="E287" s="216"/>
      <c r="F287" s="216"/>
      <c r="G287" s="216"/>
      <c r="H287" s="216"/>
      <c r="I287" s="216"/>
      <c r="J287" s="216"/>
      <c r="K287" s="5"/>
      <c r="L287" s="5"/>
      <c r="M287" s="5"/>
      <c r="N287" s="5"/>
      <c r="O287" s="5"/>
      <c r="P287" s="5"/>
      <c r="Q287" s="5"/>
      <c r="R287" s="5"/>
    </row>
    <row r="288" ht="12.75" hidden="1" customHeight="1">
      <c r="A288" s="213"/>
      <c r="B288" s="214"/>
      <c r="C288" s="216"/>
      <c r="D288" s="216"/>
      <c r="E288" s="216"/>
      <c r="F288" s="216"/>
      <c r="G288" s="216"/>
      <c r="H288" s="216"/>
      <c r="I288" s="216"/>
      <c r="J288" s="216"/>
      <c r="K288" s="5"/>
      <c r="L288" s="5"/>
      <c r="M288" s="5"/>
      <c r="N288" s="5"/>
      <c r="O288" s="5"/>
      <c r="P288" s="5"/>
      <c r="Q288" s="5"/>
      <c r="R288" s="5"/>
    </row>
    <row r="289" ht="12.75" hidden="1" customHeight="1">
      <c r="A289" s="213"/>
      <c r="B289" s="214"/>
      <c r="C289" s="216"/>
      <c r="D289" s="216"/>
      <c r="E289" s="216"/>
      <c r="F289" s="216"/>
      <c r="G289" s="216"/>
      <c r="H289" s="216"/>
      <c r="I289" s="216"/>
      <c r="J289" s="216"/>
      <c r="K289" s="5"/>
      <c r="L289" s="5"/>
      <c r="M289" s="5"/>
      <c r="N289" s="5"/>
      <c r="O289" s="5"/>
      <c r="P289" s="5"/>
      <c r="Q289" s="5"/>
      <c r="R289" s="5"/>
    </row>
    <row r="290" ht="12.75" hidden="1" customHeight="1">
      <c r="A290" s="213"/>
      <c r="B290" s="214"/>
      <c r="C290" s="216"/>
      <c r="D290" s="216"/>
      <c r="E290" s="216"/>
      <c r="F290" s="216"/>
      <c r="G290" s="216"/>
      <c r="H290" s="216"/>
      <c r="I290" s="216"/>
      <c r="J290" s="216"/>
      <c r="K290" s="5"/>
      <c r="L290" s="5"/>
      <c r="M290" s="5"/>
      <c r="N290" s="5"/>
      <c r="O290" s="5"/>
      <c r="P290" s="5"/>
      <c r="Q290" s="5"/>
      <c r="R290" s="5"/>
    </row>
    <row r="291" ht="12.75" hidden="1" customHeight="1">
      <c r="A291" s="213"/>
      <c r="B291" s="214"/>
      <c r="C291" s="216"/>
      <c r="D291" s="216"/>
      <c r="E291" s="216"/>
      <c r="F291" s="216"/>
      <c r="G291" s="216"/>
      <c r="H291" s="216"/>
      <c r="I291" s="216"/>
      <c r="J291" s="216"/>
      <c r="K291" s="5"/>
      <c r="L291" s="5"/>
      <c r="M291" s="5"/>
      <c r="N291" s="5"/>
      <c r="O291" s="5"/>
      <c r="P291" s="5"/>
      <c r="Q291" s="5"/>
      <c r="R291" s="5"/>
    </row>
    <row r="292" ht="12.75" hidden="1" customHeight="1">
      <c r="A292" s="213"/>
      <c r="B292" s="214"/>
      <c r="C292" s="216"/>
      <c r="D292" s="216"/>
      <c r="E292" s="216"/>
      <c r="F292" s="216"/>
      <c r="G292" s="216"/>
      <c r="H292" s="216"/>
      <c r="I292" s="216"/>
      <c r="J292" s="216"/>
      <c r="K292" s="5"/>
      <c r="L292" s="5"/>
      <c r="M292" s="5"/>
      <c r="N292" s="5"/>
      <c r="O292" s="5"/>
      <c r="P292" s="5"/>
      <c r="Q292" s="5"/>
      <c r="R292" s="5"/>
    </row>
    <row r="293" ht="12.75" hidden="1" customHeight="1">
      <c r="A293" s="213"/>
      <c r="B293" s="214"/>
      <c r="C293" s="216"/>
      <c r="D293" s="216"/>
      <c r="E293" s="216"/>
      <c r="F293" s="216"/>
      <c r="G293" s="216"/>
      <c r="H293" s="216"/>
      <c r="I293" s="216"/>
      <c r="J293" s="216"/>
      <c r="K293" s="5"/>
      <c r="L293" s="5"/>
      <c r="M293" s="5"/>
      <c r="N293" s="5"/>
      <c r="O293" s="5"/>
      <c r="P293" s="5"/>
      <c r="Q293" s="5"/>
      <c r="R293" s="5"/>
    </row>
    <row r="294" ht="12.75" hidden="1" customHeight="1">
      <c r="A294" s="213"/>
      <c r="B294" s="214"/>
      <c r="C294" s="216"/>
      <c r="D294" s="216"/>
      <c r="E294" s="216"/>
      <c r="F294" s="216"/>
      <c r="G294" s="216"/>
      <c r="H294" s="216"/>
      <c r="I294" s="216"/>
      <c r="J294" s="216"/>
      <c r="K294" s="5"/>
      <c r="L294" s="5"/>
      <c r="M294" s="5"/>
      <c r="N294" s="5"/>
      <c r="O294" s="5"/>
      <c r="P294" s="5"/>
      <c r="Q294" s="5"/>
      <c r="R294" s="5"/>
    </row>
    <row r="295" ht="12.75" hidden="1" customHeight="1">
      <c r="A295" s="213"/>
      <c r="B295" s="214"/>
      <c r="C295" s="216"/>
      <c r="D295" s="216"/>
      <c r="E295" s="216"/>
      <c r="F295" s="216"/>
      <c r="G295" s="216"/>
      <c r="H295" s="216"/>
      <c r="I295" s="216"/>
      <c r="J295" s="216"/>
      <c r="K295" s="5"/>
      <c r="L295" s="5"/>
      <c r="M295" s="5"/>
      <c r="N295" s="5"/>
      <c r="O295" s="5"/>
      <c r="P295" s="5"/>
      <c r="Q295" s="5"/>
      <c r="R295" s="5"/>
    </row>
    <row r="296" ht="12.75" hidden="1" customHeight="1">
      <c r="A296" s="213"/>
      <c r="B296" s="214"/>
      <c r="C296" s="216"/>
      <c r="D296" s="216"/>
      <c r="E296" s="216"/>
      <c r="F296" s="216"/>
      <c r="G296" s="216"/>
      <c r="H296" s="216"/>
      <c r="I296" s="216"/>
      <c r="J296" s="216"/>
      <c r="K296" s="5"/>
      <c r="L296" s="5"/>
      <c r="M296" s="5"/>
      <c r="N296" s="5"/>
      <c r="O296" s="5"/>
      <c r="P296" s="5"/>
      <c r="Q296" s="5"/>
      <c r="R296" s="5"/>
    </row>
    <row r="297" ht="12.75" hidden="1" customHeight="1">
      <c r="A297" s="213"/>
      <c r="B297" s="214"/>
      <c r="C297" s="216"/>
      <c r="D297" s="216"/>
      <c r="E297" s="216"/>
      <c r="F297" s="216"/>
      <c r="G297" s="216"/>
      <c r="H297" s="216"/>
      <c r="I297" s="216"/>
      <c r="J297" s="216"/>
      <c r="K297" s="5"/>
      <c r="L297" s="5"/>
      <c r="M297" s="5"/>
      <c r="N297" s="5"/>
      <c r="O297" s="5"/>
      <c r="P297" s="5"/>
      <c r="Q297" s="5"/>
      <c r="R297" s="5"/>
    </row>
    <row r="298" ht="12.75" hidden="1" customHeight="1">
      <c r="A298" s="213"/>
      <c r="B298" s="214"/>
      <c r="C298" s="216"/>
      <c r="D298" s="216"/>
      <c r="E298" s="216"/>
      <c r="F298" s="216"/>
      <c r="G298" s="216"/>
      <c r="H298" s="216"/>
      <c r="I298" s="216"/>
      <c r="J298" s="216"/>
      <c r="K298" s="5"/>
      <c r="L298" s="5"/>
      <c r="M298" s="5"/>
      <c r="N298" s="5"/>
      <c r="O298" s="5"/>
      <c r="P298" s="5"/>
      <c r="Q298" s="5"/>
      <c r="R298" s="5"/>
    </row>
    <row r="299" ht="12.75" hidden="1" customHeight="1">
      <c r="A299" s="213"/>
      <c r="B299" s="214"/>
      <c r="C299" s="216"/>
      <c r="D299" s="216"/>
      <c r="E299" s="216"/>
      <c r="F299" s="216"/>
      <c r="G299" s="216"/>
      <c r="H299" s="216"/>
      <c r="I299" s="216"/>
      <c r="J299" s="216"/>
      <c r="K299" s="5"/>
      <c r="L299" s="5"/>
      <c r="M299" s="5"/>
      <c r="N299" s="5"/>
      <c r="O299" s="5"/>
      <c r="P299" s="5"/>
      <c r="Q299" s="5"/>
      <c r="R299" s="5"/>
    </row>
    <row r="300" ht="12.75" hidden="1" customHeight="1">
      <c r="A300" s="213"/>
      <c r="B300" s="214"/>
      <c r="C300" s="216"/>
      <c r="D300" s="216"/>
      <c r="E300" s="216"/>
      <c r="F300" s="216"/>
      <c r="G300" s="216"/>
      <c r="H300" s="216"/>
      <c r="I300" s="216"/>
      <c r="J300" s="216"/>
      <c r="K300" s="5"/>
      <c r="L300" s="5"/>
      <c r="M300" s="5"/>
      <c r="N300" s="5"/>
      <c r="O300" s="5"/>
      <c r="P300" s="5"/>
      <c r="Q300" s="5"/>
      <c r="R300" s="5"/>
    </row>
    <row r="301" ht="12.75" hidden="1" customHeight="1">
      <c r="A301" s="213"/>
      <c r="B301" s="214"/>
      <c r="C301" s="216"/>
      <c r="D301" s="216"/>
      <c r="E301" s="216"/>
      <c r="F301" s="216"/>
      <c r="G301" s="216"/>
      <c r="H301" s="216"/>
      <c r="I301" s="216"/>
      <c r="J301" s="216"/>
      <c r="K301" s="5"/>
      <c r="L301" s="5"/>
      <c r="M301" s="5"/>
      <c r="N301" s="5"/>
      <c r="O301" s="5"/>
      <c r="P301" s="5"/>
      <c r="Q301" s="5"/>
      <c r="R301" s="5"/>
    </row>
    <row r="302" ht="12.75" hidden="1" customHeight="1">
      <c r="A302" s="213"/>
      <c r="B302" s="214"/>
      <c r="C302" s="216"/>
      <c r="D302" s="216"/>
      <c r="E302" s="216"/>
      <c r="F302" s="216"/>
      <c r="G302" s="216"/>
      <c r="H302" s="216"/>
      <c r="I302" s="216"/>
      <c r="J302" s="216"/>
      <c r="K302" s="5"/>
      <c r="L302" s="5"/>
      <c r="M302" s="5"/>
      <c r="N302" s="5"/>
      <c r="O302" s="5"/>
      <c r="P302" s="5"/>
      <c r="Q302" s="5"/>
      <c r="R302" s="5"/>
    </row>
    <row r="303" ht="12.75" hidden="1" customHeight="1">
      <c r="A303" s="213"/>
      <c r="B303" s="214"/>
      <c r="C303" s="216"/>
      <c r="D303" s="216"/>
      <c r="E303" s="216"/>
      <c r="F303" s="216"/>
      <c r="G303" s="216"/>
      <c r="H303" s="216"/>
      <c r="I303" s="216"/>
      <c r="J303" s="216"/>
      <c r="K303" s="5"/>
      <c r="L303" s="5"/>
      <c r="M303" s="5"/>
      <c r="N303" s="5"/>
      <c r="O303" s="5"/>
      <c r="P303" s="5"/>
      <c r="Q303" s="5"/>
      <c r="R303" s="5"/>
    </row>
    <row r="304" ht="12.75" hidden="1" customHeight="1">
      <c r="A304" s="213"/>
      <c r="B304" s="214"/>
      <c r="C304" s="216"/>
      <c r="D304" s="216"/>
      <c r="E304" s="216"/>
      <c r="F304" s="216"/>
      <c r="G304" s="216"/>
      <c r="H304" s="216"/>
      <c r="I304" s="216"/>
      <c r="J304" s="216"/>
      <c r="K304" s="5"/>
      <c r="L304" s="5"/>
      <c r="M304" s="5"/>
      <c r="N304" s="5"/>
      <c r="O304" s="5"/>
      <c r="P304" s="5"/>
      <c r="Q304" s="5"/>
      <c r="R304" s="5"/>
    </row>
    <row r="305" ht="12.75" hidden="1" customHeight="1">
      <c r="A305" s="213"/>
      <c r="B305" s="214"/>
      <c r="C305" s="216"/>
      <c r="D305" s="216"/>
      <c r="E305" s="216"/>
      <c r="F305" s="216"/>
      <c r="G305" s="216"/>
      <c r="H305" s="216"/>
      <c r="I305" s="216"/>
      <c r="J305" s="216"/>
      <c r="K305" s="5"/>
      <c r="L305" s="5"/>
      <c r="M305" s="5"/>
      <c r="N305" s="5"/>
      <c r="O305" s="5"/>
      <c r="P305" s="5"/>
      <c r="Q305" s="5"/>
      <c r="R305" s="5"/>
    </row>
    <row r="306" ht="12.75" hidden="1" customHeight="1">
      <c r="A306" s="213"/>
      <c r="B306" s="214"/>
      <c r="C306" s="216"/>
      <c r="D306" s="216"/>
      <c r="E306" s="216"/>
      <c r="F306" s="216"/>
      <c r="G306" s="216"/>
      <c r="H306" s="216"/>
      <c r="I306" s="216"/>
      <c r="J306" s="216"/>
      <c r="K306" s="5"/>
      <c r="L306" s="5"/>
      <c r="M306" s="5"/>
      <c r="N306" s="5"/>
      <c r="O306" s="5"/>
      <c r="P306" s="5"/>
      <c r="Q306" s="5"/>
      <c r="R306" s="5"/>
    </row>
    <row r="307" ht="12.75" hidden="1" customHeight="1">
      <c r="A307" s="213"/>
      <c r="B307" s="214"/>
      <c r="C307" s="216"/>
      <c r="D307" s="216"/>
      <c r="E307" s="216"/>
      <c r="F307" s="216"/>
      <c r="G307" s="216"/>
      <c r="H307" s="216"/>
      <c r="I307" s="216"/>
      <c r="J307" s="216"/>
      <c r="K307" s="5"/>
      <c r="L307" s="5"/>
      <c r="M307" s="5"/>
      <c r="N307" s="5"/>
      <c r="O307" s="5"/>
      <c r="P307" s="5"/>
      <c r="Q307" s="5"/>
      <c r="R307" s="5"/>
    </row>
    <row r="308" ht="12.75" hidden="1" customHeight="1">
      <c r="A308" s="213"/>
      <c r="B308" s="214"/>
      <c r="C308" s="216"/>
      <c r="D308" s="216"/>
      <c r="E308" s="216"/>
      <c r="F308" s="216"/>
      <c r="G308" s="216"/>
      <c r="H308" s="216"/>
      <c r="I308" s="216"/>
      <c r="J308" s="216"/>
      <c r="K308" s="5"/>
      <c r="L308" s="5"/>
      <c r="M308" s="5"/>
      <c r="N308" s="5"/>
      <c r="O308" s="5"/>
      <c r="P308" s="5"/>
      <c r="Q308" s="5"/>
      <c r="R308" s="5"/>
    </row>
    <row r="309" ht="12.75" hidden="1" customHeight="1">
      <c r="A309" s="213"/>
      <c r="B309" s="214"/>
      <c r="C309" s="216"/>
      <c r="D309" s="216"/>
      <c r="E309" s="216"/>
      <c r="F309" s="216"/>
      <c r="G309" s="216"/>
      <c r="H309" s="216"/>
      <c r="I309" s="216"/>
      <c r="J309" s="216"/>
      <c r="K309" s="5"/>
      <c r="L309" s="5"/>
      <c r="M309" s="5"/>
      <c r="N309" s="5"/>
      <c r="O309" s="5"/>
      <c r="P309" s="5"/>
      <c r="Q309" s="5"/>
      <c r="R309" s="5"/>
    </row>
    <row r="310" ht="12.75" hidden="1" customHeight="1">
      <c r="A310" s="213"/>
      <c r="B310" s="214"/>
      <c r="C310" s="216"/>
      <c r="D310" s="216"/>
      <c r="E310" s="216"/>
      <c r="F310" s="216"/>
      <c r="G310" s="216"/>
      <c r="H310" s="216"/>
      <c r="I310" s="216"/>
      <c r="J310" s="216"/>
      <c r="K310" s="5"/>
      <c r="L310" s="5"/>
      <c r="M310" s="5"/>
      <c r="N310" s="5"/>
      <c r="O310" s="5"/>
      <c r="P310" s="5"/>
      <c r="Q310" s="5"/>
      <c r="R310" s="5"/>
    </row>
    <row r="311" ht="12.75" hidden="1" customHeight="1">
      <c r="A311" s="213"/>
      <c r="B311" s="214"/>
      <c r="C311" s="216"/>
      <c r="D311" s="216"/>
      <c r="E311" s="216"/>
      <c r="F311" s="216"/>
      <c r="G311" s="216"/>
      <c r="H311" s="216"/>
      <c r="I311" s="216"/>
      <c r="J311" s="216"/>
      <c r="K311" s="5"/>
      <c r="L311" s="5"/>
      <c r="M311" s="5"/>
      <c r="N311" s="5"/>
      <c r="O311" s="5"/>
      <c r="P311" s="5"/>
      <c r="Q311" s="5"/>
      <c r="R311" s="5"/>
    </row>
    <row r="312" ht="12.75" hidden="1" customHeight="1">
      <c r="A312" s="213"/>
      <c r="B312" s="214"/>
      <c r="C312" s="216"/>
      <c r="D312" s="216"/>
      <c r="E312" s="216"/>
      <c r="F312" s="216"/>
      <c r="G312" s="216"/>
      <c r="H312" s="216"/>
      <c r="I312" s="216"/>
      <c r="J312" s="216"/>
      <c r="K312" s="5"/>
      <c r="L312" s="5"/>
      <c r="M312" s="5"/>
      <c r="N312" s="5"/>
      <c r="O312" s="5"/>
      <c r="P312" s="5"/>
      <c r="Q312" s="5"/>
      <c r="R312" s="5"/>
    </row>
    <row r="313" ht="12.75" hidden="1" customHeight="1">
      <c r="A313" s="213"/>
      <c r="B313" s="214"/>
      <c r="C313" s="216"/>
      <c r="D313" s="216"/>
      <c r="E313" s="216"/>
      <c r="F313" s="216"/>
      <c r="G313" s="216"/>
      <c r="H313" s="216"/>
      <c r="I313" s="216"/>
      <c r="J313" s="216"/>
      <c r="K313" s="5"/>
      <c r="L313" s="5"/>
      <c r="M313" s="5"/>
      <c r="N313" s="5"/>
      <c r="O313" s="5"/>
      <c r="P313" s="5"/>
      <c r="Q313" s="5"/>
      <c r="R313" s="5"/>
    </row>
    <row r="314" ht="12.75" hidden="1" customHeight="1">
      <c r="A314" s="213"/>
      <c r="B314" s="214"/>
      <c r="C314" s="216"/>
      <c r="D314" s="216"/>
      <c r="E314" s="216"/>
      <c r="F314" s="216"/>
      <c r="G314" s="216"/>
      <c r="H314" s="216"/>
      <c r="I314" s="216"/>
      <c r="J314" s="216"/>
      <c r="K314" s="5"/>
      <c r="L314" s="5"/>
      <c r="M314" s="5"/>
      <c r="N314" s="5"/>
      <c r="O314" s="5"/>
      <c r="P314" s="5"/>
      <c r="Q314" s="5"/>
      <c r="R314" s="5"/>
    </row>
    <row r="315" ht="12.75" hidden="1" customHeight="1">
      <c r="A315" s="213"/>
      <c r="B315" s="214"/>
      <c r="C315" s="216"/>
      <c r="D315" s="216"/>
      <c r="E315" s="216"/>
      <c r="F315" s="216"/>
      <c r="G315" s="216"/>
      <c r="H315" s="216"/>
      <c r="I315" s="216"/>
      <c r="J315" s="216"/>
      <c r="K315" s="5"/>
      <c r="L315" s="5"/>
      <c r="M315" s="5"/>
      <c r="N315" s="5"/>
      <c r="O315" s="5"/>
      <c r="P315" s="5"/>
      <c r="Q315" s="5"/>
      <c r="R315" s="5"/>
    </row>
    <row r="316" ht="12.75" hidden="1" customHeight="1">
      <c r="A316" s="213"/>
      <c r="B316" s="214"/>
      <c r="C316" s="216"/>
      <c r="D316" s="216"/>
      <c r="E316" s="216"/>
      <c r="F316" s="216"/>
      <c r="G316" s="216"/>
      <c r="H316" s="216"/>
      <c r="I316" s="216"/>
      <c r="J316" s="216"/>
      <c r="K316" s="5"/>
      <c r="L316" s="5"/>
      <c r="M316" s="5"/>
      <c r="N316" s="5"/>
      <c r="O316" s="5"/>
      <c r="P316" s="5"/>
      <c r="Q316" s="5"/>
      <c r="R316" s="5"/>
    </row>
    <row r="317" ht="12.75" hidden="1" customHeight="1">
      <c r="A317" s="213"/>
      <c r="B317" s="214"/>
      <c r="C317" s="216"/>
      <c r="D317" s="216"/>
      <c r="E317" s="216"/>
      <c r="F317" s="216"/>
      <c r="G317" s="216"/>
      <c r="H317" s="216"/>
      <c r="I317" s="216"/>
      <c r="J317" s="216"/>
      <c r="K317" s="5"/>
      <c r="L317" s="5"/>
      <c r="M317" s="5"/>
      <c r="N317" s="5"/>
      <c r="O317" s="5"/>
      <c r="P317" s="5"/>
      <c r="Q317" s="5"/>
      <c r="R317" s="5"/>
    </row>
    <row r="318" ht="12.75" hidden="1" customHeight="1">
      <c r="A318" s="213"/>
      <c r="B318" s="214"/>
      <c r="C318" s="216"/>
      <c r="D318" s="216"/>
      <c r="E318" s="216"/>
      <c r="F318" s="216"/>
      <c r="G318" s="216"/>
      <c r="H318" s="216"/>
      <c r="I318" s="216"/>
      <c r="J318" s="216"/>
      <c r="K318" s="5"/>
      <c r="L318" s="5"/>
      <c r="M318" s="5"/>
      <c r="N318" s="5"/>
      <c r="O318" s="5"/>
      <c r="P318" s="5"/>
      <c r="Q318" s="5"/>
      <c r="R318" s="5"/>
    </row>
    <row r="319" ht="12.75" hidden="1" customHeight="1">
      <c r="A319" s="213"/>
      <c r="B319" s="214"/>
      <c r="C319" s="216"/>
      <c r="D319" s="216"/>
      <c r="E319" s="216"/>
      <c r="F319" s="216"/>
      <c r="G319" s="216"/>
      <c r="H319" s="216"/>
      <c r="I319" s="216"/>
      <c r="J319" s="216"/>
      <c r="K319" s="5"/>
      <c r="L319" s="5"/>
      <c r="M319" s="5"/>
      <c r="N319" s="5"/>
      <c r="O319" s="5"/>
      <c r="P319" s="5"/>
      <c r="Q319" s="5"/>
      <c r="R319" s="5"/>
    </row>
    <row r="320" ht="12.75" hidden="1" customHeight="1">
      <c r="A320" s="213"/>
      <c r="B320" s="214"/>
      <c r="C320" s="216"/>
      <c r="D320" s="216"/>
      <c r="E320" s="216"/>
      <c r="F320" s="216"/>
      <c r="G320" s="216"/>
      <c r="H320" s="216"/>
      <c r="I320" s="216"/>
      <c r="J320" s="216"/>
      <c r="K320" s="5"/>
      <c r="L320" s="5"/>
      <c r="M320" s="5"/>
      <c r="N320" s="5"/>
      <c r="O320" s="5"/>
      <c r="P320" s="5"/>
      <c r="Q320" s="5"/>
      <c r="R320" s="5"/>
    </row>
    <row r="321" ht="12.75" hidden="1" customHeight="1">
      <c r="A321" s="213"/>
      <c r="B321" s="214"/>
      <c r="C321" s="216"/>
      <c r="D321" s="216"/>
      <c r="E321" s="216"/>
      <c r="F321" s="216"/>
      <c r="G321" s="216"/>
      <c r="H321" s="216"/>
      <c r="I321" s="216"/>
      <c r="J321" s="216"/>
      <c r="K321" s="5"/>
      <c r="L321" s="5"/>
      <c r="M321" s="5"/>
      <c r="N321" s="5"/>
      <c r="O321" s="5"/>
      <c r="P321" s="5"/>
      <c r="Q321" s="5"/>
      <c r="R321" s="5"/>
    </row>
    <row r="322" ht="12.75" hidden="1" customHeight="1">
      <c r="A322" s="213"/>
      <c r="B322" s="214"/>
      <c r="C322" s="216"/>
      <c r="D322" s="216"/>
      <c r="E322" s="216"/>
      <c r="F322" s="216"/>
      <c r="G322" s="216"/>
      <c r="H322" s="216"/>
      <c r="I322" s="216"/>
      <c r="J322" s="216"/>
      <c r="K322" s="5"/>
      <c r="L322" s="5"/>
      <c r="M322" s="5"/>
      <c r="N322" s="5"/>
      <c r="O322" s="5"/>
      <c r="P322" s="5"/>
      <c r="Q322" s="5"/>
      <c r="R322" s="5"/>
    </row>
    <row r="323" ht="12.75" hidden="1" customHeight="1">
      <c r="A323" s="213"/>
      <c r="B323" s="214"/>
      <c r="C323" s="216"/>
      <c r="D323" s="216"/>
      <c r="E323" s="216"/>
      <c r="F323" s="216"/>
      <c r="G323" s="216"/>
      <c r="H323" s="216"/>
      <c r="I323" s="216"/>
      <c r="J323" s="216"/>
      <c r="K323" s="5"/>
      <c r="L323" s="5"/>
      <c r="M323" s="5"/>
      <c r="N323" s="5"/>
      <c r="O323" s="5"/>
      <c r="P323" s="5"/>
      <c r="Q323" s="5"/>
      <c r="R323" s="5"/>
    </row>
    <row r="324" ht="12.75" hidden="1" customHeight="1">
      <c r="A324" s="213"/>
      <c r="B324" s="214"/>
      <c r="C324" s="216"/>
      <c r="D324" s="216"/>
      <c r="E324" s="216"/>
      <c r="F324" s="216"/>
      <c r="G324" s="216"/>
      <c r="H324" s="216"/>
      <c r="I324" s="216"/>
      <c r="J324" s="216"/>
      <c r="K324" s="5"/>
      <c r="L324" s="5"/>
      <c r="M324" s="5"/>
      <c r="N324" s="5"/>
      <c r="O324" s="5"/>
      <c r="P324" s="5"/>
      <c r="Q324" s="5"/>
      <c r="R324" s="5"/>
    </row>
    <row r="325" ht="12.75" hidden="1" customHeight="1">
      <c r="A325" s="213"/>
      <c r="B325" s="214"/>
      <c r="C325" s="216"/>
      <c r="D325" s="216"/>
      <c r="E325" s="216"/>
      <c r="F325" s="216"/>
      <c r="G325" s="216"/>
      <c r="H325" s="216"/>
      <c r="I325" s="216"/>
      <c r="J325" s="216"/>
      <c r="K325" s="5"/>
      <c r="L325" s="5"/>
      <c r="M325" s="5"/>
      <c r="N325" s="5"/>
      <c r="O325" s="5"/>
      <c r="P325" s="5"/>
      <c r="Q325" s="5"/>
      <c r="R325" s="5"/>
    </row>
    <row r="326" ht="12.75" hidden="1" customHeight="1">
      <c r="A326" s="213"/>
      <c r="B326" s="214"/>
      <c r="C326" s="216"/>
      <c r="D326" s="216"/>
      <c r="E326" s="216"/>
      <c r="F326" s="216"/>
      <c r="G326" s="216"/>
      <c r="H326" s="216"/>
      <c r="I326" s="216"/>
      <c r="J326" s="216"/>
      <c r="K326" s="5"/>
      <c r="L326" s="5"/>
      <c r="M326" s="5"/>
      <c r="N326" s="5"/>
      <c r="O326" s="5"/>
      <c r="P326" s="5"/>
      <c r="Q326" s="5"/>
      <c r="R326" s="5"/>
    </row>
    <row r="327" ht="12.75" hidden="1" customHeight="1">
      <c r="A327" s="213"/>
      <c r="B327" s="214"/>
      <c r="C327" s="216"/>
      <c r="D327" s="216"/>
      <c r="E327" s="216"/>
      <c r="F327" s="216"/>
      <c r="G327" s="216"/>
      <c r="H327" s="216"/>
      <c r="I327" s="216"/>
      <c r="J327" s="216"/>
      <c r="K327" s="5"/>
      <c r="L327" s="5"/>
      <c r="M327" s="5"/>
      <c r="N327" s="5"/>
      <c r="O327" s="5"/>
      <c r="P327" s="5"/>
      <c r="Q327" s="5"/>
      <c r="R327" s="5"/>
    </row>
    <row r="328" ht="12.75" hidden="1" customHeight="1">
      <c r="A328" s="213"/>
      <c r="B328" s="214"/>
      <c r="C328" s="216"/>
      <c r="D328" s="216"/>
      <c r="E328" s="216"/>
      <c r="F328" s="216"/>
      <c r="G328" s="216"/>
      <c r="H328" s="216"/>
      <c r="I328" s="216"/>
      <c r="J328" s="216"/>
      <c r="K328" s="5"/>
      <c r="L328" s="5"/>
      <c r="M328" s="5"/>
      <c r="N328" s="5"/>
      <c r="O328" s="5"/>
      <c r="P328" s="5"/>
      <c r="Q328" s="5"/>
      <c r="R328" s="5"/>
    </row>
    <row r="329" ht="12.75" hidden="1" customHeight="1">
      <c r="A329" s="213"/>
      <c r="B329" s="214"/>
      <c r="C329" s="216"/>
      <c r="D329" s="216"/>
      <c r="E329" s="216"/>
      <c r="F329" s="216"/>
      <c r="G329" s="216"/>
      <c r="H329" s="216"/>
      <c r="I329" s="216"/>
      <c r="J329" s="216"/>
      <c r="K329" s="5"/>
      <c r="L329" s="5"/>
      <c r="M329" s="5"/>
      <c r="N329" s="5"/>
      <c r="O329" s="5"/>
      <c r="P329" s="5"/>
      <c r="Q329" s="5"/>
      <c r="R329" s="5"/>
    </row>
    <row r="330" ht="12.75" hidden="1" customHeight="1">
      <c r="A330" s="213"/>
      <c r="B330" s="214"/>
      <c r="C330" s="216"/>
      <c r="D330" s="216"/>
      <c r="E330" s="216"/>
      <c r="F330" s="216"/>
      <c r="G330" s="216"/>
      <c r="H330" s="216"/>
      <c r="I330" s="216"/>
      <c r="J330" s="216"/>
      <c r="K330" s="5"/>
      <c r="L330" s="5"/>
      <c r="M330" s="5"/>
      <c r="N330" s="5"/>
      <c r="O330" s="5"/>
      <c r="P330" s="5"/>
      <c r="Q330" s="5"/>
      <c r="R330" s="5"/>
    </row>
    <row r="331" ht="12.75" hidden="1" customHeight="1">
      <c r="A331" s="213"/>
      <c r="B331" s="214"/>
      <c r="C331" s="216"/>
      <c r="D331" s="216"/>
      <c r="E331" s="216"/>
      <c r="F331" s="216"/>
      <c r="G331" s="216"/>
      <c r="H331" s="216"/>
      <c r="I331" s="216"/>
      <c r="J331" s="216"/>
      <c r="K331" s="5"/>
      <c r="L331" s="5"/>
      <c r="M331" s="5"/>
      <c r="N331" s="5"/>
      <c r="O331" s="5"/>
      <c r="P331" s="5"/>
      <c r="Q331" s="5"/>
      <c r="R331" s="5"/>
    </row>
    <row r="332" ht="12.75" hidden="1" customHeight="1">
      <c r="A332" s="213"/>
      <c r="B332" s="214"/>
      <c r="C332" s="216"/>
      <c r="D332" s="216"/>
      <c r="E332" s="216"/>
      <c r="F332" s="216"/>
      <c r="G332" s="216"/>
      <c r="H332" s="216"/>
      <c r="I332" s="216"/>
      <c r="J332" s="216"/>
      <c r="K332" s="5"/>
      <c r="L332" s="5"/>
      <c r="M332" s="5"/>
      <c r="N332" s="5"/>
      <c r="O332" s="5"/>
      <c r="P332" s="5"/>
      <c r="Q332" s="5"/>
      <c r="R332" s="5"/>
    </row>
    <row r="333" ht="12.75" hidden="1" customHeight="1">
      <c r="A333" s="213"/>
      <c r="B333" s="214"/>
      <c r="C333" s="216"/>
      <c r="D333" s="216"/>
      <c r="E333" s="216"/>
      <c r="F333" s="216"/>
      <c r="G333" s="216"/>
      <c r="H333" s="216"/>
      <c r="I333" s="216"/>
      <c r="J333" s="216"/>
      <c r="K333" s="5"/>
      <c r="L333" s="5"/>
      <c r="M333" s="5"/>
      <c r="N333" s="5"/>
      <c r="O333" s="5"/>
      <c r="P333" s="5"/>
      <c r="Q333" s="5"/>
      <c r="R333" s="5"/>
    </row>
    <row r="334" ht="12.75" hidden="1" customHeight="1">
      <c r="A334" s="213"/>
      <c r="B334" s="214"/>
      <c r="C334" s="216"/>
      <c r="D334" s="216"/>
      <c r="E334" s="216"/>
      <c r="F334" s="216"/>
      <c r="G334" s="216"/>
      <c r="H334" s="216"/>
      <c r="I334" s="216"/>
      <c r="J334" s="216"/>
      <c r="K334" s="5"/>
      <c r="L334" s="5"/>
      <c r="M334" s="5"/>
      <c r="N334" s="5"/>
      <c r="O334" s="5"/>
      <c r="P334" s="5"/>
      <c r="Q334" s="5"/>
      <c r="R334" s="5"/>
    </row>
    <row r="335" ht="12.75" hidden="1" customHeight="1">
      <c r="A335" s="213"/>
      <c r="B335" s="214"/>
      <c r="C335" s="216"/>
      <c r="D335" s="216"/>
      <c r="E335" s="216"/>
      <c r="F335" s="216"/>
      <c r="G335" s="216"/>
      <c r="H335" s="216"/>
      <c r="I335" s="216"/>
      <c r="J335" s="216"/>
      <c r="K335" s="5"/>
      <c r="L335" s="5"/>
      <c r="M335" s="5"/>
      <c r="N335" s="5"/>
      <c r="O335" s="5"/>
      <c r="P335" s="5"/>
      <c r="Q335" s="5"/>
      <c r="R335" s="5"/>
    </row>
    <row r="336" ht="12.75" hidden="1" customHeight="1">
      <c r="A336" s="213"/>
      <c r="B336" s="214"/>
      <c r="C336" s="216"/>
      <c r="D336" s="216"/>
      <c r="E336" s="216"/>
      <c r="F336" s="216"/>
      <c r="G336" s="216"/>
      <c r="H336" s="216"/>
      <c r="I336" s="216"/>
      <c r="J336" s="216"/>
      <c r="K336" s="5"/>
      <c r="L336" s="5"/>
      <c r="M336" s="5"/>
      <c r="N336" s="5"/>
      <c r="O336" s="5"/>
      <c r="P336" s="5"/>
      <c r="Q336" s="5"/>
      <c r="R336" s="5"/>
    </row>
    <row r="337" ht="12.75" hidden="1" customHeight="1">
      <c r="A337" s="213"/>
      <c r="B337" s="214"/>
      <c r="C337" s="216"/>
      <c r="D337" s="216"/>
      <c r="E337" s="216"/>
      <c r="F337" s="216"/>
      <c r="G337" s="216"/>
      <c r="H337" s="216"/>
      <c r="I337" s="216"/>
      <c r="J337" s="216"/>
      <c r="K337" s="5"/>
      <c r="L337" s="5"/>
      <c r="M337" s="5"/>
      <c r="N337" s="5"/>
      <c r="O337" s="5"/>
      <c r="P337" s="5"/>
      <c r="Q337" s="5"/>
      <c r="R337" s="5"/>
    </row>
    <row r="338" ht="12.75" hidden="1" customHeight="1">
      <c r="A338" s="213"/>
      <c r="B338" s="214"/>
      <c r="C338" s="216"/>
      <c r="D338" s="216"/>
      <c r="E338" s="216"/>
      <c r="F338" s="216"/>
      <c r="G338" s="216"/>
      <c r="H338" s="216"/>
      <c r="I338" s="216"/>
      <c r="J338" s="216"/>
      <c r="K338" s="5"/>
      <c r="L338" s="5"/>
      <c r="M338" s="5"/>
      <c r="N338" s="5"/>
      <c r="O338" s="5"/>
      <c r="P338" s="5"/>
      <c r="Q338" s="5"/>
      <c r="R338" s="5"/>
    </row>
    <row r="339" ht="12.75" hidden="1" customHeight="1">
      <c r="A339" s="213"/>
      <c r="B339" s="214"/>
      <c r="C339" s="216"/>
      <c r="D339" s="216"/>
      <c r="E339" s="216"/>
      <c r="F339" s="216"/>
      <c r="G339" s="216"/>
      <c r="H339" s="216"/>
      <c r="I339" s="216"/>
      <c r="J339" s="216"/>
      <c r="K339" s="5"/>
      <c r="L339" s="5"/>
      <c r="M339" s="5"/>
      <c r="N339" s="5"/>
      <c r="O339" s="5"/>
      <c r="P339" s="5"/>
      <c r="Q339" s="5"/>
      <c r="R339" s="5"/>
    </row>
    <row r="340" ht="12.75" hidden="1" customHeight="1">
      <c r="A340" s="213"/>
      <c r="B340" s="214"/>
      <c r="C340" s="216"/>
      <c r="D340" s="216"/>
      <c r="E340" s="216"/>
      <c r="F340" s="216"/>
      <c r="G340" s="216"/>
      <c r="H340" s="216"/>
      <c r="I340" s="216"/>
      <c r="J340" s="216"/>
      <c r="K340" s="5"/>
      <c r="L340" s="5"/>
      <c r="M340" s="5"/>
      <c r="N340" s="5"/>
      <c r="O340" s="5"/>
      <c r="P340" s="5"/>
      <c r="Q340" s="5"/>
      <c r="R340" s="5"/>
    </row>
    <row r="341" ht="12.75" hidden="1" customHeight="1">
      <c r="A341" s="213"/>
      <c r="B341" s="214"/>
      <c r="C341" s="216"/>
      <c r="D341" s="216"/>
      <c r="E341" s="216"/>
      <c r="F341" s="216"/>
      <c r="G341" s="216"/>
      <c r="H341" s="216"/>
      <c r="I341" s="216"/>
      <c r="J341" s="216"/>
      <c r="K341" s="5"/>
      <c r="L341" s="5"/>
      <c r="M341" s="5"/>
      <c r="N341" s="5"/>
      <c r="O341" s="5"/>
      <c r="P341" s="5"/>
      <c r="Q341" s="5"/>
      <c r="R341" s="5"/>
    </row>
    <row r="342" ht="12.75" hidden="1" customHeight="1">
      <c r="A342" s="213"/>
      <c r="B342" s="214"/>
      <c r="C342" s="216"/>
      <c r="D342" s="216"/>
      <c r="E342" s="216"/>
      <c r="F342" s="216"/>
      <c r="G342" s="216"/>
      <c r="H342" s="216"/>
      <c r="I342" s="216"/>
      <c r="J342" s="216"/>
      <c r="K342" s="5"/>
      <c r="L342" s="5"/>
      <c r="M342" s="5"/>
      <c r="N342" s="5"/>
      <c r="O342" s="5"/>
      <c r="P342" s="5"/>
      <c r="Q342" s="5"/>
      <c r="R342" s="5"/>
    </row>
    <row r="343" ht="12.75" hidden="1" customHeight="1">
      <c r="A343" s="213"/>
      <c r="B343" s="214"/>
      <c r="C343" s="216"/>
      <c r="D343" s="216"/>
      <c r="E343" s="216"/>
      <c r="F343" s="216"/>
      <c r="G343" s="216"/>
      <c r="H343" s="216"/>
      <c r="I343" s="216"/>
      <c r="J343" s="216"/>
      <c r="K343" s="5"/>
      <c r="L343" s="5"/>
      <c r="M343" s="5"/>
      <c r="N343" s="5"/>
      <c r="O343" s="5"/>
      <c r="P343" s="5"/>
      <c r="Q343" s="5"/>
      <c r="R343" s="5"/>
    </row>
    <row r="344" ht="12.75" hidden="1" customHeight="1">
      <c r="A344" s="213"/>
      <c r="B344" s="214"/>
      <c r="C344" s="216"/>
      <c r="D344" s="216"/>
      <c r="E344" s="216"/>
      <c r="F344" s="216"/>
      <c r="G344" s="216"/>
      <c r="H344" s="216"/>
      <c r="I344" s="216"/>
      <c r="J344" s="216"/>
      <c r="K344" s="5"/>
      <c r="L344" s="5"/>
      <c r="M344" s="5"/>
      <c r="N344" s="5"/>
      <c r="O344" s="5"/>
      <c r="P344" s="5"/>
      <c r="Q344" s="5"/>
      <c r="R344" s="5"/>
    </row>
    <row r="345" ht="12.75" hidden="1" customHeight="1">
      <c r="A345" s="213"/>
      <c r="B345" s="214"/>
      <c r="C345" s="216"/>
      <c r="D345" s="216"/>
      <c r="E345" s="216"/>
      <c r="F345" s="216"/>
      <c r="G345" s="216"/>
      <c r="H345" s="216"/>
      <c r="I345" s="216"/>
      <c r="J345" s="216"/>
      <c r="K345" s="5"/>
      <c r="L345" s="5"/>
      <c r="M345" s="5"/>
      <c r="N345" s="5"/>
      <c r="O345" s="5"/>
      <c r="P345" s="5"/>
      <c r="Q345" s="5"/>
      <c r="R345" s="5"/>
    </row>
    <row r="346" ht="12.75" hidden="1" customHeight="1">
      <c r="A346" s="213"/>
      <c r="B346" s="214"/>
      <c r="C346" s="216"/>
      <c r="D346" s="216"/>
      <c r="E346" s="216"/>
      <c r="F346" s="216"/>
      <c r="G346" s="216"/>
      <c r="H346" s="216"/>
      <c r="I346" s="216"/>
      <c r="J346" s="216"/>
      <c r="K346" s="5"/>
      <c r="L346" s="5"/>
      <c r="M346" s="5"/>
      <c r="N346" s="5"/>
      <c r="O346" s="5"/>
      <c r="P346" s="5"/>
      <c r="Q346" s="5"/>
      <c r="R346" s="5"/>
    </row>
    <row r="347" ht="12.75" hidden="1" customHeight="1">
      <c r="A347" s="213"/>
      <c r="B347" s="214"/>
      <c r="C347" s="216"/>
      <c r="D347" s="216"/>
      <c r="E347" s="216"/>
      <c r="F347" s="216"/>
      <c r="G347" s="216"/>
      <c r="H347" s="216"/>
      <c r="I347" s="216"/>
      <c r="J347" s="216"/>
      <c r="K347" s="5"/>
      <c r="L347" s="5"/>
      <c r="M347" s="5"/>
      <c r="N347" s="5"/>
      <c r="O347" s="5"/>
      <c r="P347" s="5"/>
      <c r="Q347" s="5"/>
      <c r="R347" s="5"/>
    </row>
    <row r="348" ht="12.75" hidden="1" customHeight="1">
      <c r="A348" s="213"/>
      <c r="B348" s="214"/>
      <c r="C348" s="216"/>
      <c r="D348" s="216"/>
      <c r="E348" s="216"/>
      <c r="F348" s="216"/>
      <c r="G348" s="216"/>
      <c r="H348" s="216"/>
      <c r="I348" s="216"/>
      <c r="J348" s="216"/>
      <c r="K348" s="5"/>
      <c r="L348" s="5"/>
      <c r="M348" s="5"/>
      <c r="N348" s="5"/>
      <c r="O348" s="5"/>
      <c r="P348" s="5"/>
      <c r="Q348" s="5"/>
      <c r="R348" s="5"/>
    </row>
    <row r="349" ht="12.75" hidden="1" customHeight="1">
      <c r="A349" s="213"/>
      <c r="B349" s="214"/>
      <c r="C349" s="216"/>
      <c r="D349" s="216"/>
      <c r="E349" s="216"/>
      <c r="F349" s="216"/>
      <c r="G349" s="216"/>
      <c r="H349" s="216"/>
      <c r="I349" s="216"/>
      <c r="J349" s="216"/>
      <c r="K349" s="5"/>
      <c r="L349" s="5"/>
      <c r="M349" s="5"/>
      <c r="N349" s="5"/>
      <c r="O349" s="5"/>
      <c r="P349" s="5"/>
      <c r="Q349" s="5"/>
      <c r="R349" s="5"/>
    </row>
    <row r="350" ht="12.75" hidden="1" customHeight="1">
      <c r="A350" s="213"/>
      <c r="B350" s="214"/>
      <c r="C350" s="216"/>
      <c r="D350" s="216"/>
      <c r="E350" s="216"/>
      <c r="F350" s="216"/>
      <c r="G350" s="216"/>
      <c r="H350" s="216"/>
      <c r="I350" s="216"/>
      <c r="J350" s="216"/>
      <c r="K350" s="5"/>
      <c r="L350" s="5"/>
      <c r="M350" s="5"/>
      <c r="N350" s="5"/>
      <c r="O350" s="5"/>
      <c r="P350" s="5"/>
      <c r="Q350" s="5"/>
      <c r="R350" s="5"/>
    </row>
    <row r="351" ht="12.75" hidden="1" customHeight="1">
      <c r="A351" s="213"/>
      <c r="B351" s="214"/>
      <c r="C351" s="216"/>
      <c r="D351" s="216"/>
      <c r="E351" s="216"/>
      <c r="F351" s="216"/>
      <c r="G351" s="216"/>
      <c r="H351" s="216"/>
      <c r="I351" s="216"/>
      <c r="J351" s="216"/>
      <c r="K351" s="5"/>
      <c r="L351" s="5"/>
      <c r="M351" s="5"/>
      <c r="N351" s="5"/>
      <c r="O351" s="5"/>
      <c r="P351" s="5"/>
      <c r="Q351" s="5"/>
      <c r="R351" s="5"/>
    </row>
    <row r="352" ht="12.75" hidden="1" customHeight="1">
      <c r="A352" s="213"/>
      <c r="B352" s="214"/>
      <c r="C352" s="216"/>
      <c r="D352" s="216"/>
      <c r="E352" s="216"/>
      <c r="F352" s="216"/>
      <c r="G352" s="216"/>
      <c r="H352" s="216"/>
      <c r="I352" s="216"/>
      <c r="J352" s="216"/>
      <c r="K352" s="5"/>
      <c r="L352" s="5"/>
      <c r="M352" s="5"/>
      <c r="N352" s="5"/>
      <c r="O352" s="5"/>
      <c r="P352" s="5"/>
      <c r="Q352" s="5"/>
      <c r="R352" s="5"/>
    </row>
    <row r="353" ht="12.75" hidden="1" customHeight="1">
      <c r="A353" s="213"/>
      <c r="B353" s="214"/>
      <c r="C353" s="216"/>
      <c r="D353" s="216"/>
      <c r="E353" s="216"/>
      <c r="F353" s="216"/>
      <c r="G353" s="216"/>
      <c r="H353" s="216"/>
      <c r="I353" s="216"/>
      <c r="J353" s="216"/>
      <c r="K353" s="5"/>
      <c r="L353" s="5"/>
      <c r="M353" s="5"/>
      <c r="N353" s="5"/>
      <c r="O353" s="5"/>
      <c r="P353" s="5"/>
      <c r="Q353" s="5"/>
      <c r="R353" s="5"/>
    </row>
    <row r="354" ht="12.75" hidden="1" customHeight="1">
      <c r="A354" s="213"/>
      <c r="B354" s="214"/>
      <c r="C354" s="216"/>
      <c r="D354" s="216"/>
      <c r="E354" s="216"/>
      <c r="F354" s="216"/>
      <c r="G354" s="216"/>
      <c r="H354" s="216"/>
      <c r="I354" s="216"/>
      <c r="J354" s="216"/>
      <c r="K354" s="5"/>
      <c r="L354" s="5"/>
      <c r="M354" s="5"/>
      <c r="N354" s="5"/>
      <c r="O354" s="5"/>
      <c r="P354" s="5"/>
      <c r="Q354" s="5"/>
      <c r="R354" s="5"/>
    </row>
    <row r="355" ht="12.75" hidden="1" customHeight="1">
      <c r="A355" s="213"/>
      <c r="B355" s="214"/>
      <c r="C355" s="216"/>
      <c r="D355" s="216"/>
      <c r="E355" s="216"/>
      <c r="F355" s="216"/>
      <c r="G355" s="216"/>
      <c r="H355" s="216"/>
      <c r="I355" s="216"/>
      <c r="J355" s="216"/>
      <c r="K355" s="5"/>
      <c r="L355" s="5"/>
      <c r="M355" s="5"/>
      <c r="N355" s="5"/>
      <c r="O355" s="5"/>
      <c r="P355" s="5"/>
      <c r="Q355" s="5"/>
      <c r="R355" s="5"/>
    </row>
    <row r="356" ht="12.75" hidden="1" customHeight="1">
      <c r="A356" s="213"/>
      <c r="B356" s="214"/>
      <c r="C356" s="216"/>
      <c r="D356" s="216"/>
      <c r="E356" s="216"/>
      <c r="F356" s="216"/>
      <c r="G356" s="216"/>
      <c r="H356" s="216"/>
      <c r="I356" s="216"/>
      <c r="J356" s="216"/>
      <c r="K356" s="5"/>
      <c r="L356" s="5"/>
      <c r="M356" s="5"/>
      <c r="N356" s="5"/>
      <c r="O356" s="5"/>
      <c r="P356" s="5"/>
      <c r="Q356" s="5"/>
      <c r="R356" s="5"/>
    </row>
    <row r="357" ht="12.75" hidden="1" customHeight="1">
      <c r="A357" s="213"/>
      <c r="B357" s="214"/>
      <c r="C357" s="216"/>
      <c r="D357" s="216"/>
      <c r="E357" s="216"/>
      <c r="F357" s="216"/>
      <c r="G357" s="216"/>
      <c r="H357" s="216"/>
      <c r="I357" s="216"/>
      <c r="J357" s="216"/>
      <c r="K357" s="5"/>
      <c r="L357" s="5"/>
      <c r="M357" s="5"/>
      <c r="N357" s="5"/>
      <c r="O357" s="5"/>
      <c r="P357" s="5"/>
      <c r="Q357" s="5"/>
      <c r="R357" s="5"/>
    </row>
    <row r="358" ht="12.75" hidden="1" customHeight="1">
      <c r="A358" s="213"/>
      <c r="B358" s="214"/>
      <c r="C358" s="216"/>
      <c r="D358" s="216"/>
      <c r="E358" s="216"/>
      <c r="F358" s="216"/>
      <c r="G358" s="216"/>
      <c r="H358" s="216"/>
      <c r="I358" s="216"/>
      <c r="J358" s="216"/>
      <c r="K358" s="5"/>
      <c r="L358" s="5"/>
      <c r="M358" s="5"/>
      <c r="N358" s="5"/>
      <c r="O358" s="5"/>
      <c r="P358" s="5"/>
      <c r="Q358" s="5"/>
      <c r="R358" s="5"/>
    </row>
    <row r="359" ht="12.75" hidden="1" customHeight="1">
      <c r="A359" s="213"/>
      <c r="B359" s="214"/>
      <c r="C359" s="216"/>
      <c r="D359" s="216"/>
      <c r="E359" s="216"/>
      <c r="F359" s="216"/>
      <c r="G359" s="216"/>
      <c r="H359" s="216"/>
      <c r="I359" s="216"/>
      <c r="J359" s="216"/>
      <c r="K359" s="5"/>
      <c r="L359" s="5"/>
      <c r="M359" s="5"/>
      <c r="N359" s="5"/>
      <c r="O359" s="5"/>
      <c r="P359" s="5"/>
      <c r="Q359" s="5"/>
      <c r="R359" s="5"/>
    </row>
    <row r="360" ht="12.75" hidden="1" customHeight="1">
      <c r="A360" s="213"/>
      <c r="B360" s="214"/>
      <c r="C360" s="216"/>
      <c r="D360" s="216"/>
      <c r="E360" s="216"/>
      <c r="F360" s="216"/>
      <c r="G360" s="216"/>
      <c r="H360" s="216"/>
      <c r="I360" s="216"/>
      <c r="J360" s="216"/>
      <c r="K360" s="5"/>
      <c r="L360" s="5"/>
      <c r="M360" s="5"/>
      <c r="N360" s="5"/>
      <c r="O360" s="5"/>
      <c r="P360" s="5"/>
      <c r="Q360" s="5"/>
      <c r="R360" s="5"/>
    </row>
    <row r="361" ht="12.75" hidden="1" customHeight="1">
      <c r="A361" s="213"/>
      <c r="B361" s="214"/>
      <c r="C361" s="216"/>
      <c r="D361" s="216"/>
      <c r="E361" s="216"/>
      <c r="F361" s="216"/>
      <c r="G361" s="216"/>
      <c r="H361" s="216"/>
      <c r="I361" s="216"/>
      <c r="J361" s="216"/>
      <c r="K361" s="5"/>
      <c r="L361" s="5"/>
      <c r="M361" s="5"/>
      <c r="N361" s="5"/>
      <c r="O361" s="5"/>
      <c r="P361" s="5"/>
      <c r="Q361" s="5"/>
      <c r="R361" s="5"/>
    </row>
    <row r="362" ht="12.75" hidden="1" customHeight="1">
      <c r="A362" s="213"/>
      <c r="B362" s="214"/>
      <c r="C362" s="216"/>
      <c r="D362" s="216"/>
      <c r="E362" s="216"/>
      <c r="F362" s="216"/>
      <c r="G362" s="216"/>
      <c r="H362" s="216"/>
      <c r="I362" s="216"/>
      <c r="J362" s="216"/>
      <c r="K362" s="5"/>
      <c r="L362" s="5"/>
      <c r="M362" s="5"/>
      <c r="N362" s="5"/>
      <c r="O362" s="5"/>
      <c r="P362" s="5"/>
      <c r="Q362" s="5"/>
      <c r="R362" s="5"/>
    </row>
    <row r="363" ht="12.75" hidden="1" customHeight="1">
      <c r="A363" s="213"/>
      <c r="B363" s="214"/>
      <c r="C363" s="216"/>
      <c r="D363" s="216"/>
      <c r="E363" s="216"/>
      <c r="F363" s="216"/>
      <c r="G363" s="216"/>
      <c r="H363" s="216"/>
      <c r="I363" s="216"/>
      <c r="J363" s="216"/>
      <c r="K363" s="5"/>
      <c r="L363" s="5"/>
      <c r="M363" s="5"/>
      <c r="N363" s="5"/>
      <c r="O363" s="5"/>
      <c r="P363" s="5"/>
      <c r="Q363" s="5"/>
      <c r="R363" s="5"/>
    </row>
    <row r="364" ht="12.75" hidden="1" customHeight="1">
      <c r="A364" s="213"/>
      <c r="B364" s="214"/>
      <c r="C364" s="216"/>
      <c r="D364" s="216"/>
      <c r="E364" s="216"/>
      <c r="F364" s="216"/>
      <c r="G364" s="216"/>
      <c r="H364" s="216"/>
      <c r="I364" s="216"/>
      <c r="J364" s="216"/>
      <c r="K364" s="5"/>
      <c r="L364" s="5"/>
      <c r="M364" s="5"/>
      <c r="N364" s="5"/>
      <c r="O364" s="5"/>
      <c r="P364" s="5"/>
      <c r="Q364" s="5"/>
      <c r="R364" s="5"/>
    </row>
    <row r="365" ht="12.75" hidden="1" customHeight="1">
      <c r="A365" s="213"/>
      <c r="B365" s="214"/>
      <c r="C365" s="216"/>
      <c r="D365" s="216"/>
      <c r="E365" s="216"/>
      <c r="F365" s="216"/>
      <c r="G365" s="216"/>
      <c r="H365" s="216"/>
      <c r="I365" s="216"/>
      <c r="J365" s="216"/>
      <c r="K365" s="5"/>
      <c r="L365" s="5"/>
      <c r="M365" s="5"/>
      <c r="N365" s="5"/>
      <c r="O365" s="5"/>
      <c r="P365" s="5"/>
      <c r="Q365" s="5"/>
      <c r="R365" s="5"/>
    </row>
    <row r="366" ht="12.75" hidden="1" customHeight="1">
      <c r="A366" s="213"/>
      <c r="B366" s="214"/>
      <c r="C366" s="216"/>
      <c r="D366" s="216"/>
      <c r="E366" s="216"/>
      <c r="F366" s="216"/>
      <c r="G366" s="216"/>
      <c r="H366" s="216"/>
      <c r="I366" s="216"/>
      <c r="J366" s="216"/>
      <c r="K366" s="5"/>
      <c r="L366" s="5"/>
      <c r="M366" s="5"/>
      <c r="N366" s="5"/>
      <c r="O366" s="5"/>
      <c r="P366" s="5"/>
      <c r="Q366" s="5"/>
      <c r="R366" s="5"/>
    </row>
    <row r="367" ht="12.75" hidden="1" customHeight="1">
      <c r="A367" s="213"/>
      <c r="B367" s="214"/>
      <c r="C367" s="216"/>
      <c r="D367" s="216"/>
      <c r="E367" s="216"/>
      <c r="F367" s="216"/>
      <c r="G367" s="216"/>
      <c r="H367" s="216"/>
      <c r="I367" s="216"/>
      <c r="J367" s="216"/>
      <c r="K367" s="5"/>
      <c r="L367" s="5"/>
      <c r="M367" s="5"/>
      <c r="N367" s="5"/>
      <c r="O367" s="5"/>
      <c r="P367" s="5"/>
      <c r="Q367" s="5"/>
      <c r="R367" s="5"/>
    </row>
    <row r="368" ht="12.75" hidden="1" customHeight="1">
      <c r="A368" s="213"/>
      <c r="B368" s="214"/>
      <c r="C368" s="216"/>
      <c r="D368" s="216"/>
      <c r="E368" s="216"/>
      <c r="F368" s="216"/>
      <c r="G368" s="216"/>
      <c r="H368" s="216"/>
      <c r="I368" s="216"/>
      <c r="J368" s="216"/>
      <c r="K368" s="5"/>
      <c r="L368" s="5"/>
      <c r="M368" s="5"/>
      <c r="N368" s="5"/>
      <c r="O368" s="5"/>
      <c r="P368" s="5"/>
      <c r="Q368" s="5"/>
      <c r="R368" s="5"/>
    </row>
    <row r="369" ht="12.75" hidden="1" customHeight="1">
      <c r="A369" s="213"/>
      <c r="B369" s="214"/>
      <c r="C369" s="216"/>
      <c r="D369" s="216"/>
      <c r="E369" s="216"/>
      <c r="F369" s="216"/>
      <c r="G369" s="216"/>
      <c r="H369" s="216"/>
      <c r="I369" s="216"/>
      <c r="J369" s="216"/>
      <c r="K369" s="5"/>
      <c r="L369" s="5"/>
      <c r="M369" s="5"/>
      <c r="N369" s="5"/>
      <c r="O369" s="5"/>
      <c r="P369" s="5"/>
      <c r="Q369" s="5"/>
      <c r="R369" s="5"/>
    </row>
    <row r="370" ht="12.75" hidden="1" customHeight="1">
      <c r="A370" s="213"/>
      <c r="B370" s="214"/>
      <c r="C370" s="216"/>
      <c r="D370" s="216"/>
      <c r="E370" s="216"/>
      <c r="F370" s="216"/>
      <c r="G370" s="216"/>
      <c r="H370" s="216"/>
      <c r="I370" s="216"/>
      <c r="J370" s="216"/>
      <c r="K370" s="5"/>
      <c r="L370" s="5"/>
      <c r="M370" s="5"/>
      <c r="N370" s="5"/>
      <c r="O370" s="5"/>
      <c r="P370" s="5"/>
      <c r="Q370" s="5"/>
      <c r="R370" s="5"/>
    </row>
    <row r="371" ht="12.75" hidden="1" customHeight="1">
      <c r="A371" s="213"/>
      <c r="B371" s="214"/>
      <c r="C371" s="216"/>
      <c r="D371" s="216"/>
      <c r="E371" s="216"/>
      <c r="F371" s="216"/>
      <c r="G371" s="216"/>
      <c r="H371" s="216"/>
      <c r="I371" s="216"/>
      <c r="J371" s="216"/>
      <c r="K371" s="5"/>
      <c r="L371" s="5"/>
      <c r="M371" s="5"/>
      <c r="N371" s="5"/>
      <c r="O371" s="5"/>
      <c r="P371" s="5"/>
      <c r="Q371" s="5"/>
      <c r="R371" s="5"/>
    </row>
    <row r="372" ht="12.75" hidden="1" customHeight="1">
      <c r="A372" s="213"/>
      <c r="B372" s="214"/>
      <c r="C372" s="216"/>
      <c r="D372" s="216"/>
      <c r="E372" s="216"/>
      <c r="F372" s="216"/>
      <c r="G372" s="216"/>
      <c r="H372" s="216"/>
      <c r="I372" s="216"/>
      <c r="J372" s="216"/>
      <c r="K372" s="5"/>
      <c r="L372" s="5"/>
      <c r="M372" s="5"/>
      <c r="N372" s="5"/>
      <c r="O372" s="5"/>
      <c r="P372" s="5"/>
      <c r="Q372" s="5"/>
      <c r="R372" s="5"/>
    </row>
    <row r="373" ht="12.75" hidden="1" customHeight="1">
      <c r="A373" s="213"/>
      <c r="B373" s="214"/>
      <c r="C373" s="216"/>
      <c r="D373" s="216"/>
      <c r="E373" s="216"/>
      <c r="F373" s="216"/>
      <c r="G373" s="216"/>
      <c r="H373" s="216"/>
      <c r="I373" s="216"/>
      <c r="J373" s="216"/>
      <c r="K373" s="5"/>
      <c r="L373" s="5"/>
      <c r="M373" s="5"/>
      <c r="N373" s="5"/>
      <c r="O373" s="5"/>
      <c r="P373" s="5"/>
      <c r="Q373" s="5"/>
      <c r="R373" s="5"/>
    </row>
    <row r="374" ht="12.75" hidden="1" customHeight="1">
      <c r="A374" s="213"/>
      <c r="B374" s="214"/>
      <c r="C374" s="216"/>
      <c r="D374" s="216"/>
      <c r="E374" s="216"/>
      <c r="F374" s="216"/>
      <c r="G374" s="216"/>
      <c r="H374" s="216"/>
      <c r="I374" s="216"/>
      <c r="J374" s="216"/>
      <c r="K374" s="5"/>
      <c r="L374" s="5"/>
      <c r="M374" s="5"/>
      <c r="N374" s="5"/>
      <c r="O374" s="5"/>
      <c r="P374" s="5"/>
      <c r="Q374" s="5"/>
      <c r="R374" s="5"/>
    </row>
    <row r="375" ht="12.75" hidden="1" customHeight="1">
      <c r="A375" s="213"/>
      <c r="B375" s="214"/>
      <c r="C375" s="216"/>
      <c r="D375" s="216"/>
      <c r="E375" s="216"/>
      <c r="F375" s="216"/>
      <c r="G375" s="216"/>
      <c r="H375" s="216"/>
      <c r="I375" s="216"/>
      <c r="J375" s="216"/>
      <c r="K375" s="5"/>
      <c r="L375" s="5"/>
      <c r="M375" s="5"/>
      <c r="N375" s="5"/>
      <c r="O375" s="5"/>
      <c r="P375" s="5"/>
      <c r="Q375" s="5"/>
      <c r="R375" s="5"/>
    </row>
    <row r="376" ht="12.75" hidden="1" customHeight="1">
      <c r="A376" s="213"/>
      <c r="B376" s="214"/>
      <c r="C376" s="216"/>
      <c r="D376" s="216"/>
      <c r="E376" s="216"/>
      <c r="F376" s="216"/>
      <c r="G376" s="216"/>
      <c r="H376" s="216"/>
      <c r="I376" s="216"/>
      <c r="J376" s="216"/>
      <c r="K376" s="5"/>
      <c r="L376" s="5"/>
      <c r="M376" s="5"/>
      <c r="N376" s="5"/>
      <c r="O376" s="5"/>
      <c r="P376" s="5"/>
      <c r="Q376" s="5"/>
      <c r="R376" s="5"/>
    </row>
    <row r="377" ht="12.75" hidden="1" customHeight="1">
      <c r="A377" s="213"/>
      <c r="B377" s="214"/>
      <c r="C377" s="216"/>
      <c r="D377" s="216"/>
      <c r="E377" s="216"/>
      <c r="F377" s="216"/>
      <c r="G377" s="216"/>
      <c r="H377" s="216"/>
      <c r="I377" s="216"/>
      <c r="J377" s="216"/>
      <c r="K377" s="5"/>
      <c r="L377" s="5"/>
      <c r="M377" s="5"/>
      <c r="N377" s="5"/>
      <c r="O377" s="5"/>
      <c r="P377" s="5"/>
      <c r="Q377" s="5"/>
      <c r="R377" s="5"/>
    </row>
    <row r="378" ht="12.75" hidden="1" customHeight="1">
      <c r="A378" s="213"/>
      <c r="B378" s="214"/>
      <c r="C378" s="216"/>
      <c r="D378" s="216"/>
      <c r="E378" s="216"/>
      <c r="F378" s="216"/>
      <c r="G378" s="216"/>
      <c r="H378" s="216"/>
      <c r="I378" s="216"/>
      <c r="J378" s="216"/>
      <c r="K378" s="5"/>
      <c r="L378" s="5"/>
      <c r="M378" s="5"/>
      <c r="N378" s="5"/>
      <c r="O378" s="5"/>
      <c r="P378" s="5"/>
      <c r="Q378" s="5"/>
      <c r="R378" s="5"/>
    </row>
    <row r="379" ht="12.75" hidden="1" customHeight="1">
      <c r="A379" s="213"/>
      <c r="B379" s="214"/>
      <c r="C379" s="216"/>
      <c r="D379" s="216"/>
      <c r="E379" s="216"/>
      <c r="F379" s="216"/>
      <c r="G379" s="216"/>
      <c r="H379" s="216"/>
      <c r="I379" s="216"/>
      <c r="J379" s="216"/>
      <c r="K379" s="5"/>
      <c r="L379" s="5"/>
      <c r="M379" s="5"/>
      <c r="N379" s="5"/>
      <c r="O379" s="5"/>
      <c r="P379" s="5"/>
      <c r="Q379" s="5"/>
      <c r="R379" s="5"/>
    </row>
    <row r="380" ht="12.75" hidden="1" customHeight="1">
      <c r="A380" s="213"/>
      <c r="B380" s="214"/>
      <c r="C380" s="216"/>
      <c r="D380" s="216"/>
      <c r="E380" s="216"/>
      <c r="F380" s="216"/>
      <c r="G380" s="216"/>
      <c r="H380" s="216"/>
      <c r="I380" s="216"/>
      <c r="J380" s="216"/>
      <c r="K380" s="5"/>
      <c r="L380" s="5"/>
      <c r="M380" s="5"/>
      <c r="N380" s="5"/>
      <c r="O380" s="5"/>
      <c r="P380" s="5"/>
      <c r="Q380" s="5"/>
      <c r="R380" s="5"/>
    </row>
    <row r="381" ht="12.75" hidden="1" customHeight="1">
      <c r="A381" s="213"/>
      <c r="B381" s="214"/>
      <c r="C381" s="216"/>
      <c r="D381" s="216"/>
      <c r="E381" s="216"/>
      <c r="F381" s="216"/>
      <c r="G381" s="216"/>
      <c r="H381" s="216"/>
      <c r="I381" s="216"/>
      <c r="J381" s="216"/>
      <c r="K381" s="5"/>
      <c r="L381" s="5"/>
      <c r="M381" s="5"/>
      <c r="N381" s="5"/>
      <c r="O381" s="5"/>
      <c r="P381" s="5"/>
      <c r="Q381" s="5"/>
      <c r="R381" s="5"/>
    </row>
    <row r="382" ht="12.75" hidden="1" customHeight="1">
      <c r="A382" s="213"/>
      <c r="B382" s="214"/>
      <c r="C382" s="216"/>
      <c r="D382" s="216"/>
      <c r="E382" s="216"/>
      <c r="F382" s="216"/>
      <c r="G382" s="216"/>
      <c r="H382" s="216"/>
      <c r="I382" s="216"/>
      <c r="J382" s="216"/>
      <c r="K382" s="5"/>
      <c r="L382" s="5"/>
      <c r="M382" s="5"/>
      <c r="N382" s="5"/>
      <c r="O382" s="5"/>
      <c r="P382" s="5"/>
      <c r="Q382" s="5"/>
      <c r="R382" s="5"/>
    </row>
    <row r="383" ht="12.75" hidden="1" customHeight="1">
      <c r="A383" s="213"/>
      <c r="B383" s="214"/>
      <c r="C383" s="216"/>
      <c r="D383" s="216"/>
      <c r="E383" s="216"/>
      <c r="F383" s="216"/>
      <c r="G383" s="216"/>
      <c r="H383" s="216"/>
      <c r="I383" s="216"/>
      <c r="J383" s="216"/>
      <c r="K383" s="5"/>
      <c r="L383" s="5"/>
      <c r="M383" s="5"/>
      <c r="N383" s="5"/>
      <c r="O383" s="5"/>
      <c r="P383" s="5"/>
      <c r="Q383" s="5"/>
      <c r="R383" s="5"/>
    </row>
    <row r="384" ht="12.75" hidden="1" customHeight="1">
      <c r="A384" s="213"/>
      <c r="B384" s="214"/>
      <c r="C384" s="216"/>
      <c r="D384" s="216"/>
      <c r="E384" s="216"/>
      <c r="F384" s="216"/>
      <c r="G384" s="216"/>
      <c r="H384" s="216"/>
      <c r="I384" s="216"/>
      <c r="J384" s="216"/>
      <c r="K384" s="5"/>
      <c r="L384" s="5"/>
      <c r="M384" s="5"/>
      <c r="N384" s="5"/>
      <c r="O384" s="5"/>
      <c r="P384" s="5"/>
      <c r="Q384" s="5"/>
      <c r="R384" s="5"/>
    </row>
    <row r="385" ht="12.75" hidden="1" customHeight="1">
      <c r="A385" s="213"/>
      <c r="B385" s="214"/>
      <c r="C385" s="216"/>
      <c r="D385" s="216"/>
      <c r="E385" s="216"/>
      <c r="F385" s="216"/>
      <c r="G385" s="216"/>
      <c r="H385" s="216"/>
      <c r="I385" s="216"/>
      <c r="J385" s="216"/>
      <c r="K385" s="5"/>
      <c r="L385" s="5"/>
      <c r="M385" s="5"/>
      <c r="N385" s="5"/>
      <c r="O385" s="5"/>
      <c r="P385" s="5"/>
      <c r="Q385" s="5"/>
      <c r="R385" s="5"/>
    </row>
    <row r="386" ht="12.75" hidden="1" customHeight="1">
      <c r="A386" s="213"/>
      <c r="B386" s="214"/>
      <c r="C386" s="216"/>
      <c r="D386" s="216"/>
      <c r="E386" s="216"/>
      <c r="F386" s="216"/>
      <c r="G386" s="216"/>
      <c r="H386" s="216"/>
      <c r="I386" s="216"/>
      <c r="J386" s="216"/>
      <c r="K386" s="5"/>
      <c r="L386" s="5"/>
      <c r="M386" s="5"/>
      <c r="N386" s="5"/>
      <c r="O386" s="5"/>
      <c r="P386" s="5"/>
      <c r="Q386" s="5"/>
      <c r="R386" s="5"/>
    </row>
    <row r="387" ht="12.75" hidden="1" customHeight="1">
      <c r="A387" s="213"/>
      <c r="B387" s="214"/>
      <c r="C387" s="216"/>
      <c r="D387" s="216"/>
      <c r="E387" s="216"/>
      <c r="F387" s="216"/>
      <c r="G387" s="216"/>
      <c r="H387" s="216"/>
      <c r="I387" s="216"/>
      <c r="J387" s="216"/>
      <c r="K387" s="5"/>
      <c r="L387" s="5"/>
      <c r="M387" s="5"/>
      <c r="N387" s="5"/>
      <c r="O387" s="5"/>
      <c r="P387" s="5"/>
      <c r="Q387" s="5"/>
      <c r="R387" s="5"/>
    </row>
    <row r="388" ht="12.75" hidden="1" customHeight="1">
      <c r="A388" s="213"/>
      <c r="B388" s="214"/>
      <c r="C388" s="216"/>
      <c r="D388" s="216"/>
      <c r="E388" s="216"/>
      <c r="F388" s="216"/>
      <c r="G388" s="216"/>
      <c r="H388" s="216"/>
      <c r="I388" s="216"/>
      <c r="J388" s="216"/>
      <c r="K388" s="5"/>
      <c r="L388" s="5"/>
      <c r="M388" s="5"/>
      <c r="N388" s="5"/>
      <c r="O388" s="5"/>
      <c r="P388" s="5"/>
      <c r="Q388" s="5"/>
      <c r="R388" s="5"/>
    </row>
    <row r="389" ht="12.75" hidden="1" customHeight="1">
      <c r="A389" s="213"/>
      <c r="B389" s="214"/>
      <c r="C389" s="216"/>
      <c r="D389" s="216"/>
      <c r="E389" s="216"/>
      <c r="F389" s="216"/>
      <c r="G389" s="216"/>
      <c r="H389" s="216"/>
      <c r="I389" s="216"/>
      <c r="J389" s="216"/>
      <c r="K389" s="5"/>
      <c r="L389" s="5"/>
      <c r="M389" s="5"/>
      <c r="N389" s="5"/>
      <c r="O389" s="5"/>
      <c r="P389" s="5"/>
      <c r="Q389" s="5"/>
      <c r="R389" s="5"/>
    </row>
    <row r="390" ht="12.75" hidden="1" customHeight="1">
      <c r="A390" s="213"/>
      <c r="B390" s="214"/>
      <c r="C390" s="216"/>
      <c r="D390" s="216"/>
      <c r="E390" s="216"/>
      <c r="F390" s="216"/>
      <c r="G390" s="216"/>
      <c r="H390" s="216"/>
      <c r="I390" s="216"/>
      <c r="J390" s="216"/>
      <c r="K390" s="5"/>
      <c r="L390" s="5"/>
      <c r="M390" s="5"/>
      <c r="N390" s="5"/>
      <c r="O390" s="5"/>
      <c r="P390" s="5"/>
      <c r="Q390" s="5"/>
      <c r="R390" s="5"/>
    </row>
    <row r="391" ht="12.75" hidden="1" customHeight="1">
      <c r="A391" s="213"/>
      <c r="B391" s="214"/>
      <c r="C391" s="216"/>
      <c r="D391" s="216"/>
      <c r="E391" s="216"/>
      <c r="F391" s="216"/>
      <c r="G391" s="216"/>
      <c r="H391" s="216"/>
      <c r="I391" s="216"/>
      <c r="J391" s="216"/>
      <c r="K391" s="5"/>
      <c r="L391" s="5"/>
      <c r="M391" s="5"/>
      <c r="N391" s="5"/>
      <c r="O391" s="5"/>
      <c r="P391" s="5"/>
      <c r="Q391" s="5"/>
      <c r="R391" s="5"/>
    </row>
    <row r="392" ht="12.75" hidden="1" customHeight="1">
      <c r="A392" s="213"/>
      <c r="B392" s="214"/>
      <c r="C392" s="216"/>
      <c r="D392" s="216"/>
      <c r="E392" s="216"/>
      <c r="F392" s="216"/>
      <c r="G392" s="216"/>
      <c r="H392" s="216"/>
      <c r="I392" s="216"/>
      <c r="J392" s="216"/>
      <c r="K392" s="5"/>
      <c r="L392" s="5"/>
      <c r="M392" s="5"/>
      <c r="N392" s="5"/>
      <c r="O392" s="5"/>
      <c r="P392" s="5"/>
      <c r="Q392" s="5"/>
      <c r="R392" s="5"/>
    </row>
    <row r="393" ht="12.75" hidden="1" customHeight="1">
      <c r="A393" s="213"/>
      <c r="B393" s="214"/>
      <c r="C393" s="216"/>
      <c r="D393" s="216"/>
      <c r="E393" s="216"/>
      <c r="F393" s="216"/>
      <c r="G393" s="216"/>
      <c r="H393" s="216"/>
      <c r="I393" s="216"/>
      <c r="J393" s="216"/>
      <c r="K393" s="5"/>
      <c r="L393" s="5"/>
      <c r="M393" s="5"/>
      <c r="N393" s="5"/>
      <c r="O393" s="5"/>
      <c r="P393" s="5"/>
      <c r="Q393" s="5"/>
      <c r="R393" s="5"/>
    </row>
    <row r="394" ht="12.75" hidden="1" customHeight="1">
      <c r="A394" s="213"/>
      <c r="B394" s="214"/>
      <c r="C394" s="216"/>
      <c r="D394" s="216"/>
      <c r="E394" s="216"/>
      <c r="F394" s="216"/>
      <c r="G394" s="216"/>
      <c r="H394" s="216"/>
      <c r="I394" s="216"/>
      <c r="J394" s="216"/>
      <c r="K394" s="5"/>
      <c r="L394" s="5"/>
      <c r="M394" s="5"/>
      <c r="N394" s="5"/>
      <c r="O394" s="5"/>
      <c r="P394" s="5"/>
      <c r="Q394" s="5"/>
      <c r="R394" s="5"/>
    </row>
    <row r="395" ht="12.75" hidden="1" customHeight="1">
      <c r="A395" s="213"/>
      <c r="B395" s="214"/>
      <c r="C395" s="216"/>
      <c r="D395" s="216"/>
      <c r="E395" s="216"/>
      <c r="F395" s="216"/>
      <c r="G395" s="216"/>
      <c r="H395" s="216"/>
      <c r="I395" s="216"/>
      <c r="J395" s="216"/>
      <c r="K395" s="5"/>
      <c r="L395" s="5"/>
      <c r="M395" s="5"/>
      <c r="N395" s="5"/>
      <c r="O395" s="5"/>
      <c r="P395" s="5"/>
      <c r="Q395" s="5"/>
      <c r="R395" s="5"/>
    </row>
    <row r="396" ht="12.75" hidden="1" customHeight="1">
      <c r="A396" s="213"/>
      <c r="B396" s="214"/>
      <c r="C396" s="216"/>
      <c r="D396" s="216"/>
      <c r="E396" s="216"/>
      <c r="F396" s="216"/>
      <c r="G396" s="216"/>
      <c r="H396" s="216"/>
      <c r="I396" s="216"/>
      <c r="J396" s="216"/>
      <c r="K396" s="5"/>
      <c r="L396" s="5"/>
      <c r="M396" s="5"/>
      <c r="N396" s="5"/>
      <c r="O396" s="5"/>
      <c r="P396" s="5"/>
      <c r="Q396" s="5"/>
      <c r="R396" s="5"/>
    </row>
    <row r="397" ht="12.75" hidden="1" customHeight="1">
      <c r="A397" s="213"/>
      <c r="B397" s="214"/>
      <c r="C397" s="216"/>
      <c r="D397" s="216"/>
      <c r="E397" s="216"/>
      <c r="F397" s="216"/>
      <c r="G397" s="216"/>
      <c r="H397" s="216"/>
      <c r="I397" s="216"/>
      <c r="J397" s="216"/>
      <c r="K397" s="5"/>
      <c r="L397" s="5"/>
      <c r="M397" s="5"/>
      <c r="N397" s="5"/>
      <c r="O397" s="5"/>
      <c r="P397" s="5"/>
      <c r="Q397" s="5"/>
      <c r="R397" s="5"/>
    </row>
    <row r="398" ht="12.75" hidden="1" customHeight="1">
      <c r="A398" s="213"/>
      <c r="B398" s="214"/>
      <c r="C398" s="216"/>
      <c r="D398" s="216"/>
      <c r="E398" s="216"/>
      <c r="F398" s="216"/>
      <c r="G398" s="216"/>
      <c r="H398" s="216"/>
      <c r="I398" s="216"/>
      <c r="J398" s="216"/>
      <c r="K398" s="5"/>
      <c r="L398" s="5"/>
      <c r="M398" s="5"/>
      <c r="N398" s="5"/>
      <c r="O398" s="5"/>
      <c r="P398" s="5"/>
      <c r="Q398" s="5"/>
      <c r="R398" s="5"/>
    </row>
    <row r="399" ht="12.75" hidden="1" customHeight="1">
      <c r="A399" s="213"/>
      <c r="B399" s="214"/>
      <c r="C399" s="216"/>
      <c r="D399" s="216"/>
      <c r="E399" s="216"/>
      <c r="F399" s="216"/>
      <c r="G399" s="216"/>
      <c r="H399" s="216"/>
      <c r="I399" s="216"/>
      <c r="J399" s="216"/>
      <c r="K399" s="5"/>
      <c r="L399" s="5"/>
      <c r="M399" s="5"/>
      <c r="N399" s="5"/>
      <c r="O399" s="5"/>
      <c r="P399" s="5"/>
      <c r="Q399" s="5"/>
      <c r="R399" s="5"/>
    </row>
    <row r="400" ht="12.75" hidden="1" customHeight="1">
      <c r="A400" s="213"/>
      <c r="B400" s="214"/>
      <c r="C400" s="216"/>
      <c r="D400" s="216"/>
      <c r="E400" s="216"/>
      <c r="F400" s="216"/>
      <c r="G400" s="216"/>
      <c r="H400" s="216"/>
      <c r="I400" s="216"/>
      <c r="J400" s="216"/>
      <c r="K400" s="5"/>
      <c r="L400" s="5"/>
      <c r="M400" s="5"/>
      <c r="N400" s="5"/>
      <c r="O400" s="5"/>
      <c r="P400" s="5"/>
      <c r="Q400" s="5"/>
      <c r="R400" s="5"/>
    </row>
    <row r="401" ht="12.75" hidden="1" customHeight="1">
      <c r="A401" s="213"/>
      <c r="B401" s="214"/>
      <c r="C401" s="216"/>
      <c r="D401" s="216"/>
      <c r="E401" s="216"/>
      <c r="F401" s="216"/>
      <c r="G401" s="216"/>
      <c r="H401" s="216"/>
      <c r="I401" s="216"/>
      <c r="J401" s="216"/>
      <c r="K401" s="5"/>
      <c r="L401" s="5"/>
      <c r="M401" s="5"/>
      <c r="N401" s="5"/>
      <c r="O401" s="5"/>
      <c r="P401" s="5"/>
      <c r="Q401" s="5"/>
      <c r="R401" s="5"/>
    </row>
    <row r="402" ht="12.75" hidden="1" customHeight="1">
      <c r="A402" s="213"/>
      <c r="B402" s="214"/>
      <c r="C402" s="216"/>
      <c r="D402" s="216"/>
      <c r="E402" s="216"/>
      <c r="F402" s="216"/>
      <c r="G402" s="216"/>
      <c r="H402" s="216"/>
      <c r="I402" s="216"/>
      <c r="J402" s="216"/>
      <c r="K402" s="5"/>
      <c r="L402" s="5"/>
      <c r="M402" s="5"/>
      <c r="N402" s="5"/>
      <c r="O402" s="5"/>
      <c r="P402" s="5"/>
      <c r="Q402" s="5"/>
      <c r="R402" s="5"/>
    </row>
    <row r="403" ht="12.75" hidden="1" customHeight="1">
      <c r="A403" s="213"/>
      <c r="B403" s="214"/>
      <c r="C403" s="216"/>
      <c r="D403" s="216"/>
      <c r="E403" s="216"/>
      <c r="F403" s="216"/>
      <c r="G403" s="216"/>
      <c r="H403" s="216"/>
      <c r="I403" s="216"/>
      <c r="J403" s="216"/>
      <c r="K403" s="5"/>
      <c r="L403" s="5"/>
      <c r="M403" s="5"/>
      <c r="N403" s="5"/>
      <c r="O403" s="5"/>
      <c r="P403" s="5"/>
      <c r="Q403" s="5"/>
      <c r="R403" s="5"/>
    </row>
    <row r="404" ht="12.75" hidden="1" customHeight="1">
      <c r="A404" s="213"/>
      <c r="B404" s="214"/>
      <c r="C404" s="216"/>
      <c r="D404" s="216"/>
      <c r="E404" s="216"/>
      <c r="F404" s="216"/>
      <c r="G404" s="216"/>
      <c r="H404" s="216"/>
      <c r="I404" s="216"/>
      <c r="J404" s="216"/>
      <c r="K404" s="5"/>
      <c r="L404" s="5"/>
      <c r="M404" s="5"/>
      <c r="N404" s="5"/>
      <c r="O404" s="5"/>
      <c r="P404" s="5"/>
      <c r="Q404" s="5"/>
      <c r="R404" s="5"/>
    </row>
    <row r="405" ht="12.75" hidden="1" customHeight="1">
      <c r="A405" s="213"/>
      <c r="B405" s="214"/>
      <c r="C405" s="216"/>
      <c r="D405" s="216"/>
      <c r="E405" s="216"/>
      <c r="F405" s="216"/>
      <c r="G405" s="216"/>
      <c r="H405" s="216"/>
      <c r="I405" s="216"/>
      <c r="J405" s="216"/>
      <c r="K405" s="5"/>
      <c r="L405" s="5"/>
      <c r="M405" s="5"/>
      <c r="N405" s="5"/>
      <c r="O405" s="5"/>
      <c r="P405" s="5"/>
      <c r="Q405" s="5"/>
      <c r="R405" s="5"/>
    </row>
    <row r="406" ht="12.75" hidden="1" customHeight="1">
      <c r="A406" s="213"/>
      <c r="B406" s="214"/>
      <c r="C406" s="216"/>
      <c r="D406" s="216"/>
      <c r="E406" s="216"/>
      <c r="F406" s="216"/>
      <c r="G406" s="216"/>
      <c r="H406" s="216"/>
      <c r="I406" s="216"/>
      <c r="J406" s="216"/>
      <c r="K406" s="5"/>
      <c r="L406" s="5"/>
      <c r="M406" s="5"/>
      <c r="N406" s="5"/>
      <c r="O406" s="5"/>
      <c r="P406" s="5"/>
      <c r="Q406" s="5"/>
      <c r="R406" s="5"/>
    </row>
    <row r="407" ht="12.75" hidden="1" customHeight="1">
      <c r="A407" s="213"/>
      <c r="B407" s="214"/>
      <c r="C407" s="216"/>
      <c r="D407" s="216"/>
      <c r="E407" s="216"/>
      <c r="F407" s="216"/>
      <c r="G407" s="216"/>
      <c r="H407" s="216"/>
      <c r="I407" s="216"/>
      <c r="J407" s="216"/>
      <c r="K407" s="5"/>
      <c r="L407" s="5"/>
      <c r="M407" s="5"/>
      <c r="N407" s="5"/>
      <c r="O407" s="5"/>
      <c r="P407" s="5"/>
      <c r="Q407" s="5"/>
      <c r="R407" s="5"/>
    </row>
    <row r="408" ht="12.75" hidden="1" customHeight="1">
      <c r="A408" s="213"/>
      <c r="B408" s="214"/>
      <c r="C408" s="216"/>
      <c r="D408" s="216"/>
      <c r="E408" s="216"/>
      <c r="F408" s="216"/>
      <c r="G408" s="216"/>
      <c r="H408" s="216"/>
      <c r="I408" s="216"/>
      <c r="J408" s="216"/>
      <c r="K408" s="5"/>
      <c r="L408" s="5"/>
      <c r="M408" s="5"/>
      <c r="N408" s="5"/>
      <c r="O408" s="5"/>
      <c r="P408" s="5"/>
      <c r="Q408" s="5"/>
      <c r="R408" s="5"/>
    </row>
    <row r="409" ht="12.75" hidden="1" customHeight="1">
      <c r="A409" s="213"/>
      <c r="B409" s="214"/>
      <c r="C409" s="216"/>
      <c r="D409" s="216"/>
      <c r="E409" s="216"/>
      <c r="F409" s="216"/>
      <c r="G409" s="216"/>
      <c r="H409" s="216"/>
      <c r="I409" s="216"/>
      <c r="J409" s="216"/>
      <c r="K409" s="5"/>
      <c r="L409" s="5"/>
      <c r="M409" s="5"/>
      <c r="N409" s="5"/>
      <c r="O409" s="5"/>
      <c r="P409" s="5"/>
      <c r="Q409" s="5"/>
      <c r="R409" s="5"/>
    </row>
    <row r="410" ht="12.75" hidden="1" customHeight="1">
      <c r="A410" s="213"/>
      <c r="B410" s="214"/>
      <c r="C410" s="216"/>
      <c r="D410" s="216"/>
      <c r="E410" s="216"/>
      <c r="F410" s="216"/>
      <c r="G410" s="216"/>
      <c r="H410" s="216"/>
      <c r="I410" s="216"/>
      <c r="J410" s="216"/>
      <c r="K410" s="5"/>
      <c r="L410" s="5"/>
      <c r="M410" s="5"/>
      <c r="N410" s="5"/>
      <c r="O410" s="5"/>
      <c r="P410" s="5"/>
      <c r="Q410" s="5"/>
      <c r="R410" s="5"/>
    </row>
    <row r="411" ht="12.75" hidden="1" customHeight="1">
      <c r="A411" s="213"/>
      <c r="B411" s="214"/>
      <c r="C411" s="216"/>
      <c r="D411" s="216"/>
      <c r="E411" s="216"/>
      <c r="F411" s="216"/>
      <c r="G411" s="216"/>
      <c r="H411" s="216"/>
      <c r="I411" s="216"/>
      <c r="J411" s="216"/>
      <c r="K411" s="5"/>
      <c r="L411" s="5"/>
      <c r="M411" s="5"/>
      <c r="N411" s="5"/>
      <c r="O411" s="5"/>
      <c r="P411" s="5"/>
      <c r="Q411" s="5"/>
      <c r="R411" s="5"/>
    </row>
    <row r="412" ht="12.75" hidden="1" customHeight="1">
      <c r="A412" s="213"/>
      <c r="B412" s="214"/>
      <c r="C412" s="216"/>
      <c r="D412" s="216"/>
      <c r="E412" s="216"/>
      <c r="F412" s="216"/>
      <c r="G412" s="216"/>
      <c r="H412" s="216"/>
      <c r="I412" s="216"/>
      <c r="J412" s="216"/>
      <c r="K412" s="5"/>
      <c r="L412" s="5"/>
      <c r="M412" s="5"/>
      <c r="N412" s="5"/>
      <c r="O412" s="5"/>
      <c r="P412" s="5"/>
      <c r="Q412" s="5"/>
      <c r="R412" s="5"/>
    </row>
    <row r="413" ht="12.75" hidden="1" customHeight="1">
      <c r="A413" s="213"/>
      <c r="B413" s="214"/>
      <c r="C413" s="216"/>
      <c r="D413" s="216"/>
      <c r="E413" s="216"/>
      <c r="F413" s="216"/>
      <c r="G413" s="216"/>
      <c r="H413" s="216"/>
      <c r="I413" s="216"/>
      <c r="J413" s="216"/>
      <c r="K413" s="5"/>
      <c r="L413" s="5"/>
      <c r="M413" s="5"/>
      <c r="N413" s="5"/>
      <c r="O413" s="5"/>
      <c r="P413" s="5"/>
      <c r="Q413" s="5"/>
      <c r="R413" s="5"/>
    </row>
    <row r="414" ht="12.75" hidden="1" customHeight="1">
      <c r="A414" s="213"/>
      <c r="B414" s="214"/>
      <c r="C414" s="216"/>
      <c r="D414" s="216"/>
      <c r="E414" s="216"/>
      <c r="F414" s="216"/>
      <c r="G414" s="216"/>
      <c r="H414" s="216"/>
      <c r="I414" s="216"/>
      <c r="J414" s="216"/>
      <c r="K414" s="5"/>
      <c r="L414" s="5"/>
      <c r="M414" s="5"/>
      <c r="N414" s="5"/>
      <c r="O414" s="5"/>
      <c r="P414" s="5"/>
      <c r="Q414" s="5"/>
      <c r="R414" s="5"/>
    </row>
    <row r="415" ht="12.75" hidden="1" customHeight="1">
      <c r="A415" s="213"/>
      <c r="B415" s="214"/>
      <c r="C415" s="216"/>
      <c r="D415" s="216"/>
      <c r="E415" s="216"/>
      <c r="F415" s="216"/>
      <c r="G415" s="216"/>
      <c r="H415" s="216"/>
      <c r="I415" s="216"/>
      <c r="J415" s="216"/>
      <c r="K415" s="5"/>
      <c r="L415" s="5"/>
      <c r="M415" s="5"/>
      <c r="N415" s="5"/>
      <c r="O415" s="5"/>
      <c r="P415" s="5"/>
      <c r="Q415" s="5"/>
      <c r="R415" s="5"/>
    </row>
    <row r="416" ht="12.75" hidden="1" customHeight="1">
      <c r="A416" s="213"/>
      <c r="B416" s="214"/>
      <c r="C416" s="216"/>
      <c r="D416" s="216"/>
      <c r="E416" s="216"/>
      <c r="F416" s="216"/>
      <c r="G416" s="216"/>
      <c r="H416" s="216"/>
      <c r="I416" s="216"/>
      <c r="J416" s="216"/>
      <c r="K416" s="5"/>
      <c r="L416" s="5"/>
      <c r="M416" s="5"/>
      <c r="N416" s="5"/>
      <c r="O416" s="5"/>
      <c r="P416" s="5"/>
      <c r="Q416" s="5"/>
      <c r="R416" s="5"/>
    </row>
    <row r="417" ht="12.75" hidden="1" customHeight="1">
      <c r="A417" s="213"/>
      <c r="B417" s="214"/>
      <c r="C417" s="216"/>
      <c r="D417" s="216"/>
      <c r="E417" s="216"/>
      <c r="F417" s="216"/>
      <c r="G417" s="216"/>
      <c r="H417" s="216"/>
      <c r="I417" s="216"/>
      <c r="J417" s="216"/>
      <c r="K417" s="5"/>
      <c r="L417" s="5"/>
      <c r="M417" s="5"/>
      <c r="N417" s="5"/>
      <c r="O417" s="5"/>
      <c r="P417" s="5"/>
      <c r="Q417" s="5"/>
      <c r="R417" s="5"/>
    </row>
    <row r="418" ht="12.75" hidden="1" customHeight="1">
      <c r="A418" s="213"/>
      <c r="B418" s="214"/>
      <c r="C418" s="216"/>
      <c r="D418" s="216"/>
      <c r="E418" s="216"/>
      <c r="F418" s="216"/>
      <c r="G418" s="216"/>
      <c r="H418" s="216"/>
      <c r="I418" s="216"/>
      <c r="J418" s="216"/>
      <c r="K418" s="5"/>
      <c r="L418" s="5"/>
      <c r="M418" s="5"/>
      <c r="N418" s="5"/>
      <c r="O418" s="5"/>
      <c r="P418" s="5"/>
      <c r="Q418" s="5"/>
      <c r="R418" s="5"/>
    </row>
    <row r="419" ht="12.75" hidden="1" customHeight="1">
      <c r="A419" s="213"/>
      <c r="B419" s="214"/>
      <c r="C419" s="216"/>
      <c r="D419" s="216"/>
      <c r="E419" s="216"/>
      <c r="F419" s="216"/>
      <c r="G419" s="216"/>
      <c r="H419" s="216"/>
      <c r="I419" s="216"/>
      <c r="J419" s="216"/>
      <c r="K419" s="5"/>
      <c r="L419" s="5"/>
      <c r="M419" s="5"/>
      <c r="N419" s="5"/>
      <c r="O419" s="5"/>
      <c r="P419" s="5"/>
      <c r="Q419" s="5"/>
      <c r="R419" s="5"/>
    </row>
    <row r="420" ht="12.75" hidden="1" customHeight="1">
      <c r="A420" s="213"/>
      <c r="B420" s="214"/>
      <c r="C420" s="216"/>
      <c r="D420" s="216"/>
      <c r="E420" s="216"/>
      <c r="F420" s="216"/>
      <c r="G420" s="216"/>
      <c r="H420" s="216"/>
      <c r="I420" s="216"/>
      <c r="J420" s="216"/>
      <c r="K420" s="5"/>
      <c r="L420" s="5"/>
      <c r="M420" s="5"/>
      <c r="N420" s="5"/>
      <c r="O420" s="5"/>
      <c r="P420" s="5"/>
      <c r="Q420" s="5"/>
      <c r="R420" s="5"/>
    </row>
    <row r="421" ht="12.75" hidden="1" customHeight="1">
      <c r="A421" s="213"/>
      <c r="B421" s="214"/>
      <c r="C421" s="216"/>
      <c r="D421" s="216"/>
      <c r="E421" s="216"/>
      <c r="F421" s="216"/>
      <c r="G421" s="216"/>
      <c r="H421" s="216"/>
      <c r="I421" s="216"/>
      <c r="J421" s="216"/>
      <c r="K421" s="5"/>
      <c r="L421" s="5"/>
      <c r="M421" s="5"/>
      <c r="N421" s="5"/>
      <c r="O421" s="5"/>
      <c r="P421" s="5"/>
      <c r="Q421" s="5"/>
      <c r="R421" s="5"/>
    </row>
    <row r="422" ht="12.75" hidden="1" customHeight="1">
      <c r="A422" s="213"/>
      <c r="B422" s="214"/>
      <c r="C422" s="216"/>
      <c r="D422" s="216"/>
      <c r="E422" s="216"/>
      <c r="F422" s="216"/>
      <c r="G422" s="216"/>
      <c r="H422" s="216"/>
      <c r="I422" s="216"/>
      <c r="J422" s="216"/>
      <c r="K422" s="5"/>
      <c r="L422" s="5"/>
      <c r="M422" s="5"/>
      <c r="N422" s="5"/>
      <c r="O422" s="5"/>
      <c r="P422" s="5"/>
      <c r="Q422" s="5"/>
      <c r="R422" s="5"/>
    </row>
    <row r="423" ht="12.75" hidden="1" customHeight="1">
      <c r="A423" s="213"/>
      <c r="B423" s="214"/>
      <c r="C423" s="216"/>
      <c r="D423" s="216"/>
      <c r="E423" s="216"/>
      <c r="F423" s="216"/>
      <c r="G423" s="216"/>
      <c r="H423" s="216"/>
      <c r="I423" s="216"/>
      <c r="J423" s="216"/>
      <c r="K423" s="5"/>
      <c r="L423" s="5"/>
      <c r="M423" s="5"/>
      <c r="N423" s="5"/>
      <c r="O423" s="5"/>
      <c r="P423" s="5"/>
      <c r="Q423" s="5"/>
      <c r="R423" s="5"/>
    </row>
    <row r="424" ht="12.75" hidden="1" customHeight="1">
      <c r="A424" s="213"/>
      <c r="B424" s="214"/>
      <c r="C424" s="216"/>
      <c r="D424" s="216"/>
      <c r="E424" s="216"/>
      <c r="F424" s="216"/>
      <c r="G424" s="216"/>
      <c r="H424" s="216"/>
      <c r="I424" s="216"/>
      <c r="J424" s="216"/>
      <c r="K424" s="5"/>
      <c r="L424" s="5"/>
      <c r="M424" s="5"/>
      <c r="N424" s="5"/>
      <c r="O424" s="5"/>
      <c r="P424" s="5"/>
      <c r="Q424" s="5"/>
      <c r="R424" s="5"/>
    </row>
    <row r="425" ht="12.75" hidden="1" customHeight="1">
      <c r="A425" s="213"/>
      <c r="B425" s="214"/>
      <c r="C425" s="216"/>
      <c r="D425" s="216"/>
      <c r="E425" s="216"/>
      <c r="F425" s="216"/>
      <c r="G425" s="216"/>
      <c r="H425" s="216"/>
      <c r="I425" s="216"/>
      <c r="J425" s="216"/>
      <c r="K425" s="5"/>
      <c r="L425" s="5"/>
      <c r="M425" s="5"/>
      <c r="N425" s="5"/>
      <c r="O425" s="5"/>
      <c r="P425" s="5"/>
      <c r="Q425" s="5"/>
      <c r="R425" s="5"/>
    </row>
    <row r="426" ht="12.75" hidden="1" customHeight="1">
      <c r="A426" s="213"/>
      <c r="B426" s="214"/>
      <c r="C426" s="216"/>
      <c r="D426" s="216"/>
      <c r="E426" s="216"/>
      <c r="F426" s="216"/>
      <c r="G426" s="216"/>
      <c r="H426" s="216"/>
      <c r="I426" s="216"/>
      <c r="J426" s="216"/>
      <c r="K426" s="5"/>
      <c r="L426" s="5"/>
      <c r="M426" s="5"/>
      <c r="N426" s="5"/>
      <c r="O426" s="5"/>
      <c r="P426" s="5"/>
      <c r="Q426" s="5"/>
      <c r="R426" s="5"/>
    </row>
    <row r="427" ht="12.75" hidden="1" customHeight="1">
      <c r="A427" s="213"/>
      <c r="B427" s="214"/>
      <c r="C427" s="216"/>
      <c r="D427" s="216"/>
      <c r="E427" s="216"/>
      <c r="F427" s="216"/>
      <c r="G427" s="216"/>
      <c r="H427" s="216"/>
      <c r="I427" s="216"/>
      <c r="J427" s="216"/>
      <c r="K427" s="5"/>
      <c r="L427" s="5"/>
      <c r="M427" s="5"/>
      <c r="N427" s="5"/>
      <c r="O427" s="5"/>
      <c r="P427" s="5"/>
      <c r="Q427" s="5"/>
      <c r="R427" s="5"/>
    </row>
    <row r="428" ht="12.75" hidden="1" customHeight="1">
      <c r="A428" s="213"/>
      <c r="B428" s="214"/>
      <c r="C428" s="216"/>
      <c r="D428" s="216"/>
      <c r="E428" s="216"/>
      <c r="F428" s="216"/>
      <c r="G428" s="216"/>
      <c r="H428" s="216"/>
      <c r="I428" s="216"/>
      <c r="J428" s="216"/>
      <c r="K428" s="5"/>
      <c r="L428" s="5"/>
      <c r="M428" s="5"/>
      <c r="N428" s="5"/>
      <c r="O428" s="5"/>
      <c r="P428" s="5"/>
      <c r="Q428" s="5"/>
      <c r="R428" s="5"/>
    </row>
    <row r="429" ht="12.75" hidden="1" customHeight="1">
      <c r="A429" s="213"/>
      <c r="B429" s="214"/>
      <c r="C429" s="216"/>
      <c r="D429" s="216"/>
      <c r="E429" s="216"/>
      <c r="F429" s="216"/>
      <c r="G429" s="216"/>
      <c r="H429" s="216"/>
      <c r="I429" s="216"/>
      <c r="J429" s="216"/>
      <c r="K429" s="5"/>
      <c r="L429" s="5"/>
      <c r="M429" s="5"/>
      <c r="N429" s="5"/>
      <c r="O429" s="5"/>
      <c r="P429" s="5"/>
      <c r="Q429" s="5"/>
      <c r="R429" s="5"/>
    </row>
    <row r="430" ht="12.75" hidden="1" customHeight="1">
      <c r="A430" s="213"/>
      <c r="B430" s="214"/>
      <c r="C430" s="216"/>
      <c r="D430" s="216"/>
      <c r="E430" s="216"/>
      <c r="F430" s="216"/>
      <c r="G430" s="216"/>
      <c r="H430" s="216"/>
      <c r="I430" s="216"/>
      <c r="J430" s="216"/>
      <c r="K430" s="5"/>
      <c r="L430" s="5"/>
      <c r="M430" s="5"/>
      <c r="N430" s="5"/>
      <c r="O430" s="5"/>
      <c r="P430" s="5"/>
      <c r="Q430" s="5"/>
      <c r="R430" s="5"/>
    </row>
    <row r="431" ht="12.75" hidden="1" customHeight="1">
      <c r="A431" s="213"/>
      <c r="B431" s="214"/>
      <c r="C431" s="216"/>
      <c r="D431" s="216"/>
      <c r="E431" s="216"/>
      <c r="F431" s="216"/>
      <c r="G431" s="216"/>
      <c r="H431" s="216"/>
      <c r="I431" s="216"/>
      <c r="J431" s="216"/>
      <c r="K431" s="5"/>
      <c r="L431" s="5"/>
      <c r="M431" s="5"/>
      <c r="N431" s="5"/>
      <c r="O431" s="5"/>
      <c r="P431" s="5"/>
      <c r="Q431" s="5"/>
      <c r="R431" s="5"/>
    </row>
    <row r="432" ht="12.75" hidden="1" customHeight="1">
      <c r="A432" s="213"/>
      <c r="B432" s="214"/>
      <c r="C432" s="216"/>
      <c r="D432" s="216"/>
      <c r="E432" s="216"/>
      <c r="F432" s="216"/>
      <c r="G432" s="216"/>
      <c r="H432" s="216"/>
      <c r="I432" s="216"/>
      <c r="J432" s="216"/>
      <c r="K432" s="5"/>
      <c r="L432" s="5"/>
      <c r="M432" s="5"/>
      <c r="N432" s="5"/>
      <c r="O432" s="5"/>
      <c r="P432" s="5"/>
      <c r="Q432" s="5"/>
      <c r="R432" s="5"/>
    </row>
    <row r="433" ht="12.75" hidden="1" customHeight="1">
      <c r="A433" s="213"/>
      <c r="B433" s="214"/>
      <c r="C433" s="216"/>
      <c r="D433" s="216"/>
      <c r="E433" s="216"/>
      <c r="F433" s="216"/>
      <c r="G433" s="216"/>
      <c r="H433" s="216"/>
      <c r="I433" s="216"/>
      <c r="J433" s="216"/>
      <c r="K433" s="5"/>
      <c r="L433" s="5"/>
      <c r="M433" s="5"/>
      <c r="N433" s="5"/>
      <c r="O433" s="5"/>
      <c r="P433" s="5"/>
      <c r="Q433" s="5"/>
      <c r="R433" s="5"/>
    </row>
    <row r="434" ht="12.75" hidden="1" customHeight="1">
      <c r="A434" s="213"/>
      <c r="B434" s="214"/>
      <c r="C434" s="216"/>
      <c r="D434" s="216"/>
      <c r="E434" s="216"/>
      <c r="F434" s="216"/>
      <c r="G434" s="216"/>
      <c r="H434" s="216"/>
      <c r="I434" s="216"/>
      <c r="J434" s="216"/>
      <c r="K434" s="5"/>
      <c r="L434" s="5"/>
      <c r="M434" s="5"/>
      <c r="N434" s="5"/>
      <c r="O434" s="5"/>
      <c r="P434" s="5"/>
      <c r="Q434" s="5"/>
      <c r="R434" s="5"/>
    </row>
    <row r="435" ht="12.75" hidden="1" customHeight="1">
      <c r="A435" s="213"/>
      <c r="B435" s="214"/>
      <c r="C435" s="216"/>
      <c r="D435" s="216"/>
      <c r="E435" s="216"/>
      <c r="F435" s="216"/>
      <c r="G435" s="216"/>
      <c r="H435" s="216"/>
      <c r="I435" s="216"/>
      <c r="J435" s="216"/>
      <c r="K435" s="5"/>
      <c r="L435" s="5"/>
      <c r="M435" s="5"/>
      <c r="N435" s="5"/>
      <c r="O435" s="5"/>
      <c r="P435" s="5"/>
      <c r="Q435" s="5"/>
      <c r="R435" s="5"/>
    </row>
    <row r="436" ht="12.75" hidden="1" customHeight="1">
      <c r="A436" s="213"/>
      <c r="B436" s="214"/>
      <c r="C436" s="216"/>
      <c r="D436" s="216"/>
      <c r="E436" s="216"/>
      <c r="F436" s="216"/>
      <c r="G436" s="216"/>
      <c r="H436" s="216"/>
      <c r="I436" s="216"/>
      <c r="J436" s="216"/>
      <c r="K436" s="5"/>
      <c r="L436" s="5"/>
      <c r="M436" s="5"/>
      <c r="N436" s="5"/>
      <c r="O436" s="5"/>
      <c r="P436" s="5"/>
      <c r="Q436" s="5"/>
      <c r="R436" s="5"/>
    </row>
    <row r="437" ht="12.75" hidden="1" customHeight="1">
      <c r="A437" s="213"/>
      <c r="B437" s="214"/>
      <c r="C437" s="216"/>
      <c r="D437" s="216"/>
      <c r="E437" s="216"/>
      <c r="F437" s="216"/>
      <c r="G437" s="216"/>
      <c r="H437" s="216"/>
      <c r="I437" s="216"/>
      <c r="J437" s="216"/>
      <c r="K437" s="5"/>
      <c r="L437" s="5"/>
      <c r="M437" s="5"/>
      <c r="N437" s="5"/>
      <c r="O437" s="5"/>
      <c r="P437" s="5"/>
      <c r="Q437" s="5"/>
      <c r="R437" s="5"/>
    </row>
    <row r="438" ht="12.75" hidden="1" customHeight="1">
      <c r="A438" s="213"/>
      <c r="B438" s="214"/>
      <c r="C438" s="216"/>
      <c r="D438" s="216"/>
      <c r="E438" s="216"/>
      <c r="F438" s="216"/>
      <c r="G438" s="216"/>
      <c r="H438" s="216"/>
      <c r="I438" s="216"/>
      <c r="J438" s="216"/>
      <c r="K438" s="5"/>
      <c r="L438" s="5"/>
      <c r="M438" s="5"/>
      <c r="N438" s="5"/>
      <c r="O438" s="5"/>
      <c r="P438" s="5"/>
      <c r="Q438" s="5"/>
      <c r="R438" s="5"/>
    </row>
    <row r="439" ht="12.75" hidden="1" customHeight="1">
      <c r="A439" s="213"/>
      <c r="B439" s="214"/>
      <c r="C439" s="216"/>
      <c r="D439" s="216"/>
      <c r="E439" s="216"/>
      <c r="F439" s="216"/>
      <c r="G439" s="216"/>
      <c r="H439" s="216"/>
      <c r="I439" s="216"/>
      <c r="J439" s="216"/>
      <c r="K439" s="5"/>
      <c r="L439" s="5"/>
      <c r="M439" s="5"/>
      <c r="N439" s="5"/>
      <c r="O439" s="5"/>
      <c r="P439" s="5"/>
      <c r="Q439" s="5"/>
      <c r="R439" s="5"/>
    </row>
    <row r="440" ht="12.75" hidden="1" customHeight="1">
      <c r="A440" s="213"/>
      <c r="B440" s="214"/>
      <c r="C440" s="216"/>
      <c r="D440" s="216"/>
      <c r="E440" s="216"/>
      <c r="F440" s="216"/>
      <c r="G440" s="216"/>
      <c r="H440" s="216"/>
      <c r="I440" s="216"/>
      <c r="J440" s="216"/>
      <c r="K440" s="5"/>
      <c r="L440" s="5"/>
      <c r="M440" s="5"/>
      <c r="N440" s="5"/>
      <c r="O440" s="5"/>
      <c r="P440" s="5"/>
      <c r="Q440" s="5"/>
      <c r="R440" s="5"/>
    </row>
    <row r="441" ht="12.75" hidden="1" customHeight="1">
      <c r="A441" s="213"/>
      <c r="B441" s="214"/>
      <c r="C441" s="216"/>
      <c r="D441" s="216"/>
      <c r="E441" s="216"/>
      <c r="F441" s="216"/>
      <c r="G441" s="216"/>
      <c r="H441" s="216"/>
      <c r="I441" s="216"/>
      <c r="J441" s="216"/>
      <c r="K441" s="5"/>
      <c r="L441" s="5"/>
      <c r="M441" s="5"/>
      <c r="N441" s="5"/>
      <c r="O441" s="5"/>
      <c r="P441" s="5"/>
      <c r="Q441" s="5"/>
      <c r="R441" s="5"/>
    </row>
    <row r="442" ht="12.75" hidden="1" customHeight="1">
      <c r="A442" s="213"/>
      <c r="B442" s="214"/>
      <c r="C442" s="216"/>
      <c r="D442" s="216"/>
      <c r="E442" s="216"/>
      <c r="F442" s="216"/>
      <c r="G442" s="216"/>
      <c r="H442" s="216"/>
      <c r="I442" s="216"/>
      <c r="J442" s="216"/>
      <c r="K442" s="5"/>
      <c r="L442" s="5"/>
      <c r="M442" s="5"/>
      <c r="N442" s="5"/>
      <c r="O442" s="5"/>
      <c r="P442" s="5"/>
      <c r="Q442" s="5"/>
      <c r="R442" s="5"/>
    </row>
    <row r="443" ht="12.75" hidden="1" customHeight="1">
      <c r="A443" s="213"/>
      <c r="B443" s="214"/>
      <c r="C443" s="216"/>
      <c r="D443" s="216"/>
      <c r="E443" s="216"/>
      <c r="F443" s="216"/>
      <c r="G443" s="216"/>
      <c r="H443" s="216"/>
      <c r="I443" s="216"/>
      <c r="J443" s="216"/>
      <c r="K443" s="5"/>
      <c r="L443" s="5"/>
      <c r="M443" s="5"/>
      <c r="N443" s="5"/>
      <c r="O443" s="5"/>
      <c r="P443" s="5"/>
      <c r="Q443" s="5"/>
      <c r="R443" s="5"/>
    </row>
    <row r="444" ht="12.75" hidden="1" customHeight="1">
      <c r="A444" s="213"/>
      <c r="B444" s="214"/>
      <c r="C444" s="216"/>
      <c r="D444" s="216"/>
      <c r="E444" s="216"/>
      <c r="F444" s="216"/>
      <c r="G444" s="216"/>
      <c r="H444" s="216"/>
      <c r="I444" s="216"/>
      <c r="J444" s="216"/>
      <c r="K444" s="5"/>
      <c r="L444" s="5"/>
      <c r="M444" s="5"/>
      <c r="N444" s="5"/>
      <c r="O444" s="5"/>
      <c r="P444" s="5"/>
      <c r="Q444" s="5"/>
      <c r="R444" s="5"/>
    </row>
    <row r="445" ht="12.75" hidden="1" customHeight="1">
      <c r="A445" s="213"/>
      <c r="B445" s="214"/>
      <c r="C445" s="216"/>
      <c r="D445" s="216"/>
      <c r="E445" s="216"/>
      <c r="F445" s="216"/>
      <c r="G445" s="216"/>
      <c r="H445" s="216"/>
      <c r="I445" s="216"/>
      <c r="J445" s="216"/>
      <c r="K445" s="5"/>
      <c r="L445" s="5"/>
      <c r="M445" s="5"/>
      <c r="N445" s="5"/>
      <c r="O445" s="5"/>
      <c r="P445" s="5"/>
      <c r="Q445" s="5"/>
      <c r="R445" s="5"/>
    </row>
    <row r="446" ht="12.75" hidden="1" customHeight="1">
      <c r="A446" s="213"/>
      <c r="B446" s="214"/>
      <c r="C446" s="216"/>
      <c r="D446" s="216"/>
      <c r="E446" s="216"/>
      <c r="F446" s="216"/>
      <c r="G446" s="216"/>
      <c r="H446" s="216"/>
      <c r="I446" s="216"/>
      <c r="J446" s="216"/>
      <c r="K446" s="5"/>
      <c r="L446" s="5"/>
      <c r="M446" s="5"/>
      <c r="N446" s="5"/>
      <c r="O446" s="5"/>
      <c r="P446" s="5"/>
      <c r="Q446" s="5"/>
      <c r="R446" s="5"/>
    </row>
    <row r="447" ht="12.75" hidden="1" customHeight="1">
      <c r="A447" s="213"/>
      <c r="B447" s="214"/>
      <c r="C447" s="216"/>
      <c r="D447" s="216"/>
      <c r="E447" s="216"/>
      <c r="F447" s="216"/>
      <c r="G447" s="216"/>
      <c r="H447" s="216"/>
      <c r="I447" s="216"/>
      <c r="J447" s="216"/>
      <c r="K447" s="5"/>
      <c r="L447" s="5"/>
      <c r="M447" s="5"/>
      <c r="N447" s="5"/>
      <c r="O447" s="5"/>
      <c r="P447" s="5"/>
      <c r="Q447" s="5"/>
      <c r="R447" s="5"/>
    </row>
    <row r="448" ht="12.75" hidden="1" customHeight="1">
      <c r="A448" s="213"/>
      <c r="B448" s="214"/>
      <c r="C448" s="216"/>
      <c r="D448" s="216"/>
      <c r="E448" s="216"/>
      <c r="F448" s="216"/>
      <c r="G448" s="216"/>
      <c r="H448" s="216"/>
      <c r="I448" s="216"/>
      <c r="J448" s="216"/>
      <c r="K448" s="5"/>
      <c r="L448" s="5"/>
      <c r="M448" s="5"/>
      <c r="N448" s="5"/>
      <c r="O448" s="5"/>
      <c r="P448" s="5"/>
      <c r="Q448" s="5"/>
      <c r="R448" s="5"/>
    </row>
    <row r="449" ht="12.75" hidden="1" customHeight="1">
      <c r="A449" s="213"/>
      <c r="B449" s="214"/>
      <c r="C449" s="216"/>
      <c r="D449" s="216"/>
      <c r="E449" s="216"/>
      <c r="F449" s="216"/>
      <c r="G449" s="216"/>
      <c r="H449" s="216"/>
      <c r="I449" s="216"/>
      <c r="J449" s="216"/>
      <c r="K449" s="5"/>
      <c r="L449" s="5"/>
      <c r="M449" s="5"/>
      <c r="N449" s="5"/>
      <c r="O449" s="5"/>
      <c r="P449" s="5"/>
      <c r="Q449" s="5"/>
      <c r="R449" s="5"/>
    </row>
    <row r="450" ht="12.75" hidden="1" customHeight="1">
      <c r="A450" s="213"/>
      <c r="B450" s="214"/>
      <c r="C450" s="216"/>
      <c r="D450" s="216"/>
      <c r="E450" s="216"/>
      <c r="F450" s="216"/>
      <c r="G450" s="216"/>
      <c r="H450" s="216"/>
      <c r="I450" s="216"/>
      <c r="J450" s="216"/>
      <c r="K450" s="5"/>
      <c r="L450" s="5"/>
      <c r="M450" s="5"/>
      <c r="N450" s="5"/>
      <c r="O450" s="5"/>
      <c r="P450" s="5"/>
      <c r="Q450" s="5"/>
      <c r="R450" s="5"/>
    </row>
    <row r="451" ht="12.75" hidden="1" customHeight="1">
      <c r="A451" s="213"/>
      <c r="B451" s="214"/>
      <c r="C451" s="216"/>
      <c r="D451" s="216"/>
      <c r="E451" s="216"/>
      <c r="F451" s="216"/>
      <c r="G451" s="216"/>
      <c r="H451" s="216"/>
      <c r="I451" s="216"/>
      <c r="J451" s="216"/>
      <c r="K451" s="5"/>
      <c r="L451" s="5"/>
      <c r="M451" s="5"/>
      <c r="N451" s="5"/>
      <c r="O451" s="5"/>
      <c r="P451" s="5"/>
      <c r="Q451" s="5"/>
      <c r="R451" s="5"/>
    </row>
    <row r="452" ht="12.75" hidden="1" customHeight="1">
      <c r="A452" s="213"/>
      <c r="B452" s="214"/>
      <c r="C452" s="216"/>
      <c r="D452" s="216"/>
      <c r="E452" s="216"/>
      <c r="F452" s="216"/>
      <c r="G452" s="216"/>
      <c r="H452" s="216"/>
      <c r="I452" s="216"/>
      <c r="J452" s="216"/>
      <c r="K452" s="5"/>
      <c r="L452" s="5"/>
      <c r="M452" s="5"/>
      <c r="N452" s="5"/>
      <c r="O452" s="5"/>
      <c r="P452" s="5"/>
      <c r="Q452" s="5"/>
      <c r="R452" s="5"/>
    </row>
    <row r="453" ht="12.75" hidden="1" customHeight="1">
      <c r="A453" s="213"/>
      <c r="B453" s="214"/>
      <c r="C453" s="216"/>
      <c r="D453" s="216"/>
      <c r="E453" s="216"/>
      <c r="F453" s="216"/>
      <c r="G453" s="216"/>
      <c r="H453" s="216"/>
      <c r="I453" s="216"/>
      <c r="J453" s="216"/>
      <c r="K453" s="5"/>
      <c r="L453" s="5"/>
      <c r="M453" s="5"/>
      <c r="N453" s="5"/>
      <c r="O453" s="5"/>
      <c r="P453" s="5"/>
      <c r="Q453" s="5"/>
      <c r="R453" s="5"/>
    </row>
    <row r="454" ht="12.75" hidden="1" customHeight="1">
      <c r="A454" s="213"/>
      <c r="B454" s="214"/>
      <c r="C454" s="216"/>
      <c r="D454" s="216"/>
      <c r="E454" s="216"/>
      <c r="F454" s="216"/>
      <c r="G454" s="216"/>
      <c r="H454" s="216"/>
      <c r="I454" s="216"/>
      <c r="J454" s="216"/>
      <c r="K454" s="5"/>
      <c r="L454" s="5"/>
      <c r="M454" s="5"/>
      <c r="N454" s="5"/>
      <c r="O454" s="5"/>
      <c r="P454" s="5"/>
      <c r="Q454" s="5"/>
      <c r="R454" s="5"/>
    </row>
    <row r="455" ht="12.75" hidden="1" customHeight="1">
      <c r="A455" s="213"/>
      <c r="B455" s="214"/>
      <c r="C455" s="216"/>
      <c r="D455" s="216"/>
      <c r="E455" s="216"/>
      <c r="F455" s="216"/>
      <c r="G455" s="216"/>
      <c r="H455" s="216"/>
      <c r="I455" s="216"/>
      <c r="J455" s="216"/>
      <c r="K455" s="5"/>
      <c r="L455" s="5"/>
      <c r="M455" s="5"/>
      <c r="N455" s="5"/>
      <c r="O455" s="5"/>
      <c r="P455" s="5"/>
      <c r="Q455" s="5"/>
      <c r="R455" s="5"/>
    </row>
    <row r="456" ht="12.75" hidden="1" customHeight="1">
      <c r="A456" s="213"/>
      <c r="B456" s="214"/>
      <c r="C456" s="216"/>
      <c r="D456" s="216"/>
      <c r="E456" s="216"/>
      <c r="F456" s="216"/>
      <c r="G456" s="216"/>
      <c r="H456" s="216"/>
      <c r="I456" s="216"/>
      <c r="J456" s="216"/>
      <c r="K456" s="5"/>
      <c r="L456" s="5"/>
      <c r="M456" s="5"/>
      <c r="N456" s="5"/>
      <c r="O456" s="5"/>
      <c r="P456" s="5"/>
      <c r="Q456" s="5"/>
      <c r="R456" s="5"/>
    </row>
    <row r="457" ht="12.75" hidden="1" customHeight="1">
      <c r="A457" s="213"/>
      <c r="B457" s="214"/>
      <c r="C457" s="216"/>
      <c r="D457" s="216"/>
      <c r="E457" s="216"/>
      <c r="F457" s="216"/>
      <c r="G457" s="216"/>
      <c r="H457" s="216"/>
      <c r="I457" s="216"/>
      <c r="J457" s="216"/>
      <c r="K457" s="5"/>
      <c r="L457" s="5"/>
      <c r="M457" s="5"/>
      <c r="N457" s="5"/>
      <c r="O457" s="5"/>
      <c r="P457" s="5"/>
      <c r="Q457" s="5"/>
      <c r="R457" s="5"/>
    </row>
    <row r="458" ht="12.75" hidden="1" customHeight="1">
      <c r="A458" s="213"/>
      <c r="B458" s="214"/>
      <c r="C458" s="216"/>
      <c r="D458" s="216"/>
      <c r="E458" s="216"/>
      <c r="F458" s="216"/>
      <c r="G458" s="216"/>
      <c r="H458" s="216"/>
      <c r="I458" s="216"/>
      <c r="J458" s="216"/>
      <c r="K458" s="5"/>
      <c r="L458" s="5"/>
      <c r="M458" s="5"/>
      <c r="N458" s="5"/>
      <c r="O458" s="5"/>
      <c r="P458" s="5"/>
      <c r="Q458" s="5"/>
      <c r="R458" s="5"/>
    </row>
    <row r="459" ht="12.75" hidden="1" customHeight="1">
      <c r="A459" s="213"/>
      <c r="B459" s="214"/>
      <c r="C459" s="216"/>
      <c r="D459" s="216"/>
      <c r="E459" s="216"/>
      <c r="F459" s="216"/>
      <c r="G459" s="216"/>
      <c r="H459" s="216"/>
      <c r="I459" s="216"/>
      <c r="J459" s="216"/>
      <c r="K459" s="5"/>
      <c r="L459" s="5"/>
      <c r="M459" s="5"/>
      <c r="N459" s="5"/>
      <c r="O459" s="5"/>
      <c r="P459" s="5"/>
      <c r="Q459" s="5"/>
      <c r="R459" s="5"/>
    </row>
    <row r="460" ht="12.75" hidden="1" customHeight="1">
      <c r="A460" s="213"/>
      <c r="B460" s="214"/>
      <c r="C460" s="216"/>
      <c r="D460" s="216"/>
      <c r="E460" s="216"/>
      <c r="F460" s="216"/>
      <c r="G460" s="216"/>
      <c r="H460" s="216"/>
      <c r="I460" s="216"/>
      <c r="J460" s="216"/>
      <c r="K460" s="5"/>
      <c r="L460" s="5"/>
      <c r="M460" s="5"/>
      <c r="N460" s="5"/>
      <c r="O460" s="5"/>
      <c r="P460" s="5"/>
      <c r="Q460" s="5"/>
      <c r="R460" s="5"/>
    </row>
    <row r="461" ht="12.75" hidden="1" customHeight="1">
      <c r="A461" s="213"/>
      <c r="B461" s="214"/>
      <c r="C461" s="216"/>
      <c r="D461" s="216"/>
      <c r="E461" s="216"/>
      <c r="F461" s="216"/>
      <c r="G461" s="216"/>
      <c r="H461" s="216"/>
      <c r="I461" s="216"/>
      <c r="J461" s="216"/>
      <c r="K461" s="5"/>
      <c r="L461" s="5"/>
      <c r="M461" s="5"/>
      <c r="N461" s="5"/>
      <c r="O461" s="5"/>
      <c r="P461" s="5"/>
      <c r="Q461" s="5"/>
      <c r="R461" s="5"/>
    </row>
    <row r="462" ht="12.75" hidden="1" customHeight="1">
      <c r="A462" s="213"/>
      <c r="B462" s="214"/>
      <c r="C462" s="216"/>
      <c r="D462" s="216"/>
      <c r="E462" s="216"/>
      <c r="F462" s="216"/>
      <c r="G462" s="216"/>
      <c r="H462" s="216"/>
      <c r="I462" s="216"/>
      <c r="J462" s="216"/>
      <c r="K462" s="5"/>
      <c r="L462" s="5"/>
      <c r="M462" s="5"/>
      <c r="N462" s="5"/>
      <c r="O462" s="5"/>
      <c r="P462" s="5"/>
      <c r="Q462" s="5"/>
      <c r="R462" s="5"/>
    </row>
    <row r="463" ht="12.75" hidden="1" customHeight="1">
      <c r="A463" s="213"/>
      <c r="B463" s="214"/>
      <c r="C463" s="216"/>
      <c r="D463" s="216"/>
      <c r="E463" s="216"/>
      <c r="F463" s="216"/>
      <c r="G463" s="216"/>
      <c r="H463" s="216"/>
      <c r="I463" s="216"/>
      <c r="J463" s="216"/>
      <c r="K463" s="5"/>
      <c r="L463" s="5"/>
      <c r="M463" s="5"/>
      <c r="N463" s="5"/>
      <c r="O463" s="5"/>
      <c r="P463" s="5"/>
      <c r="Q463" s="5"/>
      <c r="R463" s="5"/>
    </row>
    <row r="464" ht="12.75" hidden="1" customHeight="1">
      <c r="A464" s="213"/>
      <c r="B464" s="214"/>
      <c r="C464" s="216"/>
      <c r="D464" s="216"/>
      <c r="E464" s="216"/>
      <c r="F464" s="216"/>
      <c r="G464" s="216"/>
      <c r="H464" s="216"/>
      <c r="I464" s="216"/>
      <c r="J464" s="216"/>
      <c r="K464" s="5"/>
      <c r="L464" s="5"/>
      <c r="M464" s="5"/>
      <c r="N464" s="5"/>
      <c r="O464" s="5"/>
      <c r="P464" s="5"/>
      <c r="Q464" s="5"/>
      <c r="R464" s="5"/>
    </row>
    <row r="465" ht="12.75" hidden="1" customHeight="1">
      <c r="A465" s="213"/>
      <c r="B465" s="214"/>
      <c r="C465" s="216"/>
      <c r="D465" s="216"/>
      <c r="E465" s="216"/>
      <c r="F465" s="216"/>
      <c r="G465" s="216"/>
      <c r="H465" s="216"/>
      <c r="I465" s="216"/>
      <c r="J465" s="216"/>
      <c r="K465" s="5"/>
      <c r="L465" s="5"/>
      <c r="M465" s="5"/>
      <c r="N465" s="5"/>
      <c r="O465" s="5"/>
      <c r="P465" s="5"/>
      <c r="Q465" s="5"/>
      <c r="R465" s="5"/>
    </row>
    <row r="466" ht="12.75" hidden="1" customHeight="1">
      <c r="A466" s="213"/>
      <c r="B466" s="214"/>
      <c r="C466" s="216"/>
      <c r="D466" s="216"/>
      <c r="E466" s="216"/>
      <c r="F466" s="216"/>
      <c r="G466" s="216"/>
      <c r="H466" s="216"/>
      <c r="I466" s="216"/>
      <c r="J466" s="216"/>
      <c r="K466" s="5"/>
      <c r="L466" s="5"/>
      <c r="M466" s="5"/>
      <c r="N466" s="5"/>
      <c r="O466" s="5"/>
      <c r="P466" s="5"/>
      <c r="Q466" s="5"/>
      <c r="R466" s="5"/>
    </row>
    <row r="467" ht="12.75" hidden="1" customHeight="1">
      <c r="A467" s="213"/>
      <c r="B467" s="214"/>
      <c r="C467" s="216"/>
      <c r="D467" s="216"/>
      <c r="E467" s="216"/>
      <c r="F467" s="216"/>
      <c r="G467" s="216"/>
      <c r="H467" s="216"/>
      <c r="I467" s="216"/>
      <c r="J467" s="216"/>
      <c r="K467" s="5"/>
      <c r="L467" s="5"/>
      <c r="M467" s="5"/>
      <c r="N467" s="5"/>
      <c r="O467" s="5"/>
      <c r="P467" s="5"/>
      <c r="Q467" s="5"/>
      <c r="R467" s="5"/>
    </row>
    <row r="468" ht="12.75" hidden="1" customHeight="1">
      <c r="A468" s="213"/>
      <c r="B468" s="214"/>
      <c r="C468" s="216"/>
      <c r="D468" s="216"/>
      <c r="E468" s="216"/>
      <c r="F468" s="216"/>
      <c r="G468" s="216"/>
      <c r="H468" s="216"/>
      <c r="I468" s="216"/>
      <c r="J468" s="216"/>
      <c r="K468" s="5"/>
      <c r="L468" s="5"/>
      <c r="M468" s="5"/>
      <c r="N468" s="5"/>
      <c r="O468" s="5"/>
      <c r="P468" s="5"/>
      <c r="Q468" s="5"/>
      <c r="R468" s="5"/>
    </row>
    <row r="469" ht="12.75" hidden="1" customHeight="1">
      <c r="A469" s="213"/>
      <c r="B469" s="214"/>
      <c r="C469" s="216"/>
      <c r="D469" s="216"/>
      <c r="E469" s="216"/>
      <c r="F469" s="216"/>
      <c r="G469" s="216"/>
      <c r="H469" s="216"/>
      <c r="I469" s="216"/>
      <c r="J469" s="216"/>
      <c r="K469" s="5"/>
      <c r="L469" s="5"/>
      <c r="M469" s="5"/>
      <c r="N469" s="5"/>
      <c r="O469" s="5"/>
      <c r="P469" s="5"/>
      <c r="Q469" s="5"/>
      <c r="R469" s="5"/>
    </row>
    <row r="470" ht="12.75" hidden="1" customHeight="1">
      <c r="A470" s="213"/>
      <c r="B470" s="214"/>
      <c r="C470" s="216"/>
      <c r="D470" s="216"/>
      <c r="E470" s="216"/>
      <c r="F470" s="216"/>
      <c r="G470" s="216"/>
      <c r="H470" s="216"/>
      <c r="I470" s="216"/>
      <c r="J470" s="216"/>
      <c r="K470" s="5"/>
      <c r="L470" s="5"/>
      <c r="M470" s="5"/>
      <c r="N470" s="5"/>
      <c r="O470" s="5"/>
      <c r="P470" s="5"/>
      <c r="Q470" s="5"/>
      <c r="R470" s="5"/>
    </row>
    <row r="471" ht="12.75" hidden="1" customHeight="1">
      <c r="A471" s="213"/>
      <c r="B471" s="214"/>
      <c r="C471" s="216"/>
      <c r="D471" s="216"/>
      <c r="E471" s="216"/>
      <c r="F471" s="216"/>
      <c r="G471" s="216"/>
      <c r="H471" s="216"/>
      <c r="I471" s="216"/>
      <c r="J471" s="216"/>
      <c r="K471" s="5"/>
      <c r="L471" s="5"/>
      <c r="M471" s="5"/>
      <c r="N471" s="5"/>
      <c r="O471" s="5"/>
      <c r="P471" s="5"/>
      <c r="Q471" s="5"/>
      <c r="R471" s="5"/>
    </row>
    <row r="472" ht="12.75" hidden="1" customHeight="1">
      <c r="A472" s="213"/>
      <c r="B472" s="214"/>
      <c r="C472" s="216"/>
      <c r="D472" s="216"/>
      <c r="E472" s="216"/>
      <c r="F472" s="216"/>
      <c r="G472" s="216"/>
      <c r="H472" s="216"/>
      <c r="I472" s="216"/>
      <c r="J472" s="216"/>
      <c r="K472" s="5"/>
      <c r="L472" s="5"/>
      <c r="M472" s="5"/>
      <c r="N472" s="5"/>
      <c r="O472" s="5"/>
      <c r="P472" s="5"/>
      <c r="Q472" s="5"/>
      <c r="R472" s="5"/>
    </row>
    <row r="473" ht="12.75" hidden="1" customHeight="1">
      <c r="A473" s="213"/>
      <c r="B473" s="214"/>
      <c r="C473" s="216"/>
      <c r="D473" s="216"/>
      <c r="E473" s="216"/>
      <c r="F473" s="216"/>
      <c r="G473" s="216"/>
      <c r="H473" s="216"/>
      <c r="I473" s="216"/>
      <c r="J473" s="216"/>
      <c r="K473" s="5"/>
      <c r="L473" s="5"/>
      <c r="M473" s="5"/>
      <c r="N473" s="5"/>
      <c r="O473" s="5"/>
      <c r="P473" s="5"/>
      <c r="Q473" s="5"/>
      <c r="R473" s="5"/>
    </row>
    <row r="474" ht="12.75" hidden="1" customHeight="1">
      <c r="A474" s="213"/>
      <c r="B474" s="214"/>
      <c r="C474" s="216"/>
      <c r="D474" s="216"/>
      <c r="E474" s="216"/>
      <c r="F474" s="216"/>
      <c r="G474" s="216"/>
      <c r="H474" s="216"/>
      <c r="I474" s="216"/>
      <c r="J474" s="216"/>
      <c r="K474" s="5"/>
      <c r="L474" s="5"/>
      <c r="M474" s="5"/>
      <c r="N474" s="5"/>
      <c r="O474" s="5"/>
      <c r="P474" s="5"/>
      <c r="Q474" s="5"/>
      <c r="R474" s="5"/>
    </row>
    <row r="475" ht="12.75" hidden="1" customHeight="1">
      <c r="A475" s="213"/>
      <c r="B475" s="214"/>
      <c r="C475" s="216"/>
      <c r="D475" s="216"/>
      <c r="E475" s="216"/>
      <c r="F475" s="216"/>
      <c r="G475" s="216"/>
      <c r="H475" s="216"/>
      <c r="I475" s="216"/>
      <c r="J475" s="216"/>
      <c r="K475" s="5"/>
      <c r="L475" s="5"/>
      <c r="M475" s="5"/>
      <c r="N475" s="5"/>
      <c r="O475" s="5"/>
      <c r="P475" s="5"/>
      <c r="Q475" s="5"/>
      <c r="R475" s="5"/>
    </row>
    <row r="476" ht="12.75" hidden="1" customHeight="1">
      <c r="A476" s="213"/>
      <c r="B476" s="214"/>
      <c r="C476" s="216"/>
      <c r="D476" s="216"/>
      <c r="E476" s="216"/>
      <c r="F476" s="216"/>
      <c r="G476" s="216"/>
      <c r="H476" s="216"/>
      <c r="I476" s="216"/>
      <c r="J476" s="216"/>
      <c r="K476" s="5"/>
      <c r="L476" s="5"/>
      <c r="M476" s="5"/>
      <c r="N476" s="5"/>
      <c r="O476" s="5"/>
      <c r="P476" s="5"/>
      <c r="Q476" s="5"/>
      <c r="R476" s="5"/>
    </row>
    <row r="477" ht="12.75" hidden="1" customHeight="1">
      <c r="A477" s="213"/>
      <c r="B477" s="214"/>
      <c r="C477" s="216"/>
      <c r="D477" s="216"/>
      <c r="E477" s="216"/>
      <c r="F477" s="216"/>
      <c r="G477" s="216"/>
      <c r="H477" s="216"/>
      <c r="I477" s="216"/>
      <c r="J477" s="216"/>
      <c r="K477" s="5"/>
      <c r="L477" s="5"/>
      <c r="M477" s="5"/>
      <c r="N477" s="5"/>
      <c r="O477" s="5"/>
      <c r="P477" s="5"/>
      <c r="Q477" s="5"/>
      <c r="R477" s="5"/>
    </row>
    <row r="478" ht="12.75" hidden="1" customHeight="1">
      <c r="A478" s="213"/>
      <c r="B478" s="214"/>
      <c r="C478" s="216"/>
      <c r="D478" s="216"/>
      <c r="E478" s="216"/>
      <c r="F478" s="216"/>
      <c r="G478" s="216"/>
      <c r="H478" s="216"/>
      <c r="I478" s="216"/>
      <c r="J478" s="216"/>
      <c r="K478" s="5"/>
      <c r="L478" s="5"/>
      <c r="M478" s="5"/>
      <c r="N478" s="5"/>
      <c r="O478" s="5"/>
      <c r="P478" s="5"/>
      <c r="Q478" s="5"/>
      <c r="R478" s="5"/>
    </row>
    <row r="479" ht="12.75" hidden="1" customHeight="1">
      <c r="A479" s="213"/>
      <c r="B479" s="214"/>
      <c r="C479" s="216"/>
      <c r="D479" s="216"/>
      <c r="E479" s="216"/>
      <c r="F479" s="216"/>
      <c r="G479" s="216"/>
      <c r="H479" s="216"/>
      <c r="I479" s="216"/>
      <c r="J479" s="216"/>
      <c r="K479" s="5"/>
      <c r="L479" s="5"/>
      <c r="M479" s="5"/>
      <c r="N479" s="5"/>
      <c r="O479" s="5"/>
      <c r="P479" s="5"/>
      <c r="Q479" s="5"/>
      <c r="R479" s="5"/>
    </row>
    <row r="480" ht="12.75" hidden="1" customHeight="1">
      <c r="A480" s="213"/>
      <c r="B480" s="214"/>
      <c r="C480" s="216"/>
      <c r="D480" s="216"/>
      <c r="E480" s="216"/>
      <c r="F480" s="216"/>
      <c r="G480" s="216"/>
      <c r="H480" s="216"/>
      <c r="I480" s="216"/>
      <c r="J480" s="216"/>
      <c r="K480" s="5"/>
      <c r="L480" s="5"/>
      <c r="M480" s="5"/>
      <c r="N480" s="5"/>
      <c r="O480" s="5"/>
      <c r="P480" s="5"/>
      <c r="Q480" s="5"/>
      <c r="R480" s="5"/>
    </row>
    <row r="481" ht="12.75" hidden="1" customHeight="1">
      <c r="A481" s="213"/>
      <c r="B481" s="214"/>
      <c r="C481" s="216"/>
      <c r="D481" s="216"/>
      <c r="E481" s="216"/>
      <c r="F481" s="216"/>
      <c r="G481" s="216"/>
      <c r="H481" s="216"/>
      <c r="I481" s="216"/>
      <c r="J481" s="216"/>
      <c r="K481" s="5"/>
      <c r="L481" s="5"/>
      <c r="M481" s="5"/>
      <c r="N481" s="5"/>
      <c r="O481" s="5"/>
      <c r="P481" s="5"/>
      <c r="Q481" s="5"/>
      <c r="R481" s="5"/>
    </row>
    <row r="482" ht="12.75" hidden="1" customHeight="1">
      <c r="A482" s="213"/>
      <c r="B482" s="214"/>
      <c r="C482" s="216"/>
      <c r="D482" s="216"/>
      <c r="E482" s="216"/>
      <c r="F482" s="216"/>
      <c r="G482" s="216"/>
      <c r="H482" s="216"/>
      <c r="I482" s="216"/>
      <c r="J482" s="216"/>
      <c r="K482" s="5"/>
      <c r="L482" s="5"/>
      <c r="M482" s="5"/>
      <c r="N482" s="5"/>
      <c r="O482" s="5"/>
      <c r="P482" s="5"/>
      <c r="Q482" s="5"/>
      <c r="R482" s="5"/>
    </row>
    <row r="483" ht="12.75" hidden="1" customHeight="1">
      <c r="A483" s="213"/>
      <c r="B483" s="214"/>
      <c r="C483" s="216"/>
      <c r="D483" s="216"/>
      <c r="E483" s="216"/>
      <c r="F483" s="216"/>
      <c r="G483" s="216"/>
      <c r="H483" s="216"/>
      <c r="I483" s="216"/>
      <c r="J483" s="216"/>
      <c r="K483" s="5"/>
      <c r="L483" s="5"/>
      <c r="M483" s="5"/>
      <c r="N483" s="5"/>
      <c r="O483" s="5"/>
      <c r="P483" s="5"/>
      <c r="Q483" s="5"/>
      <c r="R483" s="5"/>
    </row>
    <row r="484" ht="12.75" hidden="1" customHeight="1">
      <c r="A484" s="213"/>
      <c r="B484" s="214"/>
      <c r="C484" s="216"/>
      <c r="D484" s="216"/>
      <c r="E484" s="216"/>
      <c r="F484" s="216"/>
      <c r="G484" s="216"/>
      <c r="H484" s="216"/>
      <c r="I484" s="216"/>
      <c r="J484" s="216"/>
      <c r="K484" s="5"/>
      <c r="L484" s="5"/>
      <c r="M484" s="5"/>
      <c r="N484" s="5"/>
      <c r="O484" s="5"/>
      <c r="P484" s="5"/>
      <c r="Q484" s="5"/>
      <c r="R484" s="5"/>
    </row>
    <row r="485" ht="12.75" hidden="1" customHeight="1">
      <c r="A485" s="213"/>
      <c r="B485" s="214"/>
      <c r="C485" s="216"/>
      <c r="D485" s="216"/>
      <c r="E485" s="216"/>
      <c r="F485" s="216"/>
      <c r="G485" s="216"/>
      <c r="H485" s="216"/>
      <c r="I485" s="216"/>
      <c r="J485" s="216"/>
      <c r="K485" s="5"/>
      <c r="L485" s="5"/>
      <c r="M485" s="5"/>
      <c r="N485" s="5"/>
      <c r="O485" s="5"/>
      <c r="P485" s="5"/>
      <c r="Q485" s="5"/>
      <c r="R485" s="5"/>
    </row>
    <row r="486" ht="12.75" hidden="1" customHeight="1">
      <c r="A486" s="213"/>
      <c r="B486" s="214"/>
      <c r="C486" s="216"/>
      <c r="D486" s="216"/>
      <c r="E486" s="216"/>
      <c r="F486" s="216"/>
      <c r="G486" s="216"/>
      <c r="H486" s="216"/>
      <c r="I486" s="216"/>
      <c r="J486" s="216"/>
      <c r="K486" s="5"/>
      <c r="L486" s="5"/>
      <c r="M486" s="5"/>
      <c r="N486" s="5"/>
      <c r="O486" s="5"/>
      <c r="P486" s="5"/>
      <c r="Q486" s="5"/>
      <c r="R486" s="5"/>
    </row>
    <row r="487" ht="12.75" hidden="1" customHeight="1">
      <c r="A487" s="213"/>
      <c r="B487" s="214"/>
      <c r="C487" s="216"/>
      <c r="D487" s="216"/>
      <c r="E487" s="216"/>
      <c r="F487" s="216"/>
      <c r="G487" s="216"/>
      <c r="H487" s="216"/>
      <c r="I487" s="216"/>
      <c r="J487" s="216"/>
      <c r="K487" s="5"/>
      <c r="L487" s="5"/>
      <c r="M487" s="5"/>
      <c r="N487" s="5"/>
      <c r="O487" s="5"/>
      <c r="P487" s="5"/>
      <c r="Q487" s="5"/>
      <c r="R487" s="5"/>
    </row>
    <row r="488" ht="12.75" hidden="1" customHeight="1">
      <c r="A488" s="213"/>
      <c r="B488" s="214"/>
      <c r="C488" s="216"/>
      <c r="D488" s="216"/>
      <c r="E488" s="216"/>
      <c r="F488" s="216"/>
      <c r="G488" s="216"/>
      <c r="H488" s="216"/>
      <c r="I488" s="216"/>
      <c r="J488" s="216"/>
      <c r="K488" s="5"/>
      <c r="L488" s="5"/>
      <c r="M488" s="5"/>
      <c r="N488" s="5"/>
      <c r="O488" s="5"/>
      <c r="P488" s="5"/>
      <c r="Q488" s="5"/>
      <c r="R488" s="5"/>
    </row>
    <row r="489" ht="12.75" hidden="1" customHeight="1">
      <c r="A489" s="213"/>
      <c r="B489" s="214"/>
      <c r="C489" s="216"/>
      <c r="D489" s="216"/>
      <c r="E489" s="216"/>
      <c r="F489" s="216"/>
      <c r="G489" s="216"/>
      <c r="H489" s="216"/>
      <c r="I489" s="216"/>
      <c r="J489" s="216"/>
      <c r="K489" s="5"/>
      <c r="L489" s="5"/>
      <c r="M489" s="5"/>
      <c r="N489" s="5"/>
      <c r="O489" s="5"/>
      <c r="P489" s="5"/>
      <c r="Q489" s="5"/>
      <c r="R489" s="5"/>
    </row>
    <row r="490" ht="12.75" hidden="1" customHeight="1">
      <c r="A490" s="213"/>
      <c r="B490" s="214"/>
      <c r="C490" s="216"/>
      <c r="D490" s="216"/>
      <c r="E490" s="216"/>
      <c r="F490" s="216"/>
      <c r="G490" s="216"/>
      <c r="H490" s="216"/>
      <c r="I490" s="216"/>
      <c r="J490" s="216"/>
      <c r="K490" s="5"/>
      <c r="L490" s="5"/>
      <c r="M490" s="5"/>
      <c r="N490" s="5"/>
      <c r="O490" s="5"/>
      <c r="P490" s="5"/>
      <c r="Q490" s="5"/>
      <c r="R490" s="5"/>
    </row>
    <row r="491" ht="12.75" hidden="1" customHeight="1">
      <c r="A491" s="213"/>
      <c r="B491" s="214"/>
      <c r="C491" s="216"/>
      <c r="D491" s="216"/>
      <c r="E491" s="216"/>
      <c r="F491" s="216"/>
      <c r="G491" s="216"/>
      <c r="H491" s="216"/>
      <c r="I491" s="216"/>
      <c r="J491" s="216"/>
      <c r="K491" s="5"/>
      <c r="L491" s="5"/>
      <c r="M491" s="5"/>
      <c r="N491" s="5"/>
      <c r="O491" s="5"/>
      <c r="P491" s="5"/>
      <c r="Q491" s="5"/>
      <c r="R491" s="5"/>
    </row>
    <row r="492" ht="12.75" hidden="1" customHeight="1">
      <c r="A492" s="213"/>
      <c r="B492" s="214"/>
      <c r="C492" s="216"/>
      <c r="D492" s="216"/>
      <c r="E492" s="216"/>
      <c r="F492" s="216"/>
      <c r="G492" s="216"/>
      <c r="H492" s="216"/>
      <c r="I492" s="216"/>
      <c r="J492" s="216"/>
      <c r="K492" s="5"/>
      <c r="L492" s="5"/>
      <c r="M492" s="5"/>
      <c r="N492" s="5"/>
      <c r="O492" s="5"/>
      <c r="P492" s="5"/>
      <c r="Q492" s="5"/>
      <c r="R492" s="5"/>
    </row>
    <row r="493" ht="12.75" hidden="1" customHeight="1">
      <c r="A493" s="213"/>
      <c r="B493" s="214"/>
      <c r="C493" s="216"/>
      <c r="D493" s="216"/>
      <c r="E493" s="216"/>
      <c r="F493" s="216"/>
      <c r="G493" s="216"/>
      <c r="H493" s="216"/>
      <c r="I493" s="216"/>
      <c r="J493" s="216"/>
      <c r="K493" s="5"/>
      <c r="L493" s="5"/>
      <c r="M493" s="5"/>
      <c r="N493" s="5"/>
      <c r="O493" s="5"/>
      <c r="P493" s="5"/>
      <c r="Q493" s="5"/>
      <c r="R493" s="5"/>
    </row>
    <row r="494" ht="12.75" hidden="1" customHeight="1">
      <c r="A494" s="213"/>
      <c r="B494" s="214"/>
      <c r="C494" s="216"/>
      <c r="D494" s="216"/>
      <c r="E494" s="216"/>
      <c r="F494" s="216"/>
      <c r="G494" s="216"/>
      <c r="H494" s="216"/>
      <c r="I494" s="216"/>
      <c r="J494" s="216"/>
      <c r="K494" s="5"/>
      <c r="L494" s="5"/>
      <c r="M494" s="5"/>
      <c r="N494" s="5"/>
      <c r="O494" s="5"/>
      <c r="P494" s="5"/>
      <c r="Q494" s="5"/>
      <c r="R494" s="5"/>
    </row>
    <row r="495" ht="12.75" hidden="1" customHeight="1">
      <c r="A495" s="213"/>
      <c r="B495" s="214"/>
      <c r="C495" s="216"/>
      <c r="D495" s="216"/>
      <c r="E495" s="216"/>
      <c r="F495" s="216"/>
      <c r="G495" s="216"/>
      <c r="H495" s="216"/>
      <c r="I495" s="216"/>
      <c r="J495" s="216"/>
      <c r="K495" s="5"/>
      <c r="L495" s="5"/>
      <c r="M495" s="5"/>
      <c r="N495" s="5"/>
      <c r="O495" s="5"/>
      <c r="P495" s="5"/>
      <c r="Q495" s="5"/>
      <c r="R495" s="5"/>
    </row>
    <row r="496" ht="12.75" hidden="1" customHeight="1">
      <c r="A496" s="213"/>
      <c r="B496" s="214"/>
      <c r="C496" s="216"/>
      <c r="D496" s="216"/>
      <c r="E496" s="216"/>
      <c r="F496" s="216"/>
      <c r="G496" s="216"/>
      <c r="H496" s="216"/>
      <c r="I496" s="216"/>
      <c r="J496" s="216"/>
      <c r="K496" s="5"/>
      <c r="L496" s="5"/>
      <c r="M496" s="5"/>
      <c r="N496" s="5"/>
      <c r="O496" s="5"/>
      <c r="P496" s="5"/>
      <c r="Q496" s="5"/>
      <c r="R496" s="5"/>
    </row>
    <row r="497" ht="12.75" hidden="1" customHeight="1">
      <c r="A497" s="213"/>
      <c r="B497" s="214"/>
      <c r="C497" s="216"/>
      <c r="D497" s="216"/>
      <c r="E497" s="216"/>
      <c r="F497" s="216"/>
      <c r="G497" s="216"/>
      <c r="H497" s="216"/>
      <c r="I497" s="216"/>
      <c r="J497" s="216"/>
      <c r="K497" s="5"/>
      <c r="L497" s="5"/>
      <c r="M497" s="5"/>
      <c r="N497" s="5"/>
      <c r="O497" s="5"/>
      <c r="P497" s="5"/>
      <c r="Q497" s="5"/>
      <c r="R497" s="5"/>
    </row>
    <row r="498" ht="12.75" hidden="1" customHeight="1">
      <c r="A498" s="213"/>
      <c r="B498" s="214"/>
      <c r="C498" s="216"/>
      <c r="D498" s="216"/>
      <c r="E498" s="216"/>
      <c r="F498" s="216"/>
      <c r="G498" s="216"/>
      <c r="H498" s="216"/>
      <c r="I498" s="216"/>
      <c r="J498" s="216"/>
      <c r="K498" s="5"/>
      <c r="L498" s="5"/>
      <c r="M498" s="5"/>
      <c r="N498" s="5"/>
      <c r="O498" s="5"/>
      <c r="P498" s="5"/>
      <c r="Q498" s="5"/>
      <c r="R498" s="5"/>
    </row>
    <row r="499" ht="12.75" hidden="1" customHeight="1">
      <c r="A499" s="213"/>
      <c r="B499" s="214"/>
      <c r="C499" s="216"/>
      <c r="D499" s="216"/>
      <c r="E499" s="216"/>
      <c r="F499" s="216"/>
      <c r="G499" s="216"/>
      <c r="H499" s="216"/>
      <c r="I499" s="216"/>
      <c r="J499" s="216"/>
      <c r="K499" s="5"/>
      <c r="L499" s="5"/>
      <c r="M499" s="5"/>
      <c r="N499" s="5"/>
      <c r="O499" s="5"/>
      <c r="P499" s="5"/>
      <c r="Q499" s="5"/>
      <c r="R499" s="5"/>
    </row>
    <row r="500" ht="12.75" hidden="1" customHeight="1">
      <c r="A500" s="213"/>
      <c r="B500" s="214"/>
      <c r="C500" s="216"/>
      <c r="D500" s="216"/>
      <c r="E500" s="216"/>
      <c r="F500" s="216"/>
      <c r="G500" s="216"/>
      <c r="H500" s="216"/>
      <c r="I500" s="216"/>
      <c r="J500" s="216"/>
      <c r="K500" s="5"/>
      <c r="L500" s="5"/>
      <c r="M500" s="5"/>
      <c r="N500" s="5"/>
      <c r="O500" s="5"/>
      <c r="P500" s="5"/>
      <c r="Q500" s="5"/>
      <c r="R500" s="5"/>
    </row>
    <row r="501" ht="12.75" hidden="1" customHeight="1">
      <c r="A501" s="213"/>
      <c r="B501" s="214"/>
      <c r="C501" s="216"/>
      <c r="D501" s="216"/>
      <c r="E501" s="216"/>
      <c r="F501" s="216"/>
      <c r="G501" s="216"/>
      <c r="H501" s="216"/>
      <c r="I501" s="216"/>
      <c r="J501" s="216"/>
      <c r="K501" s="5"/>
      <c r="L501" s="5"/>
      <c r="M501" s="5"/>
      <c r="N501" s="5"/>
      <c r="O501" s="5"/>
      <c r="P501" s="5"/>
      <c r="Q501" s="5"/>
      <c r="R501" s="5"/>
    </row>
    <row r="502" ht="12.75" hidden="1" customHeight="1">
      <c r="A502" s="213"/>
      <c r="B502" s="214"/>
      <c r="C502" s="216"/>
      <c r="D502" s="216"/>
      <c r="E502" s="216"/>
      <c r="F502" s="216"/>
      <c r="G502" s="216"/>
      <c r="H502" s="216"/>
      <c r="I502" s="216"/>
      <c r="J502" s="216"/>
      <c r="K502" s="5"/>
      <c r="L502" s="5"/>
      <c r="M502" s="5"/>
      <c r="N502" s="5"/>
      <c r="O502" s="5"/>
      <c r="P502" s="5"/>
      <c r="Q502" s="5"/>
      <c r="R502" s="5"/>
    </row>
    <row r="503" ht="12.75" hidden="1" customHeight="1">
      <c r="A503" s="213"/>
      <c r="B503" s="214"/>
      <c r="C503" s="216"/>
      <c r="D503" s="216"/>
      <c r="E503" s="216"/>
      <c r="F503" s="216"/>
      <c r="G503" s="216"/>
      <c r="H503" s="216"/>
      <c r="I503" s="216"/>
      <c r="J503" s="216"/>
      <c r="K503" s="5"/>
      <c r="L503" s="5"/>
      <c r="M503" s="5"/>
      <c r="N503" s="5"/>
      <c r="O503" s="5"/>
      <c r="P503" s="5"/>
      <c r="Q503" s="5"/>
      <c r="R503" s="5"/>
    </row>
    <row r="504" ht="12.75" hidden="1" customHeight="1">
      <c r="A504" s="213"/>
      <c r="B504" s="214"/>
      <c r="C504" s="216"/>
      <c r="D504" s="216"/>
      <c r="E504" s="216"/>
      <c r="F504" s="216"/>
      <c r="G504" s="216"/>
      <c r="H504" s="216"/>
      <c r="I504" s="216"/>
      <c r="J504" s="216"/>
      <c r="K504" s="5"/>
      <c r="L504" s="5"/>
      <c r="M504" s="5"/>
      <c r="N504" s="5"/>
      <c r="O504" s="5"/>
      <c r="P504" s="5"/>
      <c r="Q504" s="5"/>
      <c r="R504" s="5"/>
    </row>
    <row r="505" ht="12.75" hidden="1" customHeight="1">
      <c r="A505" s="213"/>
      <c r="B505" s="214"/>
      <c r="C505" s="216"/>
      <c r="D505" s="216"/>
      <c r="E505" s="216"/>
      <c r="F505" s="216"/>
      <c r="G505" s="216"/>
      <c r="H505" s="216"/>
      <c r="I505" s="216"/>
      <c r="J505" s="216"/>
      <c r="K505" s="5"/>
      <c r="L505" s="5"/>
      <c r="M505" s="5"/>
      <c r="N505" s="5"/>
      <c r="O505" s="5"/>
      <c r="P505" s="5"/>
      <c r="Q505" s="5"/>
      <c r="R505" s="5"/>
    </row>
    <row r="506" ht="12.75" hidden="1" customHeight="1">
      <c r="A506" s="213"/>
      <c r="B506" s="214"/>
      <c r="C506" s="216"/>
      <c r="D506" s="216"/>
      <c r="E506" s="216"/>
      <c r="F506" s="216"/>
      <c r="G506" s="216"/>
      <c r="H506" s="216"/>
      <c r="I506" s="216"/>
      <c r="J506" s="216"/>
      <c r="K506" s="5"/>
      <c r="L506" s="5"/>
      <c r="M506" s="5"/>
      <c r="N506" s="5"/>
      <c r="O506" s="5"/>
      <c r="P506" s="5"/>
      <c r="Q506" s="5"/>
      <c r="R506" s="5"/>
    </row>
    <row r="507" ht="12.75" hidden="1" customHeight="1">
      <c r="A507" s="213"/>
      <c r="B507" s="214"/>
      <c r="C507" s="216"/>
      <c r="D507" s="216"/>
      <c r="E507" s="216"/>
      <c r="F507" s="216"/>
      <c r="G507" s="216"/>
      <c r="H507" s="216"/>
      <c r="I507" s="216"/>
      <c r="J507" s="216"/>
      <c r="K507" s="5"/>
      <c r="L507" s="5"/>
      <c r="M507" s="5"/>
      <c r="N507" s="5"/>
      <c r="O507" s="5"/>
      <c r="P507" s="5"/>
      <c r="Q507" s="5"/>
      <c r="R507" s="5"/>
    </row>
    <row r="508" ht="12.75" hidden="1" customHeight="1">
      <c r="A508" s="213"/>
      <c r="B508" s="214"/>
      <c r="C508" s="216"/>
      <c r="D508" s="216"/>
      <c r="E508" s="216"/>
      <c r="F508" s="216"/>
      <c r="G508" s="216"/>
      <c r="H508" s="216"/>
      <c r="I508" s="216"/>
      <c r="J508" s="216"/>
      <c r="K508" s="5"/>
      <c r="L508" s="5"/>
      <c r="M508" s="5"/>
      <c r="N508" s="5"/>
      <c r="O508" s="5"/>
      <c r="P508" s="5"/>
      <c r="Q508" s="5"/>
      <c r="R508" s="5"/>
    </row>
    <row r="509" ht="12.75" hidden="1" customHeight="1">
      <c r="A509" s="213"/>
      <c r="B509" s="214"/>
      <c r="C509" s="216"/>
      <c r="D509" s="216"/>
      <c r="E509" s="216"/>
      <c r="F509" s="216"/>
      <c r="G509" s="216"/>
      <c r="H509" s="216"/>
      <c r="I509" s="216"/>
      <c r="J509" s="216"/>
      <c r="K509" s="5"/>
      <c r="L509" s="5"/>
      <c r="M509" s="5"/>
      <c r="N509" s="5"/>
      <c r="O509" s="5"/>
      <c r="P509" s="5"/>
      <c r="Q509" s="5"/>
      <c r="R509" s="5"/>
    </row>
    <row r="510" ht="12.75" hidden="1" customHeight="1">
      <c r="A510" s="213"/>
      <c r="B510" s="214"/>
      <c r="C510" s="216"/>
      <c r="D510" s="216"/>
      <c r="E510" s="216"/>
      <c r="F510" s="216"/>
      <c r="G510" s="216"/>
      <c r="H510" s="216"/>
      <c r="I510" s="216"/>
      <c r="J510" s="216"/>
      <c r="K510" s="5"/>
      <c r="L510" s="5"/>
      <c r="M510" s="5"/>
      <c r="N510" s="5"/>
      <c r="O510" s="5"/>
      <c r="P510" s="5"/>
      <c r="Q510" s="5"/>
      <c r="R510" s="5"/>
    </row>
    <row r="511" ht="12.75" hidden="1" customHeight="1">
      <c r="A511" s="213"/>
      <c r="B511" s="214"/>
      <c r="C511" s="216"/>
      <c r="D511" s="216"/>
      <c r="E511" s="216"/>
      <c r="F511" s="216"/>
      <c r="G511" s="216"/>
      <c r="H511" s="216"/>
      <c r="I511" s="216"/>
      <c r="J511" s="216"/>
      <c r="K511" s="5"/>
      <c r="L511" s="5"/>
      <c r="M511" s="5"/>
      <c r="N511" s="5"/>
      <c r="O511" s="5"/>
      <c r="P511" s="5"/>
      <c r="Q511" s="5"/>
      <c r="R511" s="5"/>
    </row>
    <row r="512" ht="12.75" hidden="1" customHeight="1">
      <c r="A512" s="213"/>
      <c r="B512" s="214"/>
      <c r="C512" s="216"/>
      <c r="D512" s="216"/>
      <c r="E512" s="216"/>
      <c r="F512" s="216"/>
      <c r="G512" s="216"/>
      <c r="H512" s="216"/>
      <c r="I512" s="216"/>
      <c r="J512" s="216"/>
      <c r="K512" s="5"/>
      <c r="L512" s="5"/>
      <c r="M512" s="5"/>
      <c r="N512" s="5"/>
      <c r="O512" s="5"/>
      <c r="P512" s="5"/>
      <c r="Q512" s="5"/>
      <c r="R512" s="5"/>
    </row>
    <row r="513" ht="12.75" hidden="1" customHeight="1">
      <c r="A513" s="213"/>
      <c r="B513" s="214"/>
      <c r="C513" s="216"/>
      <c r="D513" s="216"/>
      <c r="E513" s="216"/>
      <c r="F513" s="216"/>
      <c r="G513" s="216"/>
      <c r="H513" s="216"/>
      <c r="I513" s="216"/>
      <c r="J513" s="216"/>
      <c r="K513" s="5"/>
      <c r="L513" s="5"/>
      <c r="M513" s="5"/>
      <c r="N513" s="5"/>
      <c r="O513" s="5"/>
      <c r="P513" s="5"/>
      <c r="Q513" s="5"/>
      <c r="R513" s="5"/>
    </row>
    <row r="514" ht="12.75" hidden="1" customHeight="1">
      <c r="A514" s="213"/>
      <c r="B514" s="214"/>
      <c r="C514" s="216"/>
      <c r="D514" s="216"/>
      <c r="E514" s="216"/>
      <c r="F514" s="216"/>
      <c r="G514" s="216"/>
      <c r="H514" s="216"/>
      <c r="I514" s="216"/>
      <c r="J514" s="216"/>
      <c r="K514" s="5"/>
      <c r="L514" s="5"/>
      <c r="M514" s="5"/>
      <c r="N514" s="5"/>
      <c r="O514" s="5"/>
      <c r="P514" s="5"/>
      <c r="Q514" s="5"/>
      <c r="R514" s="5"/>
    </row>
    <row r="515" ht="12.75" hidden="1" customHeight="1">
      <c r="A515" s="213"/>
      <c r="B515" s="214"/>
      <c r="C515" s="216"/>
      <c r="D515" s="216"/>
      <c r="E515" s="216"/>
      <c r="F515" s="216"/>
      <c r="G515" s="216"/>
      <c r="H515" s="216"/>
      <c r="I515" s="216"/>
      <c r="J515" s="216"/>
      <c r="K515" s="5"/>
      <c r="L515" s="5"/>
      <c r="M515" s="5"/>
      <c r="N515" s="5"/>
      <c r="O515" s="5"/>
      <c r="P515" s="5"/>
      <c r="Q515" s="5"/>
      <c r="R515" s="5"/>
    </row>
    <row r="516" ht="12.75" hidden="1" customHeight="1">
      <c r="A516" s="213"/>
      <c r="B516" s="214"/>
      <c r="C516" s="216"/>
      <c r="D516" s="216"/>
      <c r="E516" s="216"/>
      <c r="F516" s="216"/>
      <c r="G516" s="216"/>
      <c r="H516" s="216"/>
      <c r="I516" s="216"/>
      <c r="J516" s="216"/>
      <c r="K516" s="5"/>
      <c r="L516" s="5"/>
      <c r="M516" s="5"/>
      <c r="N516" s="5"/>
      <c r="O516" s="5"/>
      <c r="P516" s="5"/>
      <c r="Q516" s="5"/>
      <c r="R516" s="5"/>
    </row>
    <row r="517" ht="12.75" hidden="1" customHeight="1">
      <c r="A517" s="213"/>
      <c r="B517" s="214"/>
      <c r="C517" s="216"/>
      <c r="D517" s="216"/>
      <c r="E517" s="216"/>
      <c r="F517" s="216"/>
      <c r="G517" s="216"/>
      <c r="H517" s="216"/>
      <c r="I517" s="216"/>
      <c r="J517" s="216"/>
      <c r="K517" s="5"/>
      <c r="L517" s="5"/>
      <c r="M517" s="5"/>
      <c r="N517" s="5"/>
      <c r="O517" s="5"/>
      <c r="P517" s="5"/>
      <c r="Q517" s="5"/>
      <c r="R517" s="5"/>
    </row>
    <row r="518" ht="12.75" hidden="1" customHeight="1">
      <c r="A518" s="213"/>
      <c r="B518" s="214"/>
      <c r="C518" s="216"/>
      <c r="D518" s="216"/>
      <c r="E518" s="216"/>
      <c r="F518" s="216"/>
      <c r="G518" s="216"/>
      <c r="H518" s="216"/>
      <c r="I518" s="216"/>
      <c r="J518" s="216"/>
      <c r="K518" s="5"/>
      <c r="L518" s="5"/>
      <c r="M518" s="5"/>
      <c r="N518" s="5"/>
      <c r="O518" s="5"/>
      <c r="P518" s="5"/>
      <c r="Q518" s="5"/>
      <c r="R518" s="5"/>
    </row>
    <row r="519" ht="12.75" hidden="1" customHeight="1">
      <c r="A519" s="213"/>
      <c r="B519" s="214"/>
      <c r="C519" s="216"/>
      <c r="D519" s="216"/>
      <c r="E519" s="216"/>
      <c r="F519" s="216"/>
      <c r="G519" s="216"/>
      <c r="H519" s="216"/>
      <c r="I519" s="216"/>
      <c r="J519" s="216"/>
      <c r="K519" s="5"/>
      <c r="L519" s="5"/>
      <c r="M519" s="5"/>
      <c r="N519" s="5"/>
      <c r="O519" s="5"/>
      <c r="P519" s="5"/>
      <c r="Q519" s="5"/>
      <c r="R519" s="5"/>
    </row>
    <row r="520" ht="12.75" hidden="1" customHeight="1">
      <c r="A520" s="213"/>
      <c r="B520" s="214"/>
      <c r="C520" s="216"/>
      <c r="D520" s="216"/>
      <c r="E520" s="216"/>
      <c r="F520" s="216"/>
      <c r="G520" s="216"/>
      <c r="H520" s="216"/>
      <c r="I520" s="216"/>
      <c r="J520" s="216"/>
      <c r="K520" s="5"/>
      <c r="L520" s="5"/>
      <c r="M520" s="5"/>
      <c r="N520" s="5"/>
      <c r="O520" s="5"/>
      <c r="P520" s="5"/>
      <c r="Q520" s="5"/>
      <c r="R520" s="5"/>
    </row>
    <row r="521" ht="12.75" hidden="1" customHeight="1">
      <c r="A521" s="213"/>
      <c r="B521" s="214"/>
      <c r="C521" s="216"/>
      <c r="D521" s="216"/>
      <c r="E521" s="216"/>
      <c r="F521" s="216"/>
      <c r="G521" s="216"/>
      <c r="H521" s="216"/>
      <c r="I521" s="216"/>
      <c r="J521" s="216"/>
      <c r="K521" s="5"/>
      <c r="L521" s="5"/>
      <c r="M521" s="5"/>
      <c r="N521" s="5"/>
      <c r="O521" s="5"/>
      <c r="P521" s="5"/>
      <c r="Q521" s="5"/>
      <c r="R521" s="5"/>
    </row>
    <row r="522" ht="12.75" hidden="1" customHeight="1">
      <c r="A522" s="213"/>
      <c r="B522" s="214"/>
      <c r="C522" s="216"/>
      <c r="D522" s="216"/>
      <c r="E522" s="216"/>
      <c r="F522" s="216"/>
      <c r="G522" s="216"/>
      <c r="H522" s="216"/>
      <c r="I522" s="216"/>
      <c r="J522" s="216"/>
      <c r="K522" s="5"/>
      <c r="L522" s="5"/>
      <c r="M522" s="5"/>
      <c r="N522" s="5"/>
      <c r="O522" s="5"/>
      <c r="P522" s="5"/>
      <c r="Q522" s="5"/>
      <c r="R522" s="5"/>
    </row>
    <row r="523" ht="12.75" hidden="1" customHeight="1">
      <c r="A523" s="213"/>
      <c r="B523" s="214"/>
      <c r="C523" s="216"/>
      <c r="D523" s="216"/>
      <c r="E523" s="216"/>
      <c r="F523" s="216"/>
      <c r="G523" s="216"/>
      <c r="H523" s="216"/>
      <c r="I523" s="216"/>
      <c r="J523" s="216"/>
      <c r="K523" s="5"/>
      <c r="L523" s="5"/>
      <c r="M523" s="5"/>
      <c r="N523" s="5"/>
      <c r="O523" s="5"/>
      <c r="P523" s="5"/>
      <c r="Q523" s="5"/>
      <c r="R523" s="5"/>
    </row>
    <row r="524" ht="12.75" hidden="1" customHeight="1">
      <c r="A524" s="213"/>
      <c r="B524" s="214"/>
      <c r="C524" s="216"/>
      <c r="D524" s="216"/>
      <c r="E524" s="216"/>
      <c r="F524" s="216"/>
      <c r="G524" s="216"/>
      <c r="H524" s="216"/>
      <c r="I524" s="216"/>
      <c r="J524" s="216"/>
      <c r="K524" s="5"/>
      <c r="L524" s="5"/>
      <c r="M524" s="5"/>
      <c r="N524" s="5"/>
      <c r="O524" s="5"/>
      <c r="P524" s="5"/>
      <c r="Q524" s="5"/>
      <c r="R524" s="5"/>
    </row>
    <row r="525" ht="12.75" hidden="1" customHeight="1">
      <c r="A525" s="213"/>
      <c r="B525" s="214"/>
      <c r="C525" s="216"/>
      <c r="D525" s="216"/>
      <c r="E525" s="216"/>
      <c r="F525" s="216"/>
      <c r="G525" s="216"/>
      <c r="H525" s="216"/>
      <c r="I525" s="216"/>
      <c r="J525" s="216"/>
      <c r="K525" s="5"/>
      <c r="L525" s="5"/>
      <c r="M525" s="5"/>
      <c r="N525" s="5"/>
      <c r="O525" s="5"/>
      <c r="P525" s="5"/>
      <c r="Q525" s="5"/>
      <c r="R525" s="5"/>
    </row>
    <row r="526" ht="12.75" hidden="1" customHeight="1">
      <c r="A526" s="213"/>
      <c r="B526" s="214"/>
      <c r="C526" s="216"/>
      <c r="D526" s="216"/>
      <c r="E526" s="216"/>
      <c r="F526" s="216"/>
      <c r="G526" s="216"/>
      <c r="H526" s="216"/>
      <c r="I526" s="216"/>
      <c r="J526" s="216"/>
      <c r="K526" s="5"/>
      <c r="L526" s="5"/>
      <c r="M526" s="5"/>
      <c r="N526" s="5"/>
      <c r="O526" s="5"/>
      <c r="P526" s="5"/>
      <c r="Q526" s="5"/>
      <c r="R526" s="5"/>
    </row>
    <row r="527" ht="12.75" hidden="1" customHeight="1">
      <c r="A527" s="213"/>
      <c r="B527" s="214"/>
      <c r="C527" s="216"/>
      <c r="D527" s="216"/>
      <c r="E527" s="216"/>
      <c r="F527" s="216"/>
      <c r="G527" s="216"/>
      <c r="H527" s="216"/>
      <c r="I527" s="216"/>
      <c r="J527" s="216"/>
      <c r="K527" s="5"/>
      <c r="L527" s="5"/>
      <c r="M527" s="5"/>
      <c r="N527" s="5"/>
      <c r="O527" s="5"/>
      <c r="P527" s="5"/>
      <c r="Q527" s="5"/>
      <c r="R527" s="5"/>
    </row>
    <row r="528" ht="12.75" hidden="1" customHeight="1">
      <c r="A528" s="213"/>
      <c r="B528" s="214"/>
      <c r="C528" s="216"/>
      <c r="D528" s="216"/>
      <c r="E528" s="216"/>
      <c r="F528" s="216"/>
      <c r="G528" s="216"/>
      <c r="H528" s="216"/>
      <c r="I528" s="216"/>
      <c r="J528" s="216"/>
      <c r="K528" s="5"/>
      <c r="L528" s="5"/>
      <c r="M528" s="5"/>
      <c r="N528" s="5"/>
      <c r="O528" s="5"/>
      <c r="P528" s="5"/>
      <c r="Q528" s="5"/>
      <c r="R528" s="5"/>
    </row>
    <row r="529" ht="12.75" hidden="1" customHeight="1">
      <c r="A529" s="213"/>
      <c r="B529" s="214"/>
      <c r="C529" s="216"/>
      <c r="D529" s="216"/>
      <c r="E529" s="216"/>
      <c r="F529" s="216"/>
      <c r="G529" s="216"/>
      <c r="H529" s="216"/>
      <c r="I529" s="216"/>
      <c r="J529" s="216"/>
      <c r="K529" s="5"/>
      <c r="L529" s="5"/>
      <c r="M529" s="5"/>
      <c r="N529" s="5"/>
      <c r="O529" s="5"/>
      <c r="P529" s="5"/>
      <c r="Q529" s="5"/>
      <c r="R529" s="5"/>
    </row>
    <row r="530" ht="12.75" hidden="1" customHeight="1">
      <c r="A530" s="213"/>
      <c r="B530" s="214"/>
      <c r="C530" s="216"/>
      <c r="D530" s="216"/>
      <c r="E530" s="216"/>
      <c r="F530" s="216"/>
      <c r="G530" s="216"/>
      <c r="H530" s="216"/>
      <c r="I530" s="216"/>
      <c r="J530" s="216"/>
      <c r="K530" s="5"/>
      <c r="L530" s="5"/>
      <c r="M530" s="5"/>
      <c r="N530" s="5"/>
      <c r="O530" s="5"/>
      <c r="P530" s="5"/>
      <c r="Q530" s="5"/>
      <c r="R530" s="5"/>
    </row>
    <row r="531" ht="12.75" hidden="1" customHeight="1">
      <c r="A531" s="213"/>
      <c r="B531" s="214"/>
      <c r="C531" s="216"/>
      <c r="D531" s="216"/>
      <c r="E531" s="216"/>
      <c r="F531" s="216"/>
      <c r="G531" s="216"/>
      <c r="H531" s="216"/>
      <c r="I531" s="216"/>
      <c r="J531" s="216"/>
      <c r="K531" s="5"/>
      <c r="L531" s="5"/>
      <c r="M531" s="5"/>
      <c r="N531" s="5"/>
      <c r="O531" s="5"/>
      <c r="P531" s="5"/>
      <c r="Q531" s="5"/>
      <c r="R531" s="5"/>
    </row>
    <row r="532" ht="12.75" hidden="1" customHeight="1">
      <c r="A532" s="213"/>
      <c r="B532" s="214"/>
      <c r="C532" s="216"/>
      <c r="D532" s="216"/>
      <c r="E532" s="216"/>
      <c r="F532" s="216"/>
      <c r="G532" s="216"/>
      <c r="H532" s="216"/>
      <c r="I532" s="216"/>
      <c r="J532" s="216"/>
      <c r="K532" s="5"/>
      <c r="L532" s="5"/>
      <c r="M532" s="5"/>
      <c r="N532" s="5"/>
      <c r="O532" s="5"/>
      <c r="P532" s="5"/>
      <c r="Q532" s="5"/>
      <c r="R532" s="5"/>
    </row>
    <row r="533" ht="12.75" hidden="1" customHeight="1">
      <c r="A533" s="213"/>
      <c r="B533" s="214"/>
      <c r="C533" s="216"/>
      <c r="D533" s="216"/>
      <c r="E533" s="216"/>
      <c r="F533" s="216"/>
      <c r="G533" s="216"/>
      <c r="H533" s="216"/>
      <c r="I533" s="216"/>
      <c r="J533" s="216"/>
      <c r="K533" s="5"/>
      <c r="L533" s="5"/>
      <c r="M533" s="5"/>
      <c r="N533" s="5"/>
      <c r="O533" s="5"/>
      <c r="P533" s="5"/>
      <c r="Q533" s="5"/>
      <c r="R533" s="5"/>
    </row>
    <row r="534" ht="12.75" hidden="1" customHeight="1">
      <c r="A534" s="213"/>
      <c r="B534" s="214"/>
      <c r="C534" s="216"/>
      <c r="D534" s="216"/>
      <c r="E534" s="216"/>
      <c r="F534" s="216"/>
      <c r="G534" s="216"/>
      <c r="H534" s="216"/>
      <c r="I534" s="216"/>
      <c r="J534" s="216"/>
      <c r="K534" s="5"/>
      <c r="L534" s="5"/>
      <c r="M534" s="5"/>
      <c r="N534" s="5"/>
      <c r="O534" s="5"/>
      <c r="P534" s="5"/>
      <c r="Q534" s="5"/>
      <c r="R534" s="5"/>
    </row>
    <row r="535" ht="12.75" hidden="1" customHeight="1">
      <c r="A535" s="213"/>
      <c r="B535" s="214"/>
      <c r="C535" s="216"/>
      <c r="D535" s="216"/>
      <c r="E535" s="216"/>
      <c r="F535" s="216"/>
      <c r="G535" s="216"/>
      <c r="H535" s="216"/>
      <c r="I535" s="216"/>
      <c r="J535" s="216"/>
      <c r="K535" s="5"/>
      <c r="L535" s="5"/>
      <c r="M535" s="5"/>
      <c r="N535" s="5"/>
      <c r="O535" s="5"/>
      <c r="P535" s="5"/>
      <c r="Q535" s="5"/>
      <c r="R535" s="5"/>
    </row>
    <row r="536" ht="12.75" hidden="1" customHeight="1">
      <c r="A536" s="213"/>
      <c r="B536" s="214"/>
      <c r="C536" s="216"/>
      <c r="D536" s="216"/>
      <c r="E536" s="216"/>
      <c r="F536" s="216"/>
      <c r="G536" s="216"/>
      <c r="H536" s="216"/>
      <c r="I536" s="216"/>
      <c r="J536" s="216"/>
      <c r="K536" s="5"/>
      <c r="L536" s="5"/>
      <c r="M536" s="5"/>
      <c r="N536" s="5"/>
      <c r="O536" s="5"/>
      <c r="P536" s="5"/>
      <c r="Q536" s="5"/>
      <c r="R536" s="5"/>
    </row>
    <row r="537" ht="12.75" hidden="1" customHeight="1">
      <c r="A537" s="213"/>
      <c r="B537" s="214"/>
      <c r="C537" s="216"/>
      <c r="D537" s="216"/>
      <c r="E537" s="216"/>
      <c r="F537" s="216"/>
      <c r="G537" s="216"/>
      <c r="H537" s="216"/>
      <c r="I537" s="216"/>
      <c r="J537" s="216"/>
      <c r="K537" s="5"/>
      <c r="L537" s="5"/>
      <c r="M537" s="5"/>
      <c r="N537" s="5"/>
      <c r="O537" s="5"/>
      <c r="P537" s="5"/>
      <c r="Q537" s="5"/>
      <c r="R537" s="5"/>
    </row>
    <row r="538" ht="12.75" hidden="1" customHeight="1">
      <c r="A538" s="213"/>
      <c r="B538" s="214"/>
      <c r="C538" s="216"/>
      <c r="D538" s="216"/>
      <c r="E538" s="216"/>
      <c r="F538" s="216"/>
      <c r="G538" s="216"/>
      <c r="H538" s="216"/>
      <c r="I538" s="216"/>
      <c r="J538" s="216"/>
      <c r="K538" s="5"/>
      <c r="L538" s="5"/>
      <c r="M538" s="5"/>
      <c r="N538" s="5"/>
      <c r="O538" s="5"/>
      <c r="P538" s="5"/>
      <c r="Q538" s="5"/>
      <c r="R538" s="5"/>
    </row>
    <row r="539" ht="12.75" hidden="1" customHeight="1">
      <c r="A539" s="213"/>
      <c r="B539" s="214"/>
      <c r="C539" s="216"/>
      <c r="D539" s="216"/>
      <c r="E539" s="216"/>
      <c r="F539" s="216"/>
      <c r="G539" s="216"/>
      <c r="H539" s="216"/>
      <c r="I539" s="216"/>
      <c r="J539" s="216"/>
      <c r="K539" s="5"/>
      <c r="L539" s="5"/>
      <c r="M539" s="5"/>
      <c r="N539" s="5"/>
      <c r="O539" s="5"/>
      <c r="P539" s="5"/>
      <c r="Q539" s="5"/>
      <c r="R539" s="5"/>
    </row>
    <row r="540" ht="12.75" hidden="1" customHeight="1">
      <c r="A540" s="213"/>
      <c r="B540" s="214"/>
      <c r="C540" s="216"/>
      <c r="D540" s="216"/>
      <c r="E540" s="216"/>
      <c r="F540" s="216"/>
      <c r="G540" s="216"/>
      <c r="H540" s="216"/>
      <c r="I540" s="216"/>
      <c r="J540" s="216"/>
      <c r="K540" s="5"/>
      <c r="L540" s="5"/>
      <c r="M540" s="5"/>
      <c r="N540" s="5"/>
      <c r="O540" s="5"/>
      <c r="P540" s="5"/>
      <c r="Q540" s="5"/>
      <c r="R540" s="5"/>
    </row>
    <row r="541" ht="12.75" hidden="1" customHeight="1">
      <c r="A541" s="213"/>
      <c r="B541" s="214"/>
      <c r="C541" s="216"/>
      <c r="D541" s="216"/>
      <c r="E541" s="216"/>
      <c r="F541" s="216"/>
      <c r="G541" s="216"/>
      <c r="H541" s="216"/>
      <c r="I541" s="216"/>
      <c r="J541" s="216"/>
      <c r="K541" s="5"/>
      <c r="L541" s="5"/>
      <c r="M541" s="5"/>
      <c r="N541" s="5"/>
      <c r="O541" s="5"/>
      <c r="P541" s="5"/>
      <c r="Q541" s="5"/>
      <c r="R541" s="5"/>
    </row>
    <row r="542" ht="12.75" hidden="1" customHeight="1">
      <c r="A542" s="213"/>
      <c r="B542" s="214"/>
      <c r="C542" s="216"/>
      <c r="D542" s="216"/>
      <c r="E542" s="216"/>
      <c r="F542" s="216"/>
      <c r="G542" s="216"/>
      <c r="H542" s="216"/>
      <c r="I542" s="216"/>
      <c r="J542" s="216"/>
      <c r="K542" s="5"/>
      <c r="L542" s="5"/>
      <c r="M542" s="5"/>
      <c r="N542" s="5"/>
      <c r="O542" s="5"/>
      <c r="P542" s="5"/>
      <c r="Q542" s="5"/>
      <c r="R542" s="5"/>
    </row>
    <row r="543" ht="12.75" hidden="1" customHeight="1">
      <c r="A543" s="213"/>
      <c r="B543" s="214"/>
      <c r="C543" s="216"/>
      <c r="D543" s="216"/>
      <c r="E543" s="216"/>
      <c r="F543" s="216"/>
      <c r="G543" s="216"/>
      <c r="H543" s="216"/>
      <c r="I543" s="216"/>
      <c r="J543" s="216"/>
      <c r="K543" s="5"/>
      <c r="L543" s="5"/>
      <c r="M543" s="5"/>
      <c r="N543" s="5"/>
      <c r="O543" s="5"/>
      <c r="P543" s="5"/>
      <c r="Q543" s="5"/>
      <c r="R543" s="5"/>
    </row>
    <row r="544" ht="12.75" hidden="1" customHeight="1">
      <c r="A544" s="213"/>
      <c r="B544" s="214"/>
      <c r="C544" s="216"/>
      <c r="D544" s="216"/>
      <c r="E544" s="216"/>
      <c r="F544" s="216"/>
      <c r="G544" s="216"/>
      <c r="H544" s="216"/>
      <c r="I544" s="216"/>
      <c r="J544" s="216"/>
      <c r="K544" s="5"/>
      <c r="L544" s="5"/>
      <c r="M544" s="5"/>
      <c r="N544" s="5"/>
      <c r="O544" s="5"/>
      <c r="P544" s="5"/>
      <c r="Q544" s="5"/>
      <c r="R544" s="5"/>
    </row>
    <row r="545" ht="12.75" hidden="1" customHeight="1">
      <c r="A545" s="213"/>
      <c r="B545" s="214"/>
      <c r="C545" s="216"/>
      <c r="D545" s="216"/>
      <c r="E545" s="216"/>
      <c r="F545" s="216"/>
      <c r="G545" s="216"/>
      <c r="H545" s="216"/>
      <c r="I545" s="216"/>
      <c r="J545" s="216"/>
      <c r="K545" s="5"/>
      <c r="L545" s="5"/>
      <c r="M545" s="5"/>
      <c r="N545" s="5"/>
      <c r="O545" s="5"/>
      <c r="P545" s="5"/>
      <c r="Q545" s="5"/>
      <c r="R545" s="5"/>
    </row>
    <row r="546" ht="12.75" hidden="1" customHeight="1">
      <c r="A546" s="213"/>
      <c r="B546" s="214"/>
      <c r="C546" s="216"/>
      <c r="D546" s="216"/>
      <c r="E546" s="216"/>
      <c r="F546" s="216"/>
      <c r="G546" s="216"/>
      <c r="H546" s="216"/>
      <c r="I546" s="216"/>
      <c r="J546" s="216"/>
      <c r="K546" s="5"/>
      <c r="L546" s="5"/>
      <c r="M546" s="5"/>
      <c r="N546" s="5"/>
      <c r="O546" s="5"/>
      <c r="P546" s="5"/>
      <c r="Q546" s="5"/>
      <c r="R546" s="5"/>
    </row>
    <row r="547" ht="12.75" hidden="1" customHeight="1">
      <c r="A547" s="213"/>
      <c r="B547" s="214"/>
      <c r="C547" s="216"/>
      <c r="D547" s="216"/>
      <c r="E547" s="216"/>
      <c r="F547" s="216"/>
      <c r="G547" s="216"/>
      <c r="H547" s="216"/>
      <c r="I547" s="216"/>
      <c r="J547" s="216"/>
      <c r="K547" s="5"/>
      <c r="L547" s="5"/>
      <c r="M547" s="5"/>
      <c r="N547" s="5"/>
      <c r="O547" s="5"/>
      <c r="P547" s="5"/>
      <c r="Q547" s="5"/>
      <c r="R547" s="5"/>
    </row>
    <row r="548" ht="12.75" hidden="1" customHeight="1">
      <c r="A548" s="213"/>
      <c r="B548" s="214"/>
      <c r="C548" s="216"/>
      <c r="D548" s="216"/>
      <c r="E548" s="216"/>
      <c r="F548" s="216"/>
      <c r="G548" s="216"/>
      <c r="H548" s="216"/>
      <c r="I548" s="216"/>
      <c r="J548" s="216"/>
      <c r="K548" s="5"/>
      <c r="L548" s="5"/>
      <c r="M548" s="5"/>
      <c r="N548" s="5"/>
      <c r="O548" s="5"/>
      <c r="P548" s="5"/>
      <c r="Q548" s="5"/>
      <c r="R548" s="5"/>
    </row>
    <row r="549" ht="12.75" hidden="1" customHeight="1">
      <c r="A549" s="213"/>
      <c r="B549" s="214"/>
      <c r="C549" s="216"/>
      <c r="D549" s="216"/>
      <c r="E549" s="216"/>
      <c r="F549" s="216"/>
      <c r="G549" s="216"/>
      <c r="H549" s="216"/>
      <c r="I549" s="216"/>
      <c r="J549" s="216"/>
      <c r="K549" s="5"/>
      <c r="L549" s="5"/>
      <c r="M549" s="5"/>
      <c r="N549" s="5"/>
      <c r="O549" s="5"/>
      <c r="P549" s="5"/>
      <c r="Q549" s="5"/>
      <c r="R549" s="5"/>
    </row>
    <row r="550" ht="12.75" hidden="1" customHeight="1">
      <c r="A550" s="213"/>
      <c r="B550" s="214"/>
      <c r="C550" s="216"/>
      <c r="D550" s="216"/>
      <c r="E550" s="216"/>
      <c r="F550" s="216"/>
      <c r="G550" s="216"/>
      <c r="H550" s="216"/>
      <c r="I550" s="216"/>
      <c r="J550" s="216"/>
      <c r="K550" s="5"/>
      <c r="L550" s="5"/>
      <c r="M550" s="5"/>
      <c r="N550" s="5"/>
      <c r="O550" s="5"/>
      <c r="P550" s="5"/>
      <c r="Q550" s="5"/>
      <c r="R550" s="5"/>
    </row>
    <row r="551" ht="12.75" hidden="1" customHeight="1">
      <c r="A551" s="213"/>
      <c r="B551" s="214"/>
      <c r="C551" s="216"/>
      <c r="D551" s="216"/>
      <c r="E551" s="216"/>
      <c r="F551" s="216"/>
      <c r="G551" s="216"/>
      <c r="H551" s="216"/>
      <c r="I551" s="216"/>
      <c r="J551" s="216"/>
      <c r="K551" s="5"/>
      <c r="L551" s="5"/>
      <c r="M551" s="5"/>
      <c r="N551" s="5"/>
      <c r="O551" s="5"/>
      <c r="P551" s="5"/>
      <c r="Q551" s="5"/>
      <c r="R551" s="5"/>
    </row>
    <row r="552" ht="12.75" hidden="1" customHeight="1">
      <c r="A552" s="213"/>
      <c r="B552" s="214"/>
      <c r="C552" s="216"/>
      <c r="D552" s="216"/>
      <c r="E552" s="216"/>
      <c r="F552" s="216"/>
      <c r="G552" s="216"/>
      <c r="H552" s="216"/>
      <c r="I552" s="216"/>
      <c r="J552" s="216"/>
      <c r="K552" s="5"/>
      <c r="L552" s="5"/>
      <c r="M552" s="5"/>
      <c r="N552" s="5"/>
      <c r="O552" s="5"/>
      <c r="P552" s="5"/>
      <c r="Q552" s="5"/>
      <c r="R552" s="5"/>
    </row>
    <row r="553" ht="12.75" hidden="1" customHeight="1">
      <c r="A553" s="213"/>
      <c r="B553" s="214"/>
      <c r="C553" s="216"/>
      <c r="D553" s="216"/>
      <c r="E553" s="216"/>
      <c r="F553" s="216"/>
      <c r="G553" s="216"/>
      <c r="H553" s="216"/>
      <c r="I553" s="216"/>
      <c r="J553" s="216"/>
      <c r="K553" s="5"/>
      <c r="L553" s="5"/>
      <c r="M553" s="5"/>
      <c r="N553" s="5"/>
      <c r="O553" s="5"/>
      <c r="P553" s="5"/>
      <c r="Q553" s="5"/>
      <c r="R553" s="5"/>
    </row>
    <row r="554" ht="12.75" hidden="1" customHeight="1">
      <c r="A554" s="213"/>
      <c r="B554" s="214"/>
      <c r="C554" s="216"/>
      <c r="D554" s="216"/>
      <c r="E554" s="216"/>
      <c r="F554" s="216"/>
      <c r="G554" s="216"/>
      <c r="H554" s="216"/>
      <c r="I554" s="216"/>
      <c r="J554" s="216"/>
      <c r="K554" s="5"/>
      <c r="L554" s="5"/>
      <c r="M554" s="5"/>
      <c r="N554" s="5"/>
      <c r="O554" s="5"/>
      <c r="P554" s="5"/>
      <c r="Q554" s="5"/>
      <c r="R554" s="5"/>
    </row>
    <row r="555" ht="12.75" hidden="1" customHeight="1">
      <c r="A555" s="213"/>
      <c r="B555" s="214"/>
      <c r="C555" s="216"/>
      <c r="D555" s="216"/>
      <c r="E555" s="216"/>
      <c r="F555" s="216"/>
      <c r="G555" s="216"/>
      <c r="H555" s="216"/>
      <c r="I555" s="216"/>
      <c r="J555" s="216"/>
      <c r="K555" s="5"/>
      <c r="L555" s="5"/>
      <c r="M555" s="5"/>
      <c r="N555" s="5"/>
      <c r="O555" s="5"/>
      <c r="P555" s="5"/>
      <c r="Q555" s="5"/>
      <c r="R555" s="5"/>
    </row>
    <row r="556" ht="12.75" hidden="1" customHeight="1">
      <c r="A556" s="213"/>
      <c r="B556" s="214"/>
      <c r="C556" s="216"/>
      <c r="D556" s="216"/>
      <c r="E556" s="216"/>
      <c r="F556" s="216"/>
      <c r="G556" s="216"/>
      <c r="H556" s="216"/>
      <c r="I556" s="216"/>
      <c r="J556" s="216"/>
      <c r="K556" s="5"/>
      <c r="L556" s="5"/>
      <c r="M556" s="5"/>
      <c r="N556" s="5"/>
      <c r="O556" s="5"/>
      <c r="P556" s="5"/>
      <c r="Q556" s="5"/>
      <c r="R556" s="5"/>
    </row>
    <row r="557" ht="12.75" hidden="1" customHeight="1">
      <c r="A557" s="213"/>
      <c r="B557" s="214"/>
      <c r="C557" s="216"/>
      <c r="D557" s="216"/>
      <c r="E557" s="216"/>
      <c r="F557" s="216"/>
      <c r="G557" s="216"/>
      <c r="H557" s="216"/>
      <c r="I557" s="216"/>
      <c r="J557" s="216"/>
      <c r="K557" s="5"/>
      <c r="L557" s="5"/>
      <c r="M557" s="5"/>
      <c r="N557" s="5"/>
      <c r="O557" s="5"/>
      <c r="P557" s="5"/>
      <c r="Q557" s="5"/>
      <c r="R557" s="5"/>
    </row>
    <row r="558" ht="12.75" hidden="1" customHeight="1">
      <c r="A558" s="213"/>
      <c r="B558" s="214"/>
      <c r="C558" s="216"/>
      <c r="D558" s="216"/>
      <c r="E558" s="216"/>
      <c r="F558" s="216"/>
      <c r="G558" s="216"/>
      <c r="H558" s="216"/>
      <c r="I558" s="216"/>
      <c r="J558" s="216"/>
      <c r="K558" s="5"/>
      <c r="L558" s="5"/>
      <c r="M558" s="5"/>
      <c r="N558" s="5"/>
      <c r="O558" s="5"/>
      <c r="P558" s="5"/>
      <c r="Q558" s="5"/>
      <c r="R558" s="5"/>
    </row>
    <row r="559" ht="12.75" hidden="1" customHeight="1">
      <c r="A559" s="213"/>
      <c r="B559" s="214"/>
      <c r="C559" s="216"/>
      <c r="D559" s="216"/>
      <c r="E559" s="216"/>
      <c r="F559" s="216"/>
      <c r="G559" s="216"/>
      <c r="H559" s="216"/>
      <c r="I559" s="216"/>
      <c r="J559" s="216"/>
      <c r="K559" s="5"/>
      <c r="L559" s="5"/>
      <c r="M559" s="5"/>
      <c r="N559" s="5"/>
      <c r="O559" s="5"/>
      <c r="P559" s="5"/>
      <c r="Q559" s="5"/>
      <c r="R559" s="5"/>
    </row>
    <row r="560" ht="12.75" hidden="1" customHeight="1">
      <c r="A560" s="213"/>
      <c r="B560" s="214"/>
      <c r="C560" s="216"/>
      <c r="D560" s="216"/>
      <c r="E560" s="216"/>
      <c r="F560" s="216"/>
      <c r="G560" s="216"/>
      <c r="H560" s="216"/>
      <c r="I560" s="216"/>
      <c r="J560" s="216"/>
      <c r="K560" s="5"/>
      <c r="L560" s="5"/>
      <c r="M560" s="5"/>
      <c r="N560" s="5"/>
      <c r="O560" s="5"/>
      <c r="P560" s="5"/>
      <c r="Q560" s="5"/>
      <c r="R560" s="5"/>
    </row>
    <row r="561" ht="12.75" hidden="1" customHeight="1">
      <c r="A561" s="213"/>
      <c r="B561" s="214"/>
      <c r="C561" s="216"/>
      <c r="D561" s="216"/>
      <c r="E561" s="216"/>
      <c r="F561" s="216"/>
      <c r="G561" s="216"/>
      <c r="H561" s="216"/>
      <c r="I561" s="216"/>
      <c r="J561" s="216"/>
      <c r="K561" s="5"/>
      <c r="L561" s="5"/>
      <c r="M561" s="5"/>
      <c r="N561" s="5"/>
      <c r="O561" s="5"/>
      <c r="P561" s="5"/>
      <c r="Q561" s="5"/>
      <c r="R561" s="5"/>
    </row>
    <row r="562" ht="12.75" hidden="1" customHeight="1">
      <c r="A562" s="213"/>
      <c r="B562" s="214"/>
      <c r="C562" s="216"/>
      <c r="D562" s="216"/>
      <c r="E562" s="216"/>
      <c r="F562" s="216"/>
      <c r="G562" s="216"/>
      <c r="H562" s="216"/>
      <c r="I562" s="216"/>
      <c r="J562" s="216"/>
      <c r="K562" s="5"/>
      <c r="L562" s="5"/>
      <c r="M562" s="5"/>
      <c r="N562" s="5"/>
      <c r="O562" s="5"/>
      <c r="P562" s="5"/>
      <c r="Q562" s="5"/>
      <c r="R562" s="5"/>
    </row>
    <row r="563" ht="12.75" hidden="1" customHeight="1">
      <c r="A563" s="213"/>
      <c r="B563" s="214"/>
      <c r="C563" s="216"/>
      <c r="D563" s="216"/>
      <c r="E563" s="216"/>
      <c r="F563" s="216"/>
      <c r="G563" s="216"/>
      <c r="H563" s="216"/>
      <c r="I563" s="216"/>
      <c r="J563" s="216"/>
      <c r="K563" s="5"/>
      <c r="L563" s="5"/>
      <c r="M563" s="5"/>
      <c r="N563" s="5"/>
      <c r="O563" s="5"/>
      <c r="P563" s="5"/>
      <c r="Q563" s="5"/>
      <c r="R563" s="5"/>
    </row>
    <row r="564" ht="12.75" hidden="1" customHeight="1">
      <c r="A564" s="213"/>
      <c r="B564" s="214"/>
      <c r="C564" s="216"/>
      <c r="D564" s="216"/>
      <c r="E564" s="216"/>
      <c r="F564" s="216"/>
      <c r="G564" s="216"/>
      <c r="H564" s="216"/>
      <c r="I564" s="216"/>
      <c r="J564" s="216"/>
      <c r="K564" s="5"/>
      <c r="L564" s="5"/>
      <c r="M564" s="5"/>
      <c r="N564" s="5"/>
      <c r="O564" s="5"/>
      <c r="P564" s="5"/>
      <c r="Q564" s="5"/>
      <c r="R564" s="5"/>
    </row>
    <row r="565" ht="12.75" hidden="1" customHeight="1">
      <c r="A565" s="213"/>
      <c r="B565" s="214"/>
      <c r="C565" s="216"/>
      <c r="D565" s="216"/>
      <c r="E565" s="216"/>
      <c r="F565" s="216"/>
      <c r="G565" s="216"/>
      <c r="H565" s="216"/>
      <c r="I565" s="216"/>
      <c r="J565" s="216"/>
      <c r="K565" s="5"/>
      <c r="L565" s="5"/>
      <c r="M565" s="5"/>
      <c r="N565" s="5"/>
      <c r="O565" s="5"/>
      <c r="P565" s="5"/>
      <c r="Q565" s="5"/>
      <c r="R565" s="5"/>
    </row>
    <row r="566" ht="12.75" hidden="1" customHeight="1">
      <c r="A566" s="213"/>
      <c r="B566" s="214"/>
      <c r="C566" s="216"/>
      <c r="D566" s="216"/>
      <c r="E566" s="216"/>
      <c r="F566" s="216"/>
      <c r="G566" s="216"/>
      <c r="H566" s="216"/>
      <c r="I566" s="216"/>
      <c r="J566" s="216"/>
      <c r="K566" s="5"/>
      <c r="L566" s="5"/>
      <c r="M566" s="5"/>
      <c r="N566" s="5"/>
      <c r="O566" s="5"/>
      <c r="P566" s="5"/>
      <c r="Q566" s="5"/>
      <c r="R566" s="5"/>
    </row>
    <row r="567" ht="12.75" hidden="1" customHeight="1">
      <c r="A567" s="213"/>
      <c r="B567" s="214"/>
      <c r="C567" s="216"/>
      <c r="D567" s="216"/>
      <c r="E567" s="216"/>
      <c r="F567" s="216"/>
      <c r="G567" s="216"/>
      <c r="H567" s="216"/>
      <c r="I567" s="216"/>
      <c r="J567" s="216"/>
      <c r="K567" s="5"/>
      <c r="L567" s="5"/>
      <c r="M567" s="5"/>
      <c r="N567" s="5"/>
      <c r="O567" s="5"/>
      <c r="P567" s="5"/>
      <c r="Q567" s="5"/>
      <c r="R567" s="5"/>
    </row>
    <row r="568" ht="12.75" hidden="1" customHeight="1">
      <c r="A568" s="213"/>
      <c r="B568" s="214"/>
      <c r="C568" s="216"/>
      <c r="D568" s="216"/>
      <c r="E568" s="216"/>
      <c r="F568" s="216"/>
      <c r="G568" s="216"/>
      <c r="H568" s="216"/>
      <c r="I568" s="216"/>
      <c r="J568" s="216"/>
      <c r="K568" s="5"/>
      <c r="L568" s="5"/>
      <c r="M568" s="5"/>
      <c r="N568" s="5"/>
      <c r="O568" s="5"/>
      <c r="P568" s="5"/>
      <c r="Q568" s="5"/>
      <c r="R568" s="5"/>
    </row>
    <row r="569" ht="12.75" hidden="1" customHeight="1">
      <c r="A569" s="213"/>
      <c r="B569" s="214"/>
      <c r="C569" s="216"/>
      <c r="D569" s="216"/>
      <c r="E569" s="216"/>
      <c r="F569" s="216"/>
      <c r="G569" s="216"/>
      <c r="H569" s="216"/>
      <c r="I569" s="216"/>
      <c r="J569" s="216"/>
      <c r="K569" s="5"/>
      <c r="L569" s="5"/>
      <c r="M569" s="5"/>
      <c r="N569" s="5"/>
      <c r="O569" s="5"/>
      <c r="P569" s="5"/>
      <c r="Q569" s="5"/>
      <c r="R569" s="5"/>
    </row>
    <row r="570" ht="12.75" hidden="1" customHeight="1">
      <c r="A570" s="213"/>
      <c r="B570" s="214"/>
      <c r="C570" s="216"/>
      <c r="D570" s="216"/>
      <c r="E570" s="216"/>
      <c r="F570" s="216"/>
      <c r="G570" s="216"/>
      <c r="H570" s="216"/>
      <c r="I570" s="216"/>
      <c r="J570" s="216"/>
      <c r="K570" s="5"/>
      <c r="L570" s="5"/>
      <c r="M570" s="5"/>
      <c r="N570" s="5"/>
      <c r="O570" s="5"/>
      <c r="P570" s="5"/>
      <c r="Q570" s="5"/>
      <c r="R570" s="5"/>
    </row>
    <row r="571" ht="12.75" hidden="1" customHeight="1">
      <c r="A571" s="213"/>
      <c r="B571" s="214"/>
      <c r="C571" s="216"/>
      <c r="D571" s="216"/>
      <c r="E571" s="216"/>
      <c r="F571" s="216"/>
      <c r="G571" s="216"/>
      <c r="H571" s="216"/>
      <c r="I571" s="216"/>
      <c r="J571" s="216"/>
      <c r="K571" s="5"/>
      <c r="L571" s="5"/>
      <c r="M571" s="5"/>
      <c r="N571" s="5"/>
      <c r="O571" s="5"/>
      <c r="P571" s="5"/>
      <c r="Q571" s="5"/>
      <c r="R571" s="5"/>
    </row>
    <row r="572" ht="12.75" hidden="1" customHeight="1">
      <c r="A572" s="213"/>
      <c r="B572" s="214"/>
      <c r="C572" s="216"/>
      <c r="D572" s="216"/>
      <c r="E572" s="216"/>
      <c r="F572" s="216"/>
      <c r="G572" s="216"/>
      <c r="H572" s="216"/>
      <c r="I572" s="216"/>
      <c r="J572" s="216"/>
      <c r="K572" s="5"/>
      <c r="L572" s="5"/>
      <c r="M572" s="5"/>
      <c r="N572" s="5"/>
      <c r="O572" s="5"/>
      <c r="P572" s="5"/>
      <c r="Q572" s="5"/>
      <c r="R572" s="5"/>
    </row>
    <row r="573" ht="12.75" hidden="1" customHeight="1">
      <c r="A573" s="213"/>
      <c r="B573" s="214"/>
      <c r="C573" s="216"/>
      <c r="D573" s="216"/>
      <c r="E573" s="216"/>
      <c r="F573" s="216"/>
      <c r="G573" s="216"/>
      <c r="H573" s="216"/>
      <c r="I573" s="216"/>
      <c r="J573" s="216"/>
      <c r="K573" s="5"/>
      <c r="L573" s="5"/>
      <c r="M573" s="5"/>
      <c r="N573" s="5"/>
      <c r="O573" s="5"/>
      <c r="P573" s="5"/>
      <c r="Q573" s="5"/>
      <c r="R573" s="5"/>
    </row>
    <row r="574" ht="12.75" hidden="1" customHeight="1">
      <c r="A574" s="213"/>
      <c r="B574" s="214"/>
      <c r="C574" s="216"/>
      <c r="D574" s="216"/>
      <c r="E574" s="216"/>
      <c r="F574" s="216"/>
      <c r="G574" s="216"/>
      <c r="H574" s="216"/>
      <c r="I574" s="216"/>
      <c r="J574" s="216"/>
      <c r="K574" s="5"/>
      <c r="L574" s="5"/>
      <c r="M574" s="5"/>
      <c r="N574" s="5"/>
      <c r="O574" s="5"/>
      <c r="P574" s="5"/>
      <c r="Q574" s="5"/>
      <c r="R574" s="5"/>
    </row>
    <row r="575" ht="12.75" hidden="1" customHeight="1">
      <c r="A575" s="213"/>
      <c r="B575" s="214"/>
      <c r="C575" s="216"/>
      <c r="D575" s="216"/>
      <c r="E575" s="216"/>
      <c r="F575" s="216"/>
      <c r="G575" s="216"/>
      <c r="H575" s="216"/>
      <c r="I575" s="216"/>
      <c r="J575" s="216"/>
      <c r="K575" s="5"/>
      <c r="L575" s="5"/>
      <c r="M575" s="5"/>
      <c r="N575" s="5"/>
      <c r="O575" s="5"/>
      <c r="P575" s="5"/>
      <c r="Q575" s="5"/>
      <c r="R575" s="5"/>
    </row>
    <row r="576" ht="12.75" hidden="1" customHeight="1">
      <c r="A576" s="213"/>
      <c r="B576" s="214"/>
      <c r="C576" s="216"/>
      <c r="D576" s="216"/>
      <c r="E576" s="216"/>
      <c r="F576" s="216"/>
      <c r="G576" s="216"/>
      <c r="H576" s="216"/>
      <c r="I576" s="216"/>
      <c r="J576" s="216"/>
      <c r="K576" s="5"/>
      <c r="L576" s="5"/>
      <c r="M576" s="5"/>
      <c r="N576" s="5"/>
      <c r="O576" s="5"/>
      <c r="P576" s="5"/>
      <c r="Q576" s="5"/>
      <c r="R576" s="5"/>
    </row>
    <row r="577" ht="12.75" hidden="1" customHeight="1">
      <c r="A577" s="213"/>
      <c r="B577" s="214"/>
      <c r="C577" s="216"/>
      <c r="D577" s="216"/>
      <c r="E577" s="216"/>
      <c r="F577" s="216"/>
      <c r="G577" s="216"/>
      <c r="H577" s="216"/>
      <c r="I577" s="216"/>
      <c r="J577" s="216"/>
      <c r="K577" s="5"/>
      <c r="L577" s="5"/>
      <c r="M577" s="5"/>
      <c r="N577" s="5"/>
      <c r="O577" s="5"/>
      <c r="P577" s="5"/>
      <c r="Q577" s="5"/>
      <c r="R577" s="5"/>
    </row>
    <row r="578" ht="12.75" hidden="1" customHeight="1">
      <c r="A578" s="213"/>
      <c r="B578" s="214"/>
      <c r="C578" s="216"/>
      <c r="D578" s="216"/>
      <c r="E578" s="216"/>
      <c r="F578" s="216"/>
      <c r="G578" s="216"/>
      <c r="H578" s="216"/>
      <c r="I578" s="216"/>
      <c r="J578" s="216"/>
      <c r="K578" s="5"/>
      <c r="L578" s="5"/>
      <c r="M578" s="5"/>
      <c r="N578" s="5"/>
      <c r="O578" s="5"/>
      <c r="P578" s="5"/>
      <c r="Q578" s="5"/>
      <c r="R578" s="5"/>
    </row>
    <row r="579" ht="12.75" hidden="1" customHeight="1">
      <c r="A579" s="213"/>
      <c r="B579" s="214"/>
      <c r="C579" s="216"/>
      <c r="D579" s="216"/>
      <c r="E579" s="216"/>
      <c r="F579" s="216"/>
      <c r="G579" s="216"/>
      <c r="H579" s="216"/>
      <c r="I579" s="216"/>
      <c r="J579" s="216"/>
      <c r="K579" s="5"/>
      <c r="L579" s="5"/>
      <c r="M579" s="5"/>
      <c r="N579" s="5"/>
      <c r="O579" s="5"/>
      <c r="P579" s="5"/>
      <c r="Q579" s="5"/>
      <c r="R579" s="5"/>
    </row>
    <row r="580" ht="12.75" hidden="1" customHeight="1">
      <c r="A580" s="213"/>
      <c r="B580" s="214"/>
      <c r="C580" s="216"/>
      <c r="D580" s="216"/>
      <c r="E580" s="216"/>
      <c r="F580" s="216"/>
      <c r="G580" s="216"/>
      <c r="H580" s="216"/>
      <c r="I580" s="216"/>
      <c r="J580" s="216"/>
      <c r="K580" s="5"/>
      <c r="L580" s="5"/>
      <c r="M580" s="5"/>
      <c r="N580" s="5"/>
      <c r="O580" s="5"/>
      <c r="P580" s="5"/>
      <c r="Q580" s="5"/>
      <c r="R580" s="5"/>
    </row>
    <row r="581" ht="12.75" hidden="1" customHeight="1">
      <c r="A581" s="213"/>
      <c r="B581" s="214"/>
      <c r="C581" s="216"/>
      <c r="D581" s="216"/>
      <c r="E581" s="216"/>
      <c r="F581" s="216"/>
      <c r="G581" s="216"/>
      <c r="H581" s="216"/>
      <c r="I581" s="216"/>
      <c r="J581" s="216"/>
      <c r="K581" s="5"/>
      <c r="L581" s="5"/>
      <c r="M581" s="5"/>
      <c r="N581" s="5"/>
      <c r="O581" s="5"/>
      <c r="P581" s="5"/>
      <c r="Q581" s="5"/>
      <c r="R581" s="5"/>
    </row>
    <row r="582" ht="12.75" hidden="1" customHeight="1">
      <c r="A582" s="213"/>
      <c r="B582" s="214"/>
      <c r="C582" s="216"/>
      <c r="D582" s="216"/>
      <c r="E582" s="216"/>
      <c r="F582" s="216"/>
      <c r="G582" s="216"/>
      <c r="H582" s="216"/>
      <c r="I582" s="216"/>
      <c r="J582" s="216"/>
      <c r="K582" s="5"/>
      <c r="L582" s="5"/>
      <c r="M582" s="5"/>
      <c r="N582" s="5"/>
      <c r="O582" s="5"/>
      <c r="P582" s="5"/>
      <c r="Q582" s="5"/>
      <c r="R582" s="5"/>
    </row>
    <row r="583" ht="12.75" hidden="1" customHeight="1">
      <c r="A583" s="213"/>
      <c r="B583" s="214"/>
      <c r="C583" s="216"/>
      <c r="D583" s="216"/>
      <c r="E583" s="216"/>
      <c r="F583" s="216"/>
      <c r="G583" s="216"/>
      <c r="H583" s="216"/>
      <c r="I583" s="216"/>
      <c r="J583" s="216"/>
      <c r="K583" s="5"/>
      <c r="L583" s="5"/>
      <c r="M583" s="5"/>
      <c r="N583" s="5"/>
      <c r="O583" s="5"/>
      <c r="P583" s="5"/>
      <c r="Q583" s="5"/>
      <c r="R583" s="5"/>
    </row>
    <row r="584" ht="12.75" hidden="1" customHeight="1">
      <c r="A584" s="213"/>
      <c r="B584" s="214"/>
      <c r="C584" s="216"/>
      <c r="D584" s="216"/>
      <c r="E584" s="216"/>
      <c r="F584" s="216"/>
      <c r="G584" s="216"/>
      <c r="H584" s="216"/>
      <c r="I584" s="216"/>
      <c r="J584" s="216"/>
      <c r="K584" s="5"/>
      <c r="L584" s="5"/>
      <c r="M584" s="5"/>
      <c r="N584" s="5"/>
      <c r="O584" s="5"/>
      <c r="P584" s="5"/>
      <c r="Q584" s="5"/>
      <c r="R584" s="5"/>
    </row>
    <row r="585" ht="12.75" hidden="1" customHeight="1">
      <c r="A585" s="213"/>
      <c r="B585" s="214"/>
      <c r="C585" s="216"/>
      <c r="D585" s="216"/>
      <c r="E585" s="216"/>
      <c r="F585" s="216"/>
      <c r="G585" s="216"/>
      <c r="H585" s="216"/>
      <c r="I585" s="216"/>
      <c r="J585" s="216"/>
      <c r="K585" s="5"/>
      <c r="L585" s="5"/>
      <c r="M585" s="5"/>
      <c r="N585" s="5"/>
      <c r="O585" s="5"/>
      <c r="P585" s="5"/>
      <c r="Q585" s="5"/>
      <c r="R585" s="5"/>
    </row>
    <row r="586" ht="12.75" hidden="1" customHeight="1">
      <c r="A586" s="213"/>
      <c r="B586" s="214"/>
      <c r="C586" s="216"/>
      <c r="D586" s="216"/>
      <c r="E586" s="216"/>
      <c r="F586" s="216"/>
      <c r="G586" s="216"/>
      <c r="H586" s="216"/>
      <c r="I586" s="216"/>
      <c r="J586" s="216"/>
      <c r="K586" s="5"/>
      <c r="L586" s="5"/>
      <c r="M586" s="5"/>
      <c r="N586" s="5"/>
      <c r="O586" s="5"/>
      <c r="P586" s="5"/>
      <c r="Q586" s="5"/>
      <c r="R586" s="5"/>
    </row>
    <row r="587" ht="12.75" hidden="1" customHeight="1">
      <c r="A587" s="213"/>
      <c r="B587" s="214"/>
      <c r="C587" s="216"/>
      <c r="D587" s="216"/>
      <c r="E587" s="216"/>
      <c r="F587" s="216"/>
      <c r="G587" s="216"/>
      <c r="H587" s="216"/>
      <c r="I587" s="216"/>
      <c r="J587" s="216"/>
      <c r="K587" s="5"/>
      <c r="L587" s="5"/>
      <c r="M587" s="5"/>
      <c r="N587" s="5"/>
      <c r="O587" s="5"/>
      <c r="P587" s="5"/>
      <c r="Q587" s="5"/>
      <c r="R587" s="5"/>
    </row>
    <row r="588" ht="12.75" hidden="1" customHeight="1">
      <c r="A588" s="213"/>
      <c r="B588" s="214"/>
      <c r="C588" s="216"/>
      <c r="D588" s="216"/>
      <c r="E588" s="216"/>
      <c r="F588" s="216"/>
      <c r="G588" s="216"/>
      <c r="H588" s="216"/>
      <c r="I588" s="216"/>
      <c r="J588" s="216"/>
      <c r="K588" s="5"/>
      <c r="L588" s="5"/>
      <c r="M588" s="5"/>
      <c r="N588" s="5"/>
      <c r="O588" s="5"/>
      <c r="P588" s="5"/>
      <c r="Q588" s="5"/>
      <c r="R588" s="5"/>
    </row>
    <row r="589" ht="12.75" hidden="1" customHeight="1">
      <c r="A589" s="213"/>
      <c r="B589" s="214"/>
      <c r="C589" s="216"/>
      <c r="D589" s="216"/>
      <c r="E589" s="216"/>
      <c r="F589" s="216"/>
      <c r="G589" s="216"/>
      <c r="H589" s="216"/>
      <c r="I589" s="216"/>
      <c r="J589" s="216"/>
      <c r="K589" s="5"/>
      <c r="L589" s="5"/>
      <c r="M589" s="5"/>
      <c r="N589" s="5"/>
      <c r="O589" s="5"/>
      <c r="P589" s="5"/>
      <c r="Q589" s="5"/>
      <c r="R589" s="5"/>
    </row>
    <row r="590" ht="12.75" hidden="1" customHeight="1">
      <c r="A590" s="213"/>
      <c r="B590" s="214"/>
      <c r="C590" s="216"/>
      <c r="D590" s="216"/>
      <c r="E590" s="216"/>
      <c r="F590" s="216"/>
      <c r="G590" s="216"/>
      <c r="H590" s="216"/>
      <c r="I590" s="216"/>
      <c r="J590" s="216"/>
      <c r="K590" s="5"/>
      <c r="L590" s="5"/>
      <c r="M590" s="5"/>
      <c r="N590" s="5"/>
      <c r="O590" s="5"/>
      <c r="P590" s="5"/>
      <c r="Q590" s="5"/>
      <c r="R590" s="5"/>
    </row>
    <row r="591" ht="12.75" hidden="1" customHeight="1">
      <c r="A591" s="213"/>
      <c r="B591" s="214"/>
      <c r="C591" s="216"/>
      <c r="D591" s="216"/>
      <c r="E591" s="216"/>
      <c r="F591" s="216"/>
      <c r="G591" s="216"/>
      <c r="H591" s="216"/>
      <c r="I591" s="216"/>
      <c r="J591" s="216"/>
      <c r="K591" s="5"/>
      <c r="L591" s="5"/>
      <c r="M591" s="5"/>
      <c r="N591" s="5"/>
      <c r="O591" s="5"/>
      <c r="P591" s="5"/>
      <c r="Q591" s="5"/>
      <c r="R591" s="5"/>
    </row>
    <row r="592" ht="12.75" hidden="1" customHeight="1">
      <c r="A592" s="213"/>
      <c r="B592" s="214"/>
      <c r="C592" s="216"/>
      <c r="D592" s="216"/>
      <c r="E592" s="216"/>
      <c r="F592" s="216"/>
      <c r="G592" s="216"/>
      <c r="H592" s="216"/>
      <c r="I592" s="216"/>
      <c r="J592" s="216"/>
      <c r="K592" s="5"/>
      <c r="L592" s="5"/>
      <c r="M592" s="5"/>
      <c r="N592" s="5"/>
      <c r="O592" s="5"/>
      <c r="P592" s="5"/>
      <c r="Q592" s="5"/>
      <c r="R592" s="5"/>
    </row>
    <row r="593" ht="12.75" hidden="1" customHeight="1">
      <c r="A593" s="213"/>
      <c r="B593" s="214"/>
      <c r="C593" s="216"/>
      <c r="D593" s="216"/>
      <c r="E593" s="216"/>
      <c r="F593" s="216"/>
      <c r="G593" s="216"/>
      <c r="H593" s="216"/>
      <c r="I593" s="216"/>
      <c r="J593" s="216"/>
      <c r="K593" s="5"/>
      <c r="L593" s="5"/>
      <c r="M593" s="5"/>
      <c r="N593" s="5"/>
      <c r="O593" s="5"/>
      <c r="P593" s="5"/>
      <c r="Q593" s="5"/>
      <c r="R593" s="5"/>
    </row>
    <row r="594" ht="12.75" hidden="1" customHeight="1">
      <c r="A594" s="213"/>
      <c r="B594" s="214"/>
      <c r="C594" s="216"/>
      <c r="D594" s="216"/>
      <c r="E594" s="216"/>
      <c r="F594" s="216"/>
      <c r="G594" s="216"/>
      <c r="H594" s="216"/>
      <c r="I594" s="216"/>
      <c r="J594" s="216"/>
      <c r="K594" s="5"/>
      <c r="L594" s="5"/>
      <c r="M594" s="5"/>
      <c r="N594" s="5"/>
      <c r="O594" s="5"/>
      <c r="P594" s="5"/>
      <c r="Q594" s="5"/>
      <c r="R594" s="5"/>
    </row>
    <row r="595" ht="12.75" hidden="1" customHeight="1">
      <c r="A595" s="213"/>
      <c r="B595" s="214"/>
      <c r="C595" s="216"/>
      <c r="D595" s="216"/>
      <c r="E595" s="216"/>
      <c r="F595" s="216"/>
      <c r="G595" s="216"/>
      <c r="H595" s="216"/>
      <c r="I595" s="216"/>
      <c r="J595" s="216"/>
      <c r="K595" s="5"/>
      <c r="L595" s="5"/>
      <c r="M595" s="5"/>
      <c r="N595" s="5"/>
      <c r="O595" s="5"/>
      <c r="P595" s="5"/>
      <c r="Q595" s="5"/>
      <c r="R595" s="5"/>
    </row>
    <row r="596" ht="12.75" hidden="1" customHeight="1">
      <c r="A596" s="213"/>
      <c r="B596" s="214"/>
      <c r="C596" s="216"/>
      <c r="D596" s="216"/>
      <c r="E596" s="216"/>
      <c r="F596" s="216"/>
      <c r="G596" s="216"/>
      <c r="H596" s="216"/>
      <c r="I596" s="216"/>
      <c r="J596" s="216"/>
      <c r="K596" s="5"/>
      <c r="L596" s="5"/>
      <c r="M596" s="5"/>
      <c r="N596" s="5"/>
      <c r="O596" s="5"/>
      <c r="P596" s="5"/>
      <c r="Q596" s="5"/>
      <c r="R596" s="5"/>
    </row>
    <row r="597" ht="12.75" hidden="1" customHeight="1">
      <c r="A597" s="213"/>
      <c r="B597" s="214"/>
      <c r="C597" s="216"/>
      <c r="D597" s="216"/>
      <c r="E597" s="216"/>
      <c r="F597" s="216"/>
      <c r="G597" s="216"/>
      <c r="H597" s="216"/>
      <c r="I597" s="216"/>
      <c r="J597" s="216"/>
      <c r="K597" s="5"/>
      <c r="L597" s="5"/>
      <c r="M597" s="5"/>
      <c r="N597" s="5"/>
      <c r="O597" s="5"/>
      <c r="P597" s="5"/>
      <c r="Q597" s="5"/>
      <c r="R597" s="5"/>
    </row>
    <row r="598" ht="12.75" hidden="1" customHeight="1">
      <c r="A598" s="213"/>
      <c r="B598" s="214"/>
      <c r="C598" s="216"/>
      <c r="D598" s="216"/>
      <c r="E598" s="216"/>
      <c r="F598" s="216"/>
      <c r="G598" s="216"/>
      <c r="H598" s="216"/>
      <c r="I598" s="216"/>
      <c r="J598" s="216"/>
      <c r="K598" s="5"/>
      <c r="L598" s="5"/>
      <c r="M598" s="5"/>
      <c r="N598" s="5"/>
      <c r="O598" s="5"/>
      <c r="P598" s="5"/>
      <c r="Q598" s="5"/>
      <c r="R598" s="5"/>
    </row>
    <row r="599" ht="12.75" hidden="1" customHeight="1">
      <c r="A599" s="213"/>
      <c r="B599" s="214"/>
      <c r="C599" s="216"/>
      <c r="D599" s="216"/>
      <c r="E599" s="216"/>
      <c r="F599" s="216"/>
      <c r="G599" s="216"/>
      <c r="H599" s="216"/>
      <c r="I599" s="216"/>
      <c r="J599" s="216"/>
      <c r="K599" s="5"/>
      <c r="L599" s="5"/>
      <c r="M599" s="5"/>
      <c r="N599" s="5"/>
      <c r="O599" s="5"/>
      <c r="P599" s="5"/>
      <c r="Q599" s="5"/>
      <c r="R599" s="5"/>
    </row>
    <row r="600" ht="12.75" hidden="1" customHeight="1">
      <c r="A600" s="213"/>
      <c r="B600" s="214"/>
      <c r="C600" s="216"/>
      <c r="D600" s="216"/>
      <c r="E600" s="216"/>
      <c r="F600" s="216"/>
      <c r="G600" s="216"/>
      <c r="H600" s="216"/>
      <c r="I600" s="216"/>
      <c r="J600" s="216"/>
      <c r="K600" s="5"/>
      <c r="L600" s="5"/>
      <c r="M600" s="5"/>
      <c r="N600" s="5"/>
      <c r="O600" s="5"/>
      <c r="P600" s="5"/>
      <c r="Q600" s="5"/>
      <c r="R600" s="5"/>
    </row>
    <row r="601" ht="12.75" hidden="1" customHeight="1">
      <c r="A601" s="213"/>
      <c r="B601" s="214"/>
      <c r="C601" s="216"/>
      <c r="D601" s="216"/>
      <c r="E601" s="216"/>
      <c r="F601" s="216"/>
      <c r="G601" s="216"/>
      <c r="H601" s="216"/>
      <c r="I601" s="216"/>
      <c r="J601" s="216"/>
      <c r="K601" s="5"/>
      <c r="L601" s="5"/>
      <c r="M601" s="5"/>
      <c r="N601" s="5"/>
      <c r="O601" s="5"/>
      <c r="P601" s="5"/>
      <c r="Q601" s="5"/>
      <c r="R601" s="5"/>
    </row>
    <row r="602" ht="12.75" hidden="1" customHeight="1">
      <c r="A602" s="213"/>
      <c r="B602" s="214"/>
      <c r="C602" s="216"/>
      <c r="D602" s="216"/>
      <c r="E602" s="216"/>
      <c r="F602" s="216"/>
      <c r="G602" s="216"/>
      <c r="H602" s="216"/>
      <c r="I602" s="216"/>
      <c r="J602" s="216"/>
      <c r="K602" s="5"/>
      <c r="L602" s="5"/>
      <c r="M602" s="5"/>
      <c r="N602" s="5"/>
      <c r="O602" s="5"/>
      <c r="P602" s="5"/>
      <c r="Q602" s="5"/>
      <c r="R602" s="5"/>
    </row>
    <row r="603" ht="12.75" hidden="1" customHeight="1">
      <c r="A603" s="213"/>
      <c r="B603" s="214"/>
      <c r="C603" s="216"/>
      <c r="D603" s="216"/>
      <c r="E603" s="216"/>
      <c r="F603" s="216"/>
      <c r="G603" s="216"/>
      <c r="H603" s="216"/>
      <c r="I603" s="216"/>
      <c r="J603" s="216"/>
      <c r="K603" s="5"/>
      <c r="L603" s="5"/>
      <c r="M603" s="5"/>
      <c r="N603" s="5"/>
      <c r="O603" s="5"/>
      <c r="P603" s="5"/>
      <c r="Q603" s="5"/>
      <c r="R603" s="5"/>
    </row>
    <row r="604" ht="12.75" hidden="1" customHeight="1">
      <c r="A604" s="213"/>
      <c r="B604" s="214"/>
      <c r="C604" s="216"/>
      <c r="D604" s="216"/>
      <c r="E604" s="216"/>
      <c r="F604" s="216"/>
      <c r="G604" s="216"/>
      <c r="H604" s="216"/>
      <c r="I604" s="216"/>
      <c r="J604" s="216"/>
      <c r="K604" s="5"/>
      <c r="L604" s="5"/>
      <c r="M604" s="5"/>
      <c r="N604" s="5"/>
      <c r="O604" s="5"/>
      <c r="P604" s="5"/>
      <c r="Q604" s="5"/>
      <c r="R604" s="5"/>
    </row>
    <row r="605" ht="12.75" hidden="1" customHeight="1">
      <c r="A605" s="213"/>
      <c r="B605" s="214"/>
      <c r="C605" s="216"/>
      <c r="D605" s="216"/>
      <c r="E605" s="216"/>
      <c r="F605" s="216"/>
      <c r="G605" s="216"/>
      <c r="H605" s="216"/>
      <c r="I605" s="216"/>
      <c r="J605" s="216"/>
      <c r="K605" s="5"/>
      <c r="L605" s="5"/>
      <c r="M605" s="5"/>
      <c r="N605" s="5"/>
      <c r="O605" s="5"/>
      <c r="P605" s="5"/>
      <c r="Q605" s="5"/>
      <c r="R605" s="5"/>
    </row>
    <row r="606" ht="12.75" hidden="1" customHeight="1">
      <c r="A606" s="213"/>
      <c r="B606" s="214"/>
      <c r="C606" s="216"/>
      <c r="D606" s="216"/>
      <c r="E606" s="216"/>
      <c r="F606" s="216"/>
      <c r="G606" s="216"/>
      <c r="H606" s="216"/>
      <c r="I606" s="216"/>
      <c r="J606" s="216"/>
      <c r="K606" s="5"/>
      <c r="L606" s="5"/>
      <c r="M606" s="5"/>
      <c r="N606" s="5"/>
      <c r="O606" s="5"/>
      <c r="P606" s="5"/>
      <c r="Q606" s="5"/>
      <c r="R606" s="5"/>
    </row>
    <row r="607" ht="12.75" hidden="1" customHeight="1">
      <c r="A607" s="213"/>
      <c r="B607" s="214"/>
      <c r="C607" s="216"/>
      <c r="D607" s="216"/>
      <c r="E607" s="216"/>
      <c r="F607" s="216"/>
      <c r="G607" s="216"/>
      <c r="H607" s="216"/>
      <c r="I607" s="216"/>
      <c r="J607" s="216"/>
      <c r="K607" s="5"/>
      <c r="L607" s="5"/>
      <c r="M607" s="5"/>
      <c r="N607" s="5"/>
      <c r="O607" s="5"/>
      <c r="P607" s="5"/>
      <c r="Q607" s="5"/>
      <c r="R607" s="5"/>
    </row>
    <row r="608" ht="12.75" hidden="1" customHeight="1">
      <c r="A608" s="213"/>
      <c r="B608" s="214"/>
      <c r="C608" s="216"/>
      <c r="D608" s="216"/>
      <c r="E608" s="216"/>
      <c r="F608" s="216"/>
      <c r="G608" s="216"/>
      <c r="H608" s="216"/>
      <c r="I608" s="216"/>
      <c r="J608" s="216"/>
      <c r="K608" s="5"/>
      <c r="L608" s="5"/>
      <c r="M608" s="5"/>
      <c r="N608" s="5"/>
      <c r="O608" s="5"/>
      <c r="P608" s="5"/>
      <c r="Q608" s="5"/>
      <c r="R608" s="5"/>
    </row>
    <row r="609" ht="12.75" hidden="1" customHeight="1">
      <c r="A609" s="213"/>
      <c r="B609" s="214"/>
      <c r="C609" s="216"/>
      <c r="D609" s="216"/>
      <c r="E609" s="216"/>
      <c r="F609" s="216"/>
      <c r="G609" s="216"/>
      <c r="H609" s="216"/>
      <c r="I609" s="216"/>
      <c r="J609" s="216"/>
      <c r="K609" s="5"/>
      <c r="L609" s="5"/>
      <c r="M609" s="5"/>
      <c r="N609" s="5"/>
      <c r="O609" s="5"/>
      <c r="P609" s="5"/>
      <c r="Q609" s="5"/>
      <c r="R609" s="5"/>
    </row>
    <row r="610" ht="12.75" hidden="1" customHeight="1">
      <c r="A610" s="213"/>
      <c r="B610" s="214"/>
      <c r="C610" s="216"/>
      <c r="D610" s="216"/>
      <c r="E610" s="216"/>
      <c r="F610" s="216"/>
      <c r="G610" s="216"/>
      <c r="H610" s="216"/>
      <c r="I610" s="216"/>
      <c r="J610" s="216"/>
      <c r="K610" s="5"/>
      <c r="L610" s="5"/>
      <c r="M610" s="5"/>
      <c r="N610" s="5"/>
      <c r="O610" s="5"/>
      <c r="P610" s="5"/>
      <c r="Q610" s="5"/>
      <c r="R610" s="5"/>
    </row>
    <row r="611" ht="12.75" hidden="1" customHeight="1">
      <c r="A611" s="213"/>
      <c r="B611" s="214"/>
      <c r="C611" s="216"/>
      <c r="D611" s="216"/>
      <c r="E611" s="216"/>
      <c r="F611" s="216"/>
      <c r="G611" s="216"/>
      <c r="H611" s="216"/>
      <c r="I611" s="216"/>
      <c r="J611" s="216"/>
      <c r="K611" s="5"/>
      <c r="L611" s="5"/>
      <c r="M611" s="5"/>
      <c r="N611" s="5"/>
      <c r="O611" s="5"/>
      <c r="P611" s="5"/>
      <c r="Q611" s="5"/>
      <c r="R611" s="5"/>
    </row>
    <row r="612" ht="12.75" hidden="1" customHeight="1">
      <c r="A612" s="213"/>
      <c r="B612" s="214"/>
      <c r="C612" s="216"/>
      <c r="D612" s="216"/>
      <c r="E612" s="216"/>
      <c r="F612" s="216"/>
      <c r="G612" s="216"/>
      <c r="H612" s="216"/>
      <c r="I612" s="216"/>
      <c r="J612" s="216"/>
      <c r="K612" s="5"/>
      <c r="L612" s="5"/>
      <c r="M612" s="5"/>
      <c r="N612" s="5"/>
      <c r="O612" s="5"/>
      <c r="P612" s="5"/>
      <c r="Q612" s="5"/>
      <c r="R612" s="5"/>
    </row>
    <row r="613" ht="12.75" hidden="1" customHeight="1">
      <c r="A613" s="213"/>
      <c r="B613" s="214"/>
      <c r="C613" s="216"/>
      <c r="D613" s="216"/>
      <c r="E613" s="216"/>
      <c r="F613" s="216"/>
      <c r="G613" s="216"/>
      <c r="H613" s="216"/>
      <c r="I613" s="216"/>
      <c r="J613" s="216"/>
      <c r="K613" s="5"/>
      <c r="L613" s="5"/>
      <c r="M613" s="5"/>
      <c r="N613" s="5"/>
      <c r="O613" s="5"/>
      <c r="P613" s="5"/>
      <c r="Q613" s="5"/>
      <c r="R613" s="5"/>
    </row>
    <row r="614" ht="12.75" hidden="1" customHeight="1">
      <c r="A614" s="213"/>
      <c r="B614" s="214"/>
      <c r="C614" s="216"/>
      <c r="D614" s="216"/>
      <c r="E614" s="216"/>
      <c r="F614" s="216"/>
      <c r="G614" s="216"/>
      <c r="H614" s="216"/>
      <c r="I614" s="216"/>
      <c r="J614" s="216"/>
      <c r="K614" s="5"/>
      <c r="L614" s="5"/>
      <c r="M614" s="5"/>
      <c r="N614" s="5"/>
      <c r="O614" s="5"/>
      <c r="P614" s="5"/>
      <c r="Q614" s="5"/>
      <c r="R614" s="5"/>
    </row>
    <row r="615" ht="12.75" hidden="1" customHeight="1">
      <c r="A615" s="213"/>
      <c r="B615" s="214"/>
      <c r="C615" s="216"/>
      <c r="D615" s="216"/>
      <c r="E615" s="216"/>
      <c r="F615" s="216"/>
      <c r="G615" s="216"/>
      <c r="H615" s="216"/>
      <c r="I615" s="216"/>
      <c r="J615" s="216"/>
      <c r="K615" s="5"/>
      <c r="L615" s="5"/>
      <c r="M615" s="5"/>
      <c r="N615" s="5"/>
      <c r="O615" s="5"/>
      <c r="P615" s="5"/>
      <c r="Q615" s="5"/>
      <c r="R615" s="5"/>
    </row>
    <row r="616" ht="12.75" hidden="1" customHeight="1">
      <c r="A616" s="213"/>
      <c r="B616" s="214"/>
      <c r="C616" s="216"/>
      <c r="D616" s="216"/>
      <c r="E616" s="216"/>
      <c r="F616" s="216"/>
      <c r="G616" s="216"/>
      <c r="H616" s="216"/>
      <c r="I616" s="216"/>
      <c r="J616" s="216"/>
      <c r="K616" s="5"/>
      <c r="L616" s="5"/>
      <c r="M616" s="5"/>
      <c r="N616" s="5"/>
      <c r="O616" s="5"/>
      <c r="P616" s="5"/>
      <c r="Q616" s="5"/>
      <c r="R616" s="5"/>
    </row>
    <row r="617" ht="12.75" hidden="1" customHeight="1">
      <c r="A617" s="213"/>
      <c r="B617" s="214"/>
      <c r="C617" s="216"/>
      <c r="D617" s="216"/>
      <c r="E617" s="216"/>
      <c r="F617" s="216"/>
      <c r="G617" s="216"/>
      <c r="H617" s="216"/>
      <c r="I617" s="216"/>
      <c r="J617" s="216"/>
      <c r="K617" s="5"/>
      <c r="L617" s="5"/>
      <c r="M617" s="5"/>
      <c r="N617" s="5"/>
      <c r="O617" s="5"/>
      <c r="P617" s="5"/>
      <c r="Q617" s="5"/>
      <c r="R617" s="5"/>
    </row>
    <row r="618" ht="12.75" hidden="1" customHeight="1">
      <c r="A618" s="213"/>
      <c r="B618" s="214"/>
      <c r="C618" s="216"/>
      <c r="D618" s="216"/>
      <c r="E618" s="216"/>
      <c r="F618" s="216"/>
      <c r="G618" s="216"/>
      <c r="H618" s="216"/>
      <c r="I618" s="216"/>
      <c r="J618" s="216"/>
      <c r="K618" s="5"/>
      <c r="L618" s="5"/>
      <c r="M618" s="5"/>
      <c r="N618" s="5"/>
      <c r="O618" s="5"/>
      <c r="P618" s="5"/>
      <c r="Q618" s="5"/>
      <c r="R618" s="5"/>
    </row>
    <row r="619" ht="12.75" hidden="1" customHeight="1">
      <c r="A619" s="213"/>
      <c r="B619" s="214"/>
      <c r="C619" s="216"/>
      <c r="D619" s="216"/>
      <c r="E619" s="216"/>
      <c r="F619" s="216"/>
      <c r="G619" s="216"/>
      <c r="H619" s="216"/>
      <c r="I619" s="216"/>
      <c r="J619" s="216"/>
      <c r="K619" s="5"/>
      <c r="L619" s="5"/>
      <c r="M619" s="5"/>
      <c r="N619" s="5"/>
      <c r="O619" s="5"/>
      <c r="P619" s="5"/>
      <c r="Q619" s="5"/>
      <c r="R619" s="5"/>
    </row>
    <row r="620" ht="12.75" hidden="1" customHeight="1">
      <c r="A620" s="213"/>
      <c r="B620" s="214"/>
      <c r="C620" s="216"/>
      <c r="D620" s="216"/>
      <c r="E620" s="216"/>
      <c r="F620" s="216"/>
      <c r="G620" s="216"/>
      <c r="H620" s="216"/>
      <c r="I620" s="216"/>
      <c r="J620" s="216"/>
      <c r="K620" s="5"/>
      <c r="L620" s="5"/>
      <c r="M620" s="5"/>
      <c r="N620" s="5"/>
      <c r="O620" s="5"/>
      <c r="P620" s="5"/>
      <c r="Q620" s="5"/>
      <c r="R620" s="5"/>
    </row>
    <row r="621" ht="12.75" hidden="1" customHeight="1">
      <c r="A621" s="213"/>
      <c r="B621" s="214"/>
      <c r="C621" s="216"/>
      <c r="D621" s="216"/>
      <c r="E621" s="216"/>
      <c r="F621" s="216"/>
      <c r="G621" s="216"/>
      <c r="H621" s="216"/>
      <c r="I621" s="216"/>
      <c r="J621" s="216"/>
      <c r="K621" s="5"/>
      <c r="L621" s="5"/>
      <c r="M621" s="5"/>
      <c r="N621" s="5"/>
      <c r="O621" s="5"/>
      <c r="P621" s="5"/>
      <c r="Q621" s="5"/>
      <c r="R621" s="5"/>
    </row>
    <row r="622" ht="12.75" hidden="1" customHeight="1">
      <c r="A622" s="213"/>
      <c r="B622" s="214"/>
      <c r="C622" s="216"/>
      <c r="D622" s="216"/>
      <c r="E622" s="216"/>
      <c r="F622" s="216"/>
      <c r="G622" s="216"/>
      <c r="H622" s="216"/>
      <c r="I622" s="216"/>
      <c r="J622" s="216"/>
      <c r="K622" s="5"/>
      <c r="L622" s="5"/>
      <c r="M622" s="5"/>
      <c r="N622" s="5"/>
      <c r="O622" s="5"/>
      <c r="P622" s="5"/>
      <c r="Q622" s="5"/>
      <c r="R622" s="5"/>
    </row>
    <row r="623" ht="12.75" hidden="1" customHeight="1">
      <c r="A623" s="213"/>
      <c r="B623" s="214"/>
      <c r="C623" s="216"/>
      <c r="D623" s="216"/>
      <c r="E623" s="216"/>
      <c r="F623" s="216"/>
      <c r="G623" s="216"/>
      <c r="H623" s="216"/>
      <c r="I623" s="216"/>
      <c r="J623" s="216"/>
      <c r="K623" s="5"/>
      <c r="L623" s="5"/>
      <c r="M623" s="5"/>
      <c r="N623" s="5"/>
      <c r="O623" s="5"/>
      <c r="P623" s="5"/>
      <c r="Q623" s="5"/>
      <c r="R623" s="5"/>
    </row>
    <row r="624" ht="12.75" hidden="1" customHeight="1">
      <c r="A624" s="213"/>
      <c r="B624" s="214"/>
      <c r="C624" s="216"/>
      <c r="D624" s="216"/>
      <c r="E624" s="216"/>
      <c r="F624" s="216"/>
      <c r="G624" s="216"/>
      <c r="H624" s="216"/>
      <c r="I624" s="216"/>
      <c r="J624" s="216"/>
      <c r="K624" s="5"/>
      <c r="L624" s="5"/>
      <c r="M624" s="5"/>
      <c r="N624" s="5"/>
      <c r="O624" s="5"/>
      <c r="P624" s="5"/>
      <c r="Q624" s="5"/>
      <c r="R624" s="5"/>
    </row>
    <row r="625" ht="12.75" hidden="1" customHeight="1">
      <c r="A625" s="213"/>
      <c r="B625" s="214"/>
      <c r="C625" s="216"/>
      <c r="D625" s="216"/>
      <c r="E625" s="216"/>
      <c r="F625" s="216"/>
      <c r="G625" s="216"/>
      <c r="H625" s="216"/>
      <c r="I625" s="216"/>
      <c r="J625" s="216"/>
      <c r="K625" s="5"/>
      <c r="L625" s="5"/>
      <c r="M625" s="5"/>
      <c r="N625" s="5"/>
      <c r="O625" s="5"/>
      <c r="P625" s="5"/>
      <c r="Q625" s="5"/>
      <c r="R625" s="5"/>
    </row>
    <row r="626" ht="12.75" hidden="1" customHeight="1">
      <c r="A626" s="213"/>
      <c r="B626" s="214"/>
      <c r="C626" s="216"/>
      <c r="D626" s="216"/>
      <c r="E626" s="216"/>
      <c r="F626" s="216"/>
      <c r="G626" s="216"/>
      <c r="H626" s="216"/>
      <c r="I626" s="216"/>
      <c r="J626" s="216"/>
      <c r="K626" s="5"/>
      <c r="L626" s="5"/>
      <c r="M626" s="5"/>
      <c r="N626" s="5"/>
      <c r="O626" s="5"/>
      <c r="P626" s="5"/>
      <c r="Q626" s="5"/>
      <c r="R626" s="5"/>
    </row>
    <row r="627" ht="12.75" hidden="1" customHeight="1">
      <c r="A627" s="213"/>
      <c r="B627" s="214"/>
      <c r="C627" s="216"/>
      <c r="D627" s="216"/>
      <c r="E627" s="216"/>
      <c r="F627" s="216"/>
      <c r="G627" s="216"/>
      <c r="H627" s="216"/>
      <c r="I627" s="216"/>
      <c r="J627" s="216"/>
      <c r="K627" s="5"/>
      <c r="L627" s="5"/>
      <c r="M627" s="5"/>
      <c r="N627" s="5"/>
      <c r="O627" s="5"/>
      <c r="P627" s="5"/>
      <c r="Q627" s="5"/>
      <c r="R627" s="5"/>
    </row>
    <row r="628" ht="12.75" hidden="1" customHeight="1">
      <c r="A628" s="213"/>
      <c r="B628" s="214"/>
      <c r="C628" s="216"/>
      <c r="D628" s="216"/>
      <c r="E628" s="216"/>
      <c r="F628" s="216"/>
      <c r="G628" s="216"/>
      <c r="H628" s="216"/>
      <c r="I628" s="216"/>
      <c r="J628" s="216"/>
      <c r="K628" s="5"/>
      <c r="L628" s="5"/>
      <c r="M628" s="5"/>
      <c r="N628" s="5"/>
      <c r="O628" s="5"/>
      <c r="P628" s="5"/>
      <c r="Q628" s="5"/>
      <c r="R628" s="5"/>
    </row>
    <row r="629" ht="12.75" hidden="1" customHeight="1">
      <c r="A629" s="213"/>
      <c r="B629" s="214"/>
      <c r="C629" s="216"/>
      <c r="D629" s="216"/>
      <c r="E629" s="216"/>
      <c r="F629" s="216"/>
      <c r="G629" s="216"/>
      <c r="H629" s="216"/>
      <c r="I629" s="216"/>
      <c r="J629" s="216"/>
      <c r="K629" s="5"/>
      <c r="L629" s="5"/>
      <c r="M629" s="5"/>
      <c r="N629" s="5"/>
      <c r="O629" s="5"/>
      <c r="P629" s="5"/>
      <c r="Q629" s="5"/>
      <c r="R629" s="5"/>
    </row>
    <row r="630" ht="12.75" hidden="1" customHeight="1">
      <c r="A630" s="213"/>
      <c r="B630" s="214"/>
      <c r="C630" s="216"/>
      <c r="D630" s="216"/>
      <c r="E630" s="216"/>
      <c r="F630" s="216"/>
      <c r="G630" s="216"/>
      <c r="H630" s="216"/>
      <c r="I630" s="216"/>
      <c r="J630" s="216"/>
      <c r="K630" s="5"/>
      <c r="L630" s="5"/>
      <c r="M630" s="5"/>
      <c r="N630" s="5"/>
      <c r="O630" s="5"/>
      <c r="P630" s="5"/>
      <c r="Q630" s="5"/>
      <c r="R630" s="5"/>
    </row>
    <row r="631" ht="12.75" hidden="1" customHeight="1">
      <c r="A631" s="213"/>
      <c r="B631" s="214"/>
      <c r="C631" s="216"/>
      <c r="D631" s="216"/>
      <c r="E631" s="216"/>
      <c r="F631" s="216"/>
      <c r="G631" s="216"/>
      <c r="H631" s="216"/>
      <c r="I631" s="216"/>
      <c r="J631" s="216"/>
      <c r="K631" s="5"/>
      <c r="L631" s="5"/>
      <c r="M631" s="5"/>
      <c r="N631" s="5"/>
      <c r="O631" s="5"/>
      <c r="P631" s="5"/>
      <c r="Q631" s="5"/>
      <c r="R631" s="5"/>
    </row>
    <row r="632" ht="12.75" hidden="1" customHeight="1">
      <c r="A632" s="213"/>
      <c r="B632" s="214"/>
      <c r="C632" s="216"/>
      <c r="D632" s="216"/>
      <c r="E632" s="216"/>
      <c r="F632" s="216"/>
      <c r="G632" s="216"/>
      <c r="H632" s="216"/>
      <c r="I632" s="216"/>
      <c r="J632" s="216"/>
      <c r="K632" s="5"/>
      <c r="L632" s="5"/>
      <c r="M632" s="5"/>
      <c r="N632" s="5"/>
      <c r="O632" s="5"/>
      <c r="P632" s="5"/>
      <c r="Q632" s="5"/>
      <c r="R632" s="5"/>
    </row>
    <row r="633" ht="12.75" hidden="1" customHeight="1">
      <c r="A633" s="213"/>
      <c r="B633" s="214"/>
      <c r="C633" s="216"/>
      <c r="D633" s="216"/>
      <c r="E633" s="216"/>
      <c r="F633" s="216"/>
      <c r="G633" s="216"/>
      <c r="H633" s="216"/>
      <c r="I633" s="216"/>
      <c r="J633" s="216"/>
      <c r="K633" s="5"/>
      <c r="L633" s="5"/>
      <c r="M633" s="5"/>
      <c r="N633" s="5"/>
      <c r="O633" s="5"/>
      <c r="P633" s="5"/>
      <c r="Q633" s="5"/>
      <c r="R633" s="5"/>
    </row>
    <row r="634" ht="12.75" hidden="1" customHeight="1">
      <c r="A634" s="213"/>
      <c r="B634" s="214"/>
      <c r="C634" s="216"/>
      <c r="D634" s="216"/>
      <c r="E634" s="216"/>
      <c r="F634" s="216"/>
      <c r="G634" s="216"/>
      <c r="H634" s="216"/>
      <c r="I634" s="216"/>
      <c r="J634" s="216"/>
      <c r="K634" s="5"/>
      <c r="L634" s="5"/>
      <c r="M634" s="5"/>
      <c r="N634" s="5"/>
      <c r="O634" s="5"/>
      <c r="P634" s="5"/>
      <c r="Q634" s="5"/>
      <c r="R634" s="5"/>
    </row>
    <row r="635" ht="12.75" hidden="1" customHeight="1">
      <c r="A635" s="213"/>
      <c r="B635" s="214"/>
      <c r="C635" s="216"/>
      <c r="D635" s="216"/>
      <c r="E635" s="216"/>
      <c r="F635" s="216"/>
      <c r="G635" s="216"/>
      <c r="H635" s="216"/>
      <c r="I635" s="216"/>
      <c r="J635" s="216"/>
      <c r="K635" s="5"/>
      <c r="L635" s="5"/>
      <c r="M635" s="5"/>
      <c r="N635" s="5"/>
      <c r="O635" s="5"/>
      <c r="P635" s="5"/>
      <c r="Q635" s="5"/>
      <c r="R635" s="5"/>
    </row>
    <row r="636" ht="12.75" hidden="1" customHeight="1">
      <c r="A636" s="213"/>
      <c r="B636" s="214"/>
      <c r="C636" s="216"/>
      <c r="D636" s="216"/>
      <c r="E636" s="216"/>
      <c r="F636" s="216"/>
      <c r="G636" s="216"/>
      <c r="H636" s="216"/>
      <c r="I636" s="216"/>
      <c r="J636" s="216"/>
      <c r="K636" s="5"/>
      <c r="L636" s="5"/>
      <c r="M636" s="5"/>
      <c r="N636" s="5"/>
      <c r="O636" s="5"/>
      <c r="P636" s="5"/>
      <c r="Q636" s="5"/>
      <c r="R636" s="5"/>
    </row>
    <row r="637" ht="12.75" hidden="1" customHeight="1">
      <c r="A637" s="213"/>
      <c r="B637" s="214"/>
      <c r="C637" s="216"/>
      <c r="D637" s="216"/>
      <c r="E637" s="216"/>
      <c r="F637" s="216"/>
      <c r="G637" s="216"/>
      <c r="H637" s="216"/>
      <c r="I637" s="216"/>
      <c r="J637" s="216"/>
      <c r="K637" s="5"/>
      <c r="L637" s="5"/>
      <c r="M637" s="5"/>
      <c r="N637" s="5"/>
      <c r="O637" s="5"/>
      <c r="P637" s="5"/>
      <c r="Q637" s="5"/>
      <c r="R637" s="5"/>
    </row>
    <row r="638" ht="12.75" hidden="1" customHeight="1">
      <c r="A638" s="213"/>
      <c r="B638" s="214"/>
      <c r="C638" s="216"/>
      <c r="D638" s="216"/>
      <c r="E638" s="216"/>
      <c r="F638" s="216"/>
      <c r="G638" s="216"/>
      <c r="H638" s="216"/>
      <c r="I638" s="216"/>
      <c r="J638" s="216"/>
      <c r="K638" s="5"/>
      <c r="L638" s="5"/>
      <c r="M638" s="5"/>
      <c r="N638" s="5"/>
      <c r="O638" s="5"/>
      <c r="P638" s="5"/>
      <c r="Q638" s="5"/>
      <c r="R638" s="5"/>
    </row>
    <row r="639" ht="12.75" hidden="1" customHeight="1">
      <c r="A639" s="213"/>
      <c r="B639" s="214"/>
      <c r="C639" s="216"/>
      <c r="D639" s="216"/>
      <c r="E639" s="216"/>
      <c r="F639" s="216"/>
      <c r="G639" s="216"/>
      <c r="H639" s="216"/>
      <c r="I639" s="216"/>
      <c r="J639" s="216"/>
      <c r="K639" s="5"/>
      <c r="L639" s="5"/>
      <c r="M639" s="5"/>
      <c r="N639" s="5"/>
      <c r="O639" s="5"/>
      <c r="P639" s="5"/>
      <c r="Q639" s="5"/>
      <c r="R639" s="5"/>
    </row>
    <row r="640" ht="12.75" hidden="1" customHeight="1">
      <c r="A640" s="213"/>
      <c r="B640" s="214"/>
      <c r="C640" s="216"/>
      <c r="D640" s="216"/>
      <c r="E640" s="216"/>
      <c r="F640" s="216"/>
      <c r="G640" s="216"/>
      <c r="H640" s="216"/>
      <c r="I640" s="216"/>
      <c r="J640" s="216"/>
      <c r="K640" s="5"/>
      <c r="L640" s="5"/>
      <c r="M640" s="5"/>
      <c r="N640" s="5"/>
      <c r="O640" s="5"/>
      <c r="P640" s="5"/>
      <c r="Q640" s="5"/>
      <c r="R640" s="5"/>
    </row>
    <row r="641" ht="12.75" hidden="1" customHeight="1">
      <c r="A641" s="213"/>
      <c r="B641" s="214"/>
      <c r="C641" s="216"/>
      <c r="D641" s="216"/>
      <c r="E641" s="216"/>
      <c r="F641" s="216"/>
      <c r="G641" s="216"/>
      <c r="H641" s="216"/>
      <c r="I641" s="216"/>
      <c r="J641" s="216"/>
      <c r="K641" s="5"/>
      <c r="L641" s="5"/>
      <c r="M641" s="5"/>
      <c r="N641" s="5"/>
      <c r="O641" s="5"/>
      <c r="P641" s="5"/>
      <c r="Q641" s="5"/>
      <c r="R641" s="5"/>
    </row>
    <row r="642" ht="12.75" hidden="1" customHeight="1">
      <c r="A642" s="213"/>
      <c r="B642" s="214"/>
      <c r="C642" s="216"/>
      <c r="D642" s="216"/>
      <c r="E642" s="216"/>
      <c r="F642" s="216"/>
      <c r="G642" s="216"/>
      <c r="H642" s="216"/>
      <c r="I642" s="216"/>
      <c r="J642" s="216"/>
      <c r="K642" s="5"/>
      <c r="L642" s="5"/>
      <c r="M642" s="5"/>
      <c r="N642" s="5"/>
      <c r="O642" s="5"/>
      <c r="P642" s="5"/>
      <c r="Q642" s="5"/>
      <c r="R642" s="5"/>
    </row>
    <row r="643" ht="12.75" hidden="1" customHeight="1">
      <c r="A643" s="213"/>
      <c r="B643" s="214"/>
      <c r="C643" s="216"/>
      <c r="D643" s="216"/>
      <c r="E643" s="216"/>
      <c r="F643" s="216"/>
      <c r="G643" s="216"/>
      <c r="H643" s="216"/>
      <c r="I643" s="216"/>
      <c r="J643" s="216"/>
      <c r="K643" s="5"/>
      <c r="L643" s="5"/>
      <c r="M643" s="5"/>
      <c r="N643" s="5"/>
      <c r="O643" s="5"/>
      <c r="P643" s="5"/>
      <c r="Q643" s="5"/>
      <c r="R643" s="5"/>
    </row>
    <row r="644" ht="12.75" hidden="1" customHeight="1">
      <c r="A644" s="213"/>
      <c r="B644" s="214"/>
      <c r="C644" s="216"/>
      <c r="D644" s="216"/>
      <c r="E644" s="216"/>
      <c r="F644" s="216"/>
      <c r="G644" s="216"/>
      <c r="H644" s="216"/>
      <c r="I644" s="216"/>
      <c r="J644" s="216"/>
      <c r="K644" s="5"/>
      <c r="L644" s="5"/>
      <c r="M644" s="5"/>
      <c r="N644" s="5"/>
      <c r="O644" s="5"/>
      <c r="P644" s="5"/>
      <c r="Q644" s="5"/>
      <c r="R644" s="5"/>
    </row>
    <row r="645" ht="12.75" hidden="1" customHeight="1">
      <c r="A645" s="213"/>
      <c r="B645" s="214"/>
      <c r="C645" s="216"/>
      <c r="D645" s="216"/>
      <c r="E645" s="216"/>
      <c r="F645" s="216"/>
      <c r="G645" s="216"/>
      <c r="H645" s="216"/>
      <c r="I645" s="216"/>
      <c r="J645" s="216"/>
      <c r="K645" s="5"/>
      <c r="L645" s="5"/>
      <c r="M645" s="5"/>
      <c r="N645" s="5"/>
      <c r="O645" s="5"/>
      <c r="P645" s="5"/>
      <c r="Q645" s="5"/>
      <c r="R645" s="5"/>
    </row>
    <row r="646" ht="12.75" hidden="1" customHeight="1">
      <c r="A646" s="213"/>
      <c r="B646" s="214"/>
      <c r="C646" s="216"/>
      <c r="D646" s="216"/>
      <c r="E646" s="216"/>
      <c r="F646" s="216"/>
      <c r="G646" s="216"/>
      <c r="H646" s="216"/>
      <c r="I646" s="216"/>
      <c r="J646" s="216"/>
      <c r="K646" s="5"/>
      <c r="L646" s="5"/>
      <c r="M646" s="5"/>
      <c r="N646" s="5"/>
      <c r="O646" s="5"/>
      <c r="P646" s="5"/>
      <c r="Q646" s="5"/>
      <c r="R646" s="5"/>
    </row>
    <row r="647" ht="12.75" hidden="1" customHeight="1">
      <c r="A647" s="213"/>
      <c r="B647" s="214"/>
      <c r="C647" s="216"/>
      <c r="D647" s="216"/>
      <c r="E647" s="216"/>
      <c r="F647" s="216"/>
      <c r="G647" s="216"/>
      <c r="H647" s="216"/>
      <c r="I647" s="216"/>
      <c r="J647" s="216"/>
      <c r="K647" s="5"/>
      <c r="L647" s="5"/>
      <c r="M647" s="5"/>
      <c r="N647" s="5"/>
      <c r="O647" s="5"/>
      <c r="P647" s="5"/>
      <c r="Q647" s="5"/>
      <c r="R647" s="5"/>
    </row>
    <row r="648" ht="12.75" hidden="1" customHeight="1">
      <c r="A648" s="213"/>
      <c r="B648" s="214"/>
      <c r="C648" s="216"/>
      <c r="D648" s="216"/>
      <c r="E648" s="216"/>
      <c r="F648" s="216"/>
      <c r="G648" s="216"/>
      <c r="H648" s="216"/>
      <c r="I648" s="216"/>
      <c r="J648" s="216"/>
      <c r="K648" s="5"/>
      <c r="L648" s="5"/>
      <c r="M648" s="5"/>
      <c r="N648" s="5"/>
      <c r="O648" s="5"/>
      <c r="P648" s="5"/>
      <c r="Q648" s="5"/>
      <c r="R648" s="5"/>
    </row>
    <row r="649" ht="12.75" hidden="1" customHeight="1">
      <c r="A649" s="213"/>
      <c r="B649" s="214"/>
      <c r="C649" s="216"/>
      <c r="D649" s="216"/>
      <c r="E649" s="216"/>
      <c r="F649" s="216"/>
      <c r="G649" s="216"/>
      <c r="H649" s="216"/>
      <c r="I649" s="216"/>
      <c r="J649" s="216"/>
      <c r="K649" s="5"/>
      <c r="L649" s="5"/>
      <c r="M649" s="5"/>
      <c r="N649" s="5"/>
      <c r="O649" s="5"/>
      <c r="P649" s="5"/>
      <c r="Q649" s="5"/>
      <c r="R649" s="5"/>
    </row>
    <row r="650" ht="12.75" hidden="1" customHeight="1">
      <c r="A650" s="213"/>
      <c r="B650" s="214"/>
      <c r="C650" s="216"/>
      <c r="D650" s="216"/>
      <c r="E650" s="216"/>
      <c r="F650" s="216"/>
      <c r="G650" s="216"/>
      <c r="H650" s="216"/>
      <c r="I650" s="216"/>
      <c r="J650" s="216"/>
      <c r="K650" s="5"/>
      <c r="L650" s="5"/>
      <c r="M650" s="5"/>
      <c r="N650" s="5"/>
      <c r="O650" s="5"/>
      <c r="P650" s="5"/>
      <c r="Q650" s="5"/>
      <c r="R650" s="5"/>
    </row>
    <row r="651" ht="12.75" hidden="1" customHeight="1">
      <c r="A651" s="213"/>
      <c r="B651" s="214"/>
      <c r="C651" s="216"/>
      <c r="D651" s="216"/>
      <c r="E651" s="216"/>
      <c r="F651" s="216"/>
      <c r="G651" s="216"/>
      <c r="H651" s="216"/>
      <c r="I651" s="216"/>
      <c r="J651" s="216"/>
      <c r="K651" s="5"/>
      <c r="L651" s="5"/>
      <c r="M651" s="5"/>
      <c r="N651" s="5"/>
      <c r="O651" s="5"/>
      <c r="P651" s="5"/>
      <c r="Q651" s="5"/>
      <c r="R651" s="5"/>
    </row>
    <row r="652" ht="12.75" hidden="1" customHeight="1">
      <c r="A652" s="213"/>
      <c r="B652" s="214"/>
      <c r="C652" s="216"/>
      <c r="D652" s="216"/>
      <c r="E652" s="216"/>
      <c r="F652" s="216"/>
      <c r="G652" s="216"/>
      <c r="H652" s="216"/>
      <c r="I652" s="216"/>
      <c r="J652" s="216"/>
      <c r="K652" s="5"/>
      <c r="L652" s="5"/>
      <c r="M652" s="5"/>
      <c r="N652" s="5"/>
      <c r="O652" s="5"/>
      <c r="P652" s="5"/>
      <c r="Q652" s="5"/>
      <c r="R652" s="5"/>
    </row>
    <row r="653" ht="12.75" hidden="1" customHeight="1">
      <c r="A653" s="213"/>
      <c r="B653" s="214"/>
      <c r="C653" s="216"/>
      <c r="D653" s="216"/>
      <c r="E653" s="216"/>
      <c r="F653" s="216"/>
      <c r="G653" s="216"/>
      <c r="H653" s="216"/>
      <c r="I653" s="216"/>
      <c r="J653" s="216"/>
      <c r="K653" s="5"/>
      <c r="L653" s="5"/>
      <c r="M653" s="5"/>
      <c r="N653" s="5"/>
      <c r="O653" s="5"/>
      <c r="P653" s="5"/>
      <c r="Q653" s="5"/>
      <c r="R653" s="5"/>
    </row>
    <row r="654" ht="12.75" hidden="1" customHeight="1">
      <c r="A654" s="213"/>
      <c r="B654" s="214"/>
      <c r="C654" s="216"/>
      <c r="D654" s="216"/>
      <c r="E654" s="216"/>
      <c r="F654" s="216"/>
      <c r="G654" s="216"/>
      <c r="H654" s="216"/>
      <c r="I654" s="216"/>
      <c r="J654" s="216"/>
      <c r="K654" s="5"/>
      <c r="L654" s="5"/>
      <c r="M654" s="5"/>
      <c r="N654" s="5"/>
      <c r="O654" s="5"/>
      <c r="P654" s="5"/>
      <c r="Q654" s="5"/>
      <c r="R654" s="5"/>
    </row>
    <row r="655" ht="12.75" hidden="1" customHeight="1">
      <c r="A655" s="213"/>
      <c r="B655" s="214"/>
      <c r="C655" s="216"/>
      <c r="D655" s="216"/>
      <c r="E655" s="216"/>
      <c r="F655" s="216"/>
      <c r="G655" s="216"/>
      <c r="H655" s="216"/>
      <c r="I655" s="216"/>
      <c r="J655" s="216"/>
      <c r="K655" s="5"/>
      <c r="L655" s="5"/>
      <c r="M655" s="5"/>
      <c r="N655" s="5"/>
      <c r="O655" s="5"/>
      <c r="P655" s="5"/>
      <c r="Q655" s="5"/>
      <c r="R655" s="5"/>
    </row>
    <row r="656" ht="12.75" hidden="1" customHeight="1">
      <c r="A656" s="213"/>
      <c r="B656" s="214"/>
      <c r="C656" s="216"/>
      <c r="D656" s="216"/>
      <c r="E656" s="216"/>
      <c r="F656" s="216"/>
      <c r="G656" s="216"/>
      <c r="H656" s="216"/>
      <c r="I656" s="216"/>
      <c r="J656" s="216"/>
      <c r="K656" s="5"/>
      <c r="L656" s="5"/>
      <c r="M656" s="5"/>
      <c r="N656" s="5"/>
      <c r="O656" s="5"/>
      <c r="P656" s="5"/>
      <c r="Q656" s="5"/>
      <c r="R656" s="5"/>
    </row>
    <row r="657" ht="12.75" hidden="1" customHeight="1">
      <c r="A657" s="213"/>
      <c r="B657" s="214"/>
      <c r="C657" s="216"/>
      <c r="D657" s="216"/>
      <c r="E657" s="216"/>
      <c r="F657" s="216"/>
      <c r="G657" s="216"/>
      <c r="H657" s="216"/>
      <c r="I657" s="216"/>
      <c r="J657" s="216"/>
      <c r="K657" s="5"/>
      <c r="L657" s="5"/>
      <c r="M657" s="5"/>
      <c r="N657" s="5"/>
      <c r="O657" s="5"/>
      <c r="P657" s="5"/>
      <c r="Q657" s="5"/>
      <c r="R657" s="5"/>
    </row>
    <row r="658" ht="12.75" hidden="1" customHeight="1">
      <c r="A658" s="213"/>
      <c r="B658" s="214"/>
      <c r="C658" s="216"/>
      <c r="D658" s="216"/>
      <c r="E658" s="216"/>
      <c r="F658" s="216"/>
      <c r="G658" s="216"/>
      <c r="H658" s="216"/>
      <c r="I658" s="216"/>
      <c r="J658" s="216"/>
      <c r="K658" s="5"/>
      <c r="L658" s="5"/>
      <c r="M658" s="5"/>
      <c r="N658" s="5"/>
      <c r="O658" s="5"/>
      <c r="P658" s="5"/>
      <c r="Q658" s="5"/>
      <c r="R658" s="5"/>
    </row>
    <row r="659" ht="12.75" hidden="1" customHeight="1">
      <c r="A659" s="213"/>
      <c r="B659" s="214"/>
      <c r="C659" s="216"/>
      <c r="D659" s="216"/>
      <c r="E659" s="216"/>
      <c r="F659" s="216"/>
      <c r="G659" s="216"/>
      <c r="H659" s="216"/>
      <c r="I659" s="216"/>
      <c r="J659" s="216"/>
      <c r="K659" s="5"/>
      <c r="L659" s="5"/>
      <c r="M659" s="5"/>
      <c r="N659" s="5"/>
      <c r="O659" s="5"/>
      <c r="P659" s="5"/>
      <c r="Q659" s="5"/>
      <c r="R659" s="5"/>
    </row>
    <row r="660" ht="12.75" hidden="1" customHeight="1">
      <c r="A660" s="213"/>
      <c r="B660" s="214"/>
      <c r="C660" s="216"/>
      <c r="D660" s="216"/>
      <c r="E660" s="216"/>
      <c r="F660" s="216"/>
      <c r="G660" s="216"/>
      <c r="H660" s="216"/>
      <c r="I660" s="216"/>
      <c r="J660" s="216"/>
      <c r="K660" s="5"/>
      <c r="L660" s="5"/>
      <c r="M660" s="5"/>
      <c r="N660" s="5"/>
      <c r="O660" s="5"/>
      <c r="P660" s="5"/>
      <c r="Q660" s="5"/>
      <c r="R660" s="5"/>
    </row>
    <row r="661" ht="12.75" hidden="1" customHeight="1">
      <c r="A661" s="213"/>
      <c r="B661" s="214"/>
      <c r="C661" s="216"/>
      <c r="D661" s="216"/>
      <c r="E661" s="216"/>
      <c r="F661" s="216"/>
      <c r="G661" s="216"/>
      <c r="H661" s="216"/>
      <c r="I661" s="216"/>
      <c r="J661" s="216"/>
      <c r="K661" s="5"/>
      <c r="L661" s="5"/>
      <c r="M661" s="5"/>
      <c r="N661" s="5"/>
      <c r="O661" s="5"/>
      <c r="P661" s="5"/>
      <c r="Q661" s="5"/>
      <c r="R661" s="5"/>
    </row>
    <row r="662" ht="12.75" hidden="1" customHeight="1">
      <c r="A662" s="213"/>
      <c r="B662" s="214"/>
      <c r="C662" s="216"/>
      <c r="D662" s="216"/>
      <c r="E662" s="216"/>
      <c r="F662" s="216"/>
      <c r="G662" s="216"/>
      <c r="H662" s="216"/>
      <c r="I662" s="216"/>
      <c r="J662" s="216"/>
      <c r="K662" s="5"/>
      <c r="L662" s="5"/>
      <c r="M662" s="5"/>
      <c r="N662" s="5"/>
      <c r="O662" s="5"/>
      <c r="P662" s="5"/>
      <c r="Q662" s="5"/>
      <c r="R662" s="5"/>
    </row>
    <row r="663" ht="12.75" hidden="1" customHeight="1">
      <c r="A663" s="213"/>
      <c r="B663" s="214"/>
      <c r="C663" s="216"/>
      <c r="D663" s="216"/>
      <c r="E663" s="216"/>
      <c r="F663" s="216"/>
      <c r="G663" s="216"/>
      <c r="H663" s="216"/>
      <c r="I663" s="216"/>
      <c r="J663" s="216"/>
      <c r="K663" s="5"/>
      <c r="L663" s="5"/>
      <c r="M663" s="5"/>
      <c r="N663" s="5"/>
      <c r="O663" s="5"/>
      <c r="P663" s="5"/>
      <c r="Q663" s="5"/>
      <c r="R663" s="5"/>
    </row>
    <row r="664" ht="12.75" hidden="1" customHeight="1">
      <c r="A664" s="213"/>
      <c r="B664" s="214"/>
      <c r="C664" s="216"/>
      <c r="D664" s="216"/>
      <c r="E664" s="216"/>
      <c r="F664" s="216"/>
      <c r="G664" s="216"/>
      <c r="H664" s="216"/>
      <c r="I664" s="216"/>
      <c r="J664" s="216"/>
      <c r="K664" s="5"/>
      <c r="L664" s="5"/>
      <c r="M664" s="5"/>
      <c r="N664" s="5"/>
      <c r="O664" s="5"/>
      <c r="P664" s="5"/>
      <c r="Q664" s="5"/>
      <c r="R664" s="5"/>
    </row>
    <row r="665" ht="12.75" hidden="1" customHeight="1">
      <c r="A665" s="213"/>
      <c r="B665" s="214"/>
      <c r="C665" s="216"/>
      <c r="D665" s="216"/>
      <c r="E665" s="216"/>
      <c r="F665" s="216"/>
      <c r="G665" s="216"/>
      <c r="H665" s="216"/>
      <c r="I665" s="216"/>
      <c r="J665" s="216"/>
      <c r="K665" s="5"/>
      <c r="L665" s="5"/>
      <c r="M665" s="5"/>
      <c r="N665" s="5"/>
      <c r="O665" s="5"/>
      <c r="P665" s="5"/>
      <c r="Q665" s="5"/>
      <c r="R665" s="5"/>
    </row>
    <row r="666" ht="12.75" hidden="1" customHeight="1">
      <c r="A666" s="213"/>
      <c r="B666" s="214"/>
      <c r="C666" s="216"/>
      <c r="D666" s="216"/>
      <c r="E666" s="216"/>
      <c r="F666" s="216"/>
      <c r="G666" s="216"/>
      <c r="H666" s="216"/>
      <c r="I666" s="216"/>
      <c r="J666" s="216"/>
      <c r="K666" s="5"/>
      <c r="L666" s="5"/>
      <c r="M666" s="5"/>
      <c r="N666" s="5"/>
      <c r="O666" s="5"/>
      <c r="P666" s="5"/>
      <c r="Q666" s="5"/>
      <c r="R666" s="5"/>
    </row>
    <row r="667" ht="12.75" hidden="1" customHeight="1">
      <c r="A667" s="213"/>
      <c r="B667" s="214"/>
      <c r="C667" s="216"/>
      <c r="D667" s="216"/>
      <c r="E667" s="216"/>
      <c r="F667" s="216"/>
      <c r="G667" s="216"/>
      <c r="H667" s="216"/>
      <c r="I667" s="216"/>
      <c r="J667" s="216"/>
      <c r="K667" s="5"/>
      <c r="L667" s="5"/>
      <c r="M667" s="5"/>
      <c r="N667" s="5"/>
      <c r="O667" s="5"/>
      <c r="P667" s="5"/>
      <c r="Q667" s="5"/>
      <c r="R667" s="5"/>
    </row>
    <row r="668" ht="12.75" hidden="1" customHeight="1">
      <c r="A668" s="213"/>
      <c r="B668" s="214"/>
      <c r="C668" s="216"/>
      <c r="D668" s="216"/>
      <c r="E668" s="216"/>
      <c r="F668" s="216"/>
      <c r="G668" s="216"/>
      <c r="H668" s="216"/>
      <c r="I668" s="216"/>
      <c r="J668" s="216"/>
      <c r="K668" s="5"/>
      <c r="L668" s="5"/>
      <c r="M668" s="5"/>
      <c r="N668" s="5"/>
      <c r="O668" s="5"/>
      <c r="P668" s="5"/>
      <c r="Q668" s="5"/>
      <c r="R668" s="5"/>
    </row>
    <row r="669" ht="12.75" hidden="1" customHeight="1">
      <c r="A669" s="213"/>
      <c r="B669" s="214"/>
      <c r="C669" s="216"/>
      <c r="D669" s="216"/>
      <c r="E669" s="216"/>
      <c r="F669" s="216"/>
      <c r="G669" s="216"/>
      <c r="H669" s="216"/>
      <c r="I669" s="216"/>
      <c r="J669" s="216"/>
      <c r="K669" s="5"/>
      <c r="L669" s="5"/>
      <c r="M669" s="5"/>
      <c r="N669" s="5"/>
      <c r="O669" s="5"/>
      <c r="P669" s="5"/>
      <c r="Q669" s="5"/>
      <c r="R669" s="5"/>
    </row>
    <row r="670" ht="12.75" hidden="1" customHeight="1">
      <c r="A670" s="213"/>
      <c r="B670" s="214"/>
      <c r="C670" s="216"/>
      <c r="D670" s="216"/>
      <c r="E670" s="216"/>
      <c r="F670" s="216"/>
      <c r="G670" s="216"/>
      <c r="H670" s="216"/>
      <c r="I670" s="216"/>
      <c r="J670" s="216"/>
      <c r="K670" s="5"/>
      <c r="L670" s="5"/>
      <c r="M670" s="5"/>
      <c r="N670" s="5"/>
      <c r="O670" s="5"/>
      <c r="P670" s="5"/>
      <c r="Q670" s="5"/>
      <c r="R670" s="5"/>
    </row>
    <row r="671" ht="12.75" hidden="1" customHeight="1">
      <c r="A671" s="213"/>
      <c r="B671" s="214"/>
      <c r="C671" s="216"/>
      <c r="D671" s="216"/>
      <c r="E671" s="216"/>
      <c r="F671" s="216"/>
      <c r="G671" s="216"/>
      <c r="H671" s="216"/>
      <c r="I671" s="216"/>
      <c r="J671" s="216"/>
      <c r="K671" s="5"/>
      <c r="L671" s="5"/>
      <c r="M671" s="5"/>
      <c r="N671" s="5"/>
      <c r="O671" s="5"/>
      <c r="P671" s="5"/>
      <c r="Q671" s="5"/>
      <c r="R671" s="5"/>
    </row>
    <row r="672" ht="12.75" hidden="1" customHeight="1">
      <c r="A672" s="213"/>
      <c r="B672" s="214"/>
      <c r="C672" s="216"/>
      <c r="D672" s="216"/>
      <c r="E672" s="216"/>
      <c r="F672" s="216"/>
      <c r="G672" s="216"/>
      <c r="H672" s="216"/>
      <c r="I672" s="216"/>
      <c r="J672" s="216"/>
      <c r="K672" s="5"/>
      <c r="L672" s="5"/>
      <c r="M672" s="5"/>
      <c r="N672" s="5"/>
      <c r="O672" s="5"/>
      <c r="P672" s="5"/>
      <c r="Q672" s="5"/>
      <c r="R672" s="5"/>
    </row>
    <row r="673" ht="12.75" hidden="1" customHeight="1">
      <c r="A673" s="213"/>
      <c r="B673" s="214"/>
      <c r="C673" s="216"/>
      <c r="D673" s="216"/>
      <c r="E673" s="216"/>
      <c r="F673" s="216"/>
      <c r="G673" s="216"/>
      <c r="H673" s="216"/>
      <c r="I673" s="216"/>
      <c r="J673" s="216"/>
      <c r="K673" s="5"/>
      <c r="L673" s="5"/>
      <c r="M673" s="5"/>
      <c r="N673" s="5"/>
      <c r="O673" s="5"/>
      <c r="P673" s="5"/>
      <c r="Q673" s="5"/>
      <c r="R673" s="5"/>
    </row>
    <row r="674" ht="12.75" hidden="1" customHeight="1">
      <c r="A674" s="213"/>
      <c r="B674" s="214"/>
      <c r="C674" s="216"/>
      <c r="D674" s="216"/>
      <c r="E674" s="216"/>
      <c r="F674" s="216"/>
      <c r="G674" s="216"/>
      <c r="H674" s="216"/>
      <c r="I674" s="216"/>
      <c r="J674" s="216"/>
      <c r="K674" s="5"/>
      <c r="L674" s="5"/>
      <c r="M674" s="5"/>
      <c r="N674" s="5"/>
      <c r="O674" s="5"/>
      <c r="P674" s="5"/>
      <c r="Q674" s="5"/>
      <c r="R674" s="5"/>
    </row>
    <row r="675" ht="12.75" hidden="1" customHeight="1">
      <c r="A675" s="213"/>
      <c r="B675" s="214"/>
      <c r="C675" s="216"/>
      <c r="D675" s="216"/>
      <c r="E675" s="216"/>
      <c r="F675" s="216"/>
      <c r="G675" s="216"/>
      <c r="H675" s="216"/>
      <c r="I675" s="216"/>
      <c r="J675" s="216"/>
      <c r="K675" s="5"/>
      <c r="L675" s="5"/>
      <c r="M675" s="5"/>
      <c r="N675" s="5"/>
      <c r="O675" s="5"/>
      <c r="P675" s="5"/>
      <c r="Q675" s="5"/>
      <c r="R675" s="5"/>
    </row>
    <row r="676" ht="12.75" hidden="1" customHeight="1">
      <c r="A676" s="213"/>
      <c r="B676" s="214"/>
      <c r="C676" s="216"/>
      <c r="D676" s="216"/>
      <c r="E676" s="216"/>
      <c r="F676" s="216"/>
      <c r="G676" s="216"/>
      <c r="H676" s="216"/>
      <c r="I676" s="216"/>
      <c r="J676" s="216"/>
      <c r="K676" s="5"/>
      <c r="L676" s="5"/>
      <c r="M676" s="5"/>
      <c r="N676" s="5"/>
      <c r="O676" s="5"/>
      <c r="P676" s="5"/>
      <c r="Q676" s="5"/>
      <c r="R676" s="5"/>
    </row>
    <row r="677" ht="12.75" hidden="1" customHeight="1">
      <c r="A677" s="213"/>
      <c r="B677" s="214"/>
      <c r="C677" s="216"/>
      <c r="D677" s="216"/>
      <c r="E677" s="216"/>
      <c r="F677" s="216"/>
      <c r="G677" s="216"/>
      <c r="H677" s="216"/>
      <c r="I677" s="216"/>
      <c r="J677" s="216"/>
      <c r="K677" s="5"/>
      <c r="L677" s="5"/>
      <c r="M677" s="5"/>
      <c r="N677" s="5"/>
      <c r="O677" s="5"/>
      <c r="P677" s="5"/>
      <c r="Q677" s="5"/>
      <c r="R677" s="5"/>
    </row>
    <row r="678" ht="12.75" hidden="1" customHeight="1">
      <c r="A678" s="213"/>
      <c r="B678" s="214"/>
      <c r="C678" s="216"/>
      <c r="D678" s="216"/>
      <c r="E678" s="216"/>
      <c r="F678" s="216"/>
      <c r="G678" s="216"/>
      <c r="H678" s="216"/>
      <c r="I678" s="216"/>
      <c r="J678" s="216"/>
      <c r="K678" s="5"/>
      <c r="L678" s="5"/>
      <c r="M678" s="5"/>
      <c r="N678" s="5"/>
      <c r="O678" s="5"/>
      <c r="P678" s="5"/>
      <c r="Q678" s="5"/>
      <c r="R678" s="5"/>
    </row>
    <row r="679" ht="12.75" hidden="1" customHeight="1">
      <c r="A679" s="213"/>
      <c r="B679" s="214"/>
      <c r="C679" s="216"/>
      <c r="D679" s="216"/>
      <c r="E679" s="216"/>
      <c r="F679" s="216"/>
      <c r="G679" s="216"/>
      <c r="H679" s="216"/>
      <c r="I679" s="216"/>
      <c r="J679" s="216"/>
      <c r="K679" s="5"/>
      <c r="L679" s="5"/>
      <c r="M679" s="5"/>
      <c r="N679" s="5"/>
      <c r="O679" s="5"/>
      <c r="P679" s="5"/>
      <c r="Q679" s="5"/>
      <c r="R679" s="5"/>
    </row>
    <row r="680" ht="12.75" hidden="1" customHeight="1">
      <c r="A680" s="213"/>
      <c r="B680" s="214"/>
      <c r="C680" s="216"/>
      <c r="D680" s="216"/>
      <c r="E680" s="216"/>
      <c r="F680" s="216"/>
      <c r="G680" s="216"/>
      <c r="H680" s="216"/>
      <c r="I680" s="216"/>
      <c r="J680" s="216"/>
      <c r="K680" s="5"/>
      <c r="L680" s="5"/>
      <c r="M680" s="5"/>
      <c r="N680" s="5"/>
      <c r="O680" s="5"/>
      <c r="P680" s="5"/>
      <c r="Q680" s="5"/>
      <c r="R680" s="5"/>
    </row>
    <row r="681" ht="12.75" hidden="1" customHeight="1">
      <c r="A681" s="213"/>
      <c r="B681" s="214"/>
      <c r="C681" s="216"/>
      <c r="D681" s="216"/>
      <c r="E681" s="216"/>
      <c r="F681" s="216"/>
      <c r="G681" s="216"/>
      <c r="H681" s="216"/>
      <c r="I681" s="216"/>
      <c r="J681" s="216"/>
      <c r="K681" s="5"/>
      <c r="L681" s="5"/>
      <c r="M681" s="5"/>
      <c r="N681" s="5"/>
      <c r="O681" s="5"/>
      <c r="P681" s="5"/>
      <c r="Q681" s="5"/>
      <c r="R681" s="5"/>
    </row>
    <row r="682" ht="12.75" hidden="1" customHeight="1">
      <c r="A682" s="213"/>
      <c r="B682" s="214"/>
      <c r="C682" s="216"/>
      <c r="D682" s="216"/>
      <c r="E682" s="216"/>
      <c r="F682" s="216"/>
      <c r="G682" s="216"/>
      <c r="H682" s="216"/>
      <c r="I682" s="216"/>
      <c r="J682" s="216"/>
      <c r="K682" s="5"/>
      <c r="L682" s="5"/>
      <c r="M682" s="5"/>
      <c r="N682" s="5"/>
      <c r="O682" s="5"/>
      <c r="P682" s="5"/>
      <c r="Q682" s="5"/>
      <c r="R682" s="5"/>
    </row>
    <row r="683" ht="12.75" hidden="1" customHeight="1">
      <c r="A683" s="213"/>
      <c r="B683" s="214"/>
      <c r="C683" s="216"/>
      <c r="D683" s="216"/>
      <c r="E683" s="216"/>
      <c r="F683" s="216"/>
      <c r="G683" s="216"/>
      <c r="H683" s="216"/>
      <c r="I683" s="216"/>
      <c r="J683" s="216"/>
      <c r="K683" s="5"/>
      <c r="L683" s="5"/>
      <c r="M683" s="5"/>
      <c r="N683" s="5"/>
      <c r="O683" s="5"/>
      <c r="P683" s="5"/>
      <c r="Q683" s="5"/>
      <c r="R683" s="5"/>
    </row>
    <row r="684" ht="12.75" hidden="1" customHeight="1">
      <c r="A684" s="213"/>
      <c r="B684" s="214"/>
      <c r="C684" s="216"/>
      <c r="D684" s="216"/>
      <c r="E684" s="216"/>
      <c r="F684" s="216"/>
      <c r="G684" s="216"/>
      <c r="H684" s="216"/>
      <c r="I684" s="216"/>
      <c r="J684" s="216"/>
      <c r="K684" s="5"/>
      <c r="L684" s="5"/>
      <c r="M684" s="5"/>
      <c r="N684" s="5"/>
      <c r="O684" s="5"/>
      <c r="P684" s="5"/>
      <c r="Q684" s="5"/>
      <c r="R684" s="5"/>
    </row>
    <row r="685" ht="12.75" hidden="1" customHeight="1">
      <c r="A685" s="213"/>
      <c r="B685" s="214"/>
      <c r="C685" s="216"/>
      <c r="D685" s="216"/>
      <c r="E685" s="216"/>
      <c r="F685" s="216"/>
      <c r="G685" s="216"/>
      <c r="H685" s="216"/>
      <c r="I685" s="216"/>
      <c r="J685" s="216"/>
      <c r="K685" s="5"/>
      <c r="L685" s="5"/>
      <c r="M685" s="5"/>
      <c r="N685" s="5"/>
      <c r="O685" s="5"/>
      <c r="P685" s="5"/>
      <c r="Q685" s="5"/>
      <c r="R685" s="5"/>
    </row>
    <row r="686" ht="12.75" hidden="1" customHeight="1">
      <c r="A686" s="213"/>
      <c r="B686" s="214"/>
      <c r="C686" s="216"/>
      <c r="D686" s="216"/>
      <c r="E686" s="216"/>
      <c r="F686" s="216"/>
      <c r="G686" s="216"/>
      <c r="H686" s="216"/>
      <c r="I686" s="216"/>
      <c r="J686" s="216"/>
      <c r="K686" s="5"/>
      <c r="L686" s="5"/>
      <c r="M686" s="5"/>
      <c r="N686" s="5"/>
      <c r="O686" s="5"/>
      <c r="P686" s="5"/>
      <c r="Q686" s="5"/>
      <c r="R686" s="5"/>
    </row>
    <row r="687" ht="12.75" hidden="1" customHeight="1">
      <c r="A687" s="213"/>
      <c r="B687" s="214"/>
      <c r="C687" s="216"/>
      <c r="D687" s="216"/>
      <c r="E687" s="216"/>
      <c r="F687" s="216"/>
      <c r="G687" s="216"/>
      <c r="H687" s="216"/>
      <c r="I687" s="216"/>
      <c r="J687" s="216"/>
      <c r="K687" s="5"/>
      <c r="L687" s="5"/>
      <c r="M687" s="5"/>
      <c r="N687" s="5"/>
      <c r="O687" s="5"/>
      <c r="P687" s="5"/>
      <c r="Q687" s="5"/>
      <c r="R687" s="5"/>
    </row>
    <row r="688" ht="12.75" hidden="1" customHeight="1">
      <c r="A688" s="213"/>
      <c r="B688" s="214"/>
      <c r="C688" s="216"/>
      <c r="D688" s="216"/>
      <c r="E688" s="216"/>
      <c r="F688" s="216"/>
      <c r="G688" s="216"/>
      <c r="H688" s="216"/>
      <c r="I688" s="216"/>
      <c r="J688" s="216"/>
      <c r="K688" s="5"/>
      <c r="L688" s="5"/>
      <c r="M688" s="5"/>
      <c r="N688" s="5"/>
      <c r="O688" s="5"/>
      <c r="P688" s="5"/>
      <c r="Q688" s="5"/>
      <c r="R688" s="5"/>
    </row>
    <row r="689" ht="12.75" hidden="1" customHeight="1">
      <c r="A689" s="213"/>
      <c r="B689" s="214"/>
      <c r="C689" s="216"/>
      <c r="D689" s="216"/>
      <c r="E689" s="216"/>
      <c r="F689" s="216"/>
      <c r="G689" s="216"/>
      <c r="H689" s="216"/>
      <c r="I689" s="216"/>
      <c r="J689" s="216"/>
      <c r="K689" s="5"/>
      <c r="L689" s="5"/>
      <c r="M689" s="5"/>
      <c r="N689" s="5"/>
      <c r="O689" s="5"/>
      <c r="P689" s="5"/>
      <c r="Q689" s="5"/>
      <c r="R689" s="5"/>
    </row>
    <row r="690" ht="12.75" hidden="1" customHeight="1">
      <c r="A690" s="213"/>
      <c r="B690" s="214"/>
      <c r="C690" s="216"/>
      <c r="D690" s="216"/>
      <c r="E690" s="216"/>
      <c r="F690" s="216"/>
      <c r="G690" s="216"/>
      <c r="H690" s="216"/>
      <c r="I690" s="216"/>
      <c r="J690" s="216"/>
      <c r="K690" s="5"/>
      <c r="L690" s="5"/>
      <c r="M690" s="5"/>
      <c r="N690" s="5"/>
      <c r="O690" s="5"/>
      <c r="P690" s="5"/>
      <c r="Q690" s="5"/>
      <c r="R690" s="5"/>
    </row>
    <row r="691" ht="12.75" hidden="1" customHeight="1">
      <c r="A691" s="213"/>
      <c r="B691" s="214"/>
      <c r="C691" s="216"/>
      <c r="D691" s="216"/>
      <c r="E691" s="216"/>
      <c r="F691" s="216"/>
      <c r="G691" s="216"/>
      <c r="H691" s="216"/>
      <c r="I691" s="216"/>
      <c r="J691" s="216"/>
      <c r="K691" s="5"/>
      <c r="L691" s="5"/>
      <c r="M691" s="5"/>
      <c r="N691" s="5"/>
      <c r="O691" s="5"/>
      <c r="P691" s="5"/>
      <c r="Q691" s="5"/>
      <c r="R691" s="5"/>
    </row>
    <row r="692" ht="12.75" hidden="1" customHeight="1">
      <c r="A692" s="213"/>
      <c r="B692" s="214"/>
      <c r="C692" s="216"/>
      <c r="D692" s="216"/>
      <c r="E692" s="216"/>
      <c r="F692" s="216"/>
      <c r="G692" s="216"/>
      <c r="H692" s="216"/>
      <c r="I692" s="216"/>
      <c r="J692" s="216"/>
      <c r="K692" s="5"/>
      <c r="L692" s="5"/>
      <c r="M692" s="5"/>
      <c r="N692" s="5"/>
      <c r="O692" s="5"/>
      <c r="P692" s="5"/>
      <c r="Q692" s="5"/>
      <c r="R692" s="5"/>
    </row>
    <row r="693" ht="12.75" hidden="1" customHeight="1">
      <c r="A693" s="213"/>
      <c r="B693" s="214"/>
      <c r="C693" s="216"/>
      <c r="D693" s="216"/>
      <c r="E693" s="216"/>
      <c r="F693" s="216"/>
      <c r="G693" s="216"/>
      <c r="H693" s="216"/>
      <c r="I693" s="216"/>
      <c r="J693" s="216"/>
      <c r="K693" s="5"/>
      <c r="L693" s="5"/>
      <c r="M693" s="5"/>
      <c r="N693" s="5"/>
      <c r="O693" s="5"/>
      <c r="P693" s="5"/>
      <c r="Q693" s="5"/>
      <c r="R693" s="5"/>
    </row>
    <row r="694" ht="12.75" hidden="1" customHeight="1">
      <c r="A694" s="213"/>
      <c r="B694" s="214"/>
      <c r="C694" s="216"/>
      <c r="D694" s="216"/>
      <c r="E694" s="216"/>
      <c r="F694" s="216"/>
      <c r="G694" s="216"/>
      <c r="H694" s="216"/>
      <c r="I694" s="216"/>
      <c r="J694" s="216"/>
      <c r="K694" s="5"/>
      <c r="L694" s="5"/>
      <c r="M694" s="5"/>
      <c r="N694" s="5"/>
      <c r="O694" s="5"/>
      <c r="P694" s="5"/>
      <c r="Q694" s="5"/>
      <c r="R694" s="5"/>
    </row>
    <row r="695" ht="12.75" hidden="1" customHeight="1">
      <c r="A695" s="213"/>
      <c r="B695" s="214"/>
      <c r="C695" s="216"/>
      <c r="D695" s="216"/>
      <c r="E695" s="216"/>
      <c r="F695" s="216"/>
      <c r="G695" s="216"/>
      <c r="H695" s="216"/>
      <c r="I695" s="216"/>
      <c r="J695" s="216"/>
      <c r="K695" s="5"/>
      <c r="L695" s="5"/>
      <c r="M695" s="5"/>
      <c r="N695" s="5"/>
      <c r="O695" s="5"/>
      <c r="P695" s="5"/>
      <c r="Q695" s="5"/>
      <c r="R695" s="5"/>
    </row>
    <row r="696" ht="12.75" hidden="1" customHeight="1">
      <c r="A696" s="213"/>
      <c r="B696" s="214"/>
      <c r="C696" s="216"/>
      <c r="D696" s="216"/>
      <c r="E696" s="216"/>
      <c r="F696" s="216"/>
      <c r="G696" s="216"/>
      <c r="H696" s="216"/>
      <c r="I696" s="216"/>
      <c r="J696" s="216"/>
      <c r="K696" s="5"/>
      <c r="L696" s="5"/>
      <c r="M696" s="5"/>
      <c r="N696" s="5"/>
      <c r="O696" s="5"/>
      <c r="P696" s="5"/>
      <c r="Q696" s="5"/>
      <c r="R696" s="5"/>
    </row>
    <row r="697" ht="12.75" hidden="1" customHeight="1">
      <c r="A697" s="213"/>
      <c r="B697" s="214"/>
      <c r="C697" s="216"/>
      <c r="D697" s="216"/>
      <c r="E697" s="216"/>
      <c r="F697" s="216"/>
      <c r="G697" s="216"/>
      <c r="H697" s="216"/>
      <c r="I697" s="216"/>
      <c r="J697" s="216"/>
      <c r="K697" s="5"/>
      <c r="L697" s="5"/>
      <c r="M697" s="5"/>
      <c r="N697" s="5"/>
      <c r="O697" s="5"/>
      <c r="P697" s="5"/>
      <c r="Q697" s="5"/>
      <c r="R697" s="5"/>
    </row>
    <row r="698" ht="12.75" hidden="1" customHeight="1">
      <c r="A698" s="213"/>
      <c r="B698" s="214"/>
      <c r="C698" s="216"/>
      <c r="D698" s="216"/>
      <c r="E698" s="216"/>
      <c r="F698" s="216"/>
      <c r="G698" s="216"/>
      <c r="H698" s="216"/>
      <c r="I698" s="216"/>
      <c r="J698" s="216"/>
      <c r="K698" s="5"/>
      <c r="L698" s="5"/>
      <c r="M698" s="5"/>
      <c r="N698" s="5"/>
      <c r="O698" s="5"/>
      <c r="P698" s="5"/>
      <c r="Q698" s="5"/>
      <c r="R698" s="5"/>
    </row>
    <row r="699" ht="12.75" hidden="1" customHeight="1">
      <c r="A699" s="213"/>
      <c r="B699" s="214"/>
      <c r="C699" s="216"/>
      <c r="D699" s="216"/>
      <c r="E699" s="216"/>
      <c r="F699" s="216"/>
      <c r="G699" s="216"/>
      <c r="H699" s="216"/>
      <c r="I699" s="216"/>
      <c r="J699" s="216"/>
      <c r="K699" s="5"/>
      <c r="L699" s="5"/>
      <c r="M699" s="5"/>
      <c r="N699" s="5"/>
      <c r="O699" s="5"/>
      <c r="P699" s="5"/>
      <c r="Q699" s="5"/>
      <c r="R699" s="5"/>
    </row>
    <row r="700" ht="12.75" hidden="1" customHeight="1">
      <c r="A700" s="213"/>
      <c r="B700" s="214"/>
      <c r="C700" s="216"/>
      <c r="D700" s="216"/>
      <c r="E700" s="216"/>
      <c r="F700" s="216"/>
      <c r="G700" s="216"/>
      <c r="H700" s="216"/>
      <c r="I700" s="216"/>
      <c r="J700" s="216"/>
      <c r="K700" s="5"/>
      <c r="L700" s="5"/>
      <c r="M700" s="5"/>
      <c r="N700" s="5"/>
      <c r="O700" s="5"/>
      <c r="P700" s="5"/>
      <c r="Q700" s="5"/>
      <c r="R700" s="5"/>
    </row>
    <row r="701" ht="12.75" hidden="1" customHeight="1">
      <c r="A701" s="213"/>
      <c r="B701" s="214"/>
      <c r="C701" s="216"/>
      <c r="D701" s="216"/>
      <c r="E701" s="216"/>
      <c r="F701" s="216"/>
      <c r="G701" s="216"/>
      <c r="H701" s="216"/>
      <c r="I701" s="216"/>
      <c r="J701" s="216"/>
      <c r="K701" s="5"/>
      <c r="L701" s="5"/>
      <c r="M701" s="5"/>
      <c r="N701" s="5"/>
      <c r="O701" s="5"/>
      <c r="P701" s="5"/>
      <c r="Q701" s="5"/>
      <c r="R701" s="5"/>
    </row>
    <row r="702" ht="12.75" hidden="1" customHeight="1">
      <c r="A702" s="213"/>
      <c r="B702" s="214"/>
      <c r="C702" s="216"/>
      <c r="D702" s="216"/>
      <c r="E702" s="216"/>
      <c r="F702" s="216"/>
      <c r="G702" s="216"/>
      <c r="H702" s="216"/>
      <c r="I702" s="216"/>
      <c r="J702" s="216"/>
      <c r="K702" s="5"/>
      <c r="L702" s="5"/>
      <c r="M702" s="5"/>
      <c r="N702" s="5"/>
      <c r="O702" s="5"/>
      <c r="P702" s="5"/>
      <c r="Q702" s="5"/>
      <c r="R702" s="5"/>
    </row>
    <row r="703" ht="12.75" hidden="1" customHeight="1">
      <c r="A703" s="213"/>
      <c r="B703" s="214"/>
      <c r="C703" s="216"/>
      <c r="D703" s="216"/>
      <c r="E703" s="216"/>
      <c r="F703" s="216"/>
      <c r="G703" s="216"/>
      <c r="H703" s="216"/>
      <c r="I703" s="216"/>
      <c r="J703" s="216"/>
      <c r="K703" s="5"/>
      <c r="L703" s="5"/>
      <c r="M703" s="5"/>
      <c r="N703" s="5"/>
      <c r="O703" s="5"/>
      <c r="P703" s="5"/>
      <c r="Q703" s="5"/>
      <c r="R703" s="5"/>
    </row>
    <row r="704" ht="12.75" hidden="1" customHeight="1">
      <c r="A704" s="213"/>
      <c r="B704" s="214"/>
      <c r="C704" s="216"/>
      <c r="D704" s="216"/>
      <c r="E704" s="216"/>
      <c r="F704" s="216"/>
      <c r="G704" s="216"/>
      <c r="H704" s="216"/>
      <c r="I704" s="216"/>
      <c r="J704" s="216"/>
      <c r="K704" s="5"/>
      <c r="L704" s="5"/>
      <c r="M704" s="5"/>
      <c r="N704" s="5"/>
      <c r="O704" s="5"/>
      <c r="P704" s="5"/>
      <c r="Q704" s="5"/>
      <c r="R704" s="5"/>
    </row>
    <row r="705" ht="12.75" hidden="1" customHeight="1">
      <c r="A705" s="213"/>
      <c r="B705" s="214"/>
      <c r="C705" s="216"/>
      <c r="D705" s="216"/>
      <c r="E705" s="216"/>
      <c r="F705" s="216"/>
      <c r="G705" s="216"/>
      <c r="H705" s="216"/>
      <c r="I705" s="216"/>
      <c r="J705" s="216"/>
      <c r="K705" s="5"/>
      <c r="L705" s="5"/>
      <c r="M705" s="5"/>
      <c r="N705" s="5"/>
      <c r="O705" s="5"/>
      <c r="P705" s="5"/>
      <c r="Q705" s="5"/>
      <c r="R705" s="5"/>
    </row>
    <row r="706" ht="12.75" hidden="1" customHeight="1">
      <c r="A706" s="213"/>
      <c r="B706" s="214"/>
      <c r="C706" s="216"/>
      <c r="D706" s="216"/>
      <c r="E706" s="216"/>
      <c r="F706" s="216"/>
      <c r="G706" s="216"/>
      <c r="H706" s="216"/>
      <c r="I706" s="216"/>
      <c r="J706" s="216"/>
      <c r="K706" s="5"/>
      <c r="L706" s="5"/>
      <c r="M706" s="5"/>
      <c r="N706" s="5"/>
      <c r="O706" s="5"/>
      <c r="P706" s="5"/>
      <c r="Q706" s="5"/>
      <c r="R706" s="5"/>
    </row>
    <row r="707" ht="12.75" hidden="1" customHeight="1">
      <c r="A707" s="213"/>
      <c r="B707" s="214"/>
      <c r="C707" s="216"/>
      <c r="D707" s="216"/>
      <c r="E707" s="216"/>
      <c r="F707" s="216"/>
      <c r="G707" s="216"/>
      <c r="H707" s="216"/>
      <c r="I707" s="216"/>
      <c r="J707" s="216"/>
      <c r="K707" s="5"/>
      <c r="L707" s="5"/>
      <c r="M707" s="5"/>
      <c r="N707" s="5"/>
      <c r="O707" s="5"/>
      <c r="P707" s="5"/>
      <c r="Q707" s="5"/>
      <c r="R707" s="5"/>
    </row>
    <row r="708" ht="12.75" hidden="1" customHeight="1">
      <c r="A708" s="213"/>
      <c r="B708" s="214"/>
      <c r="C708" s="216"/>
      <c r="D708" s="216"/>
      <c r="E708" s="216"/>
      <c r="F708" s="216"/>
      <c r="G708" s="216"/>
      <c r="H708" s="216"/>
      <c r="I708" s="216"/>
      <c r="J708" s="216"/>
      <c r="K708" s="5"/>
      <c r="L708" s="5"/>
      <c r="M708" s="5"/>
      <c r="N708" s="5"/>
      <c r="O708" s="5"/>
      <c r="P708" s="5"/>
      <c r="Q708" s="5"/>
      <c r="R708" s="5"/>
    </row>
    <row r="709" ht="12.75" hidden="1" customHeight="1">
      <c r="A709" s="213"/>
      <c r="B709" s="214"/>
      <c r="C709" s="216"/>
      <c r="D709" s="216"/>
      <c r="E709" s="216"/>
      <c r="F709" s="216"/>
      <c r="G709" s="216"/>
      <c r="H709" s="216"/>
      <c r="I709" s="216"/>
      <c r="J709" s="216"/>
      <c r="K709" s="5"/>
      <c r="L709" s="5"/>
      <c r="M709" s="5"/>
      <c r="N709" s="5"/>
      <c r="O709" s="5"/>
      <c r="P709" s="5"/>
      <c r="Q709" s="5"/>
      <c r="R709" s="5"/>
    </row>
    <row r="710" ht="12.75" hidden="1" customHeight="1">
      <c r="A710" s="213"/>
      <c r="B710" s="214"/>
      <c r="C710" s="216"/>
      <c r="D710" s="216"/>
      <c r="E710" s="216"/>
      <c r="F710" s="216"/>
      <c r="G710" s="216"/>
      <c r="H710" s="216"/>
      <c r="I710" s="216"/>
      <c r="J710" s="216"/>
      <c r="K710" s="5"/>
      <c r="L710" s="5"/>
      <c r="M710" s="5"/>
      <c r="N710" s="5"/>
      <c r="O710" s="5"/>
      <c r="P710" s="5"/>
      <c r="Q710" s="5"/>
      <c r="R710" s="5"/>
    </row>
    <row r="711" ht="12.75" hidden="1" customHeight="1">
      <c r="A711" s="213"/>
      <c r="B711" s="214"/>
      <c r="C711" s="216"/>
      <c r="D711" s="216"/>
      <c r="E711" s="216"/>
      <c r="F711" s="216"/>
      <c r="G711" s="216"/>
      <c r="H711" s="216"/>
      <c r="I711" s="216"/>
      <c r="J711" s="216"/>
      <c r="K711" s="5"/>
      <c r="L711" s="5"/>
      <c r="M711" s="5"/>
      <c r="N711" s="5"/>
      <c r="O711" s="5"/>
      <c r="P711" s="5"/>
      <c r="Q711" s="5"/>
      <c r="R711" s="5"/>
    </row>
    <row r="712" ht="12.75" hidden="1" customHeight="1">
      <c r="A712" s="213"/>
      <c r="B712" s="214"/>
      <c r="C712" s="216"/>
      <c r="D712" s="216"/>
      <c r="E712" s="216"/>
      <c r="F712" s="216"/>
      <c r="G712" s="216"/>
      <c r="H712" s="216"/>
      <c r="I712" s="216"/>
      <c r="J712" s="216"/>
      <c r="K712" s="5"/>
      <c r="L712" s="5"/>
      <c r="M712" s="5"/>
      <c r="N712" s="5"/>
      <c r="O712" s="5"/>
      <c r="P712" s="5"/>
      <c r="Q712" s="5"/>
      <c r="R712" s="5"/>
    </row>
    <row r="713" ht="12.75" hidden="1" customHeight="1">
      <c r="A713" s="213"/>
      <c r="B713" s="214"/>
      <c r="C713" s="216"/>
      <c r="D713" s="216"/>
      <c r="E713" s="216"/>
      <c r="F713" s="216"/>
      <c r="G713" s="216"/>
      <c r="H713" s="216"/>
      <c r="I713" s="216"/>
      <c r="J713" s="216"/>
      <c r="K713" s="5"/>
      <c r="L713" s="5"/>
      <c r="M713" s="5"/>
      <c r="N713" s="5"/>
      <c r="O713" s="5"/>
      <c r="P713" s="5"/>
      <c r="Q713" s="5"/>
      <c r="R713" s="5"/>
    </row>
    <row r="714" ht="12.75" hidden="1" customHeight="1">
      <c r="A714" s="213"/>
      <c r="B714" s="214"/>
      <c r="C714" s="216"/>
      <c r="D714" s="216"/>
      <c r="E714" s="216"/>
      <c r="F714" s="216"/>
      <c r="G714" s="216"/>
      <c r="H714" s="216"/>
      <c r="I714" s="216"/>
      <c r="J714" s="216"/>
      <c r="K714" s="5"/>
      <c r="L714" s="5"/>
      <c r="M714" s="5"/>
      <c r="N714" s="5"/>
      <c r="O714" s="5"/>
      <c r="P714" s="5"/>
      <c r="Q714" s="5"/>
      <c r="R714" s="5"/>
    </row>
    <row r="715" ht="12.75" hidden="1" customHeight="1">
      <c r="A715" s="213"/>
      <c r="B715" s="214"/>
      <c r="C715" s="216"/>
      <c r="D715" s="216"/>
      <c r="E715" s="216"/>
      <c r="F715" s="216"/>
      <c r="G715" s="216"/>
      <c r="H715" s="216"/>
      <c r="I715" s="216"/>
      <c r="J715" s="216"/>
      <c r="K715" s="5"/>
      <c r="L715" s="5"/>
      <c r="M715" s="5"/>
      <c r="N715" s="5"/>
      <c r="O715" s="5"/>
      <c r="P715" s="5"/>
      <c r="Q715" s="5"/>
      <c r="R715" s="5"/>
    </row>
    <row r="716" ht="12.75" hidden="1" customHeight="1">
      <c r="A716" s="213"/>
      <c r="B716" s="214"/>
      <c r="C716" s="216"/>
      <c r="D716" s="216"/>
      <c r="E716" s="216"/>
      <c r="F716" s="216"/>
      <c r="G716" s="216"/>
      <c r="H716" s="216"/>
      <c r="I716" s="216"/>
      <c r="J716" s="216"/>
      <c r="K716" s="5"/>
      <c r="L716" s="5"/>
      <c r="M716" s="5"/>
      <c r="N716" s="5"/>
      <c r="O716" s="5"/>
      <c r="P716" s="5"/>
      <c r="Q716" s="5"/>
      <c r="R716" s="5"/>
    </row>
    <row r="717" ht="12.75" hidden="1" customHeight="1">
      <c r="A717" s="213"/>
      <c r="B717" s="214"/>
      <c r="C717" s="216"/>
      <c r="D717" s="216"/>
      <c r="E717" s="216"/>
      <c r="F717" s="216"/>
      <c r="G717" s="216"/>
      <c r="H717" s="216"/>
      <c r="I717" s="216"/>
      <c r="J717" s="216"/>
      <c r="K717" s="5"/>
      <c r="L717" s="5"/>
      <c r="M717" s="5"/>
      <c r="N717" s="5"/>
      <c r="O717" s="5"/>
      <c r="P717" s="5"/>
      <c r="Q717" s="5"/>
      <c r="R717" s="5"/>
    </row>
    <row r="718" ht="12.75" hidden="1" customHeight="1">
      <c r="A718" s="213"/>
      <c r="B718" s="214"/>
      <c r="C718" s="216"/>
      <c r="D718" s="216"/>
      <c r="E718" s="216"/>
      <c r="F718" s="216"/>
      <c r="G718" s="216"/>
      <c r="H718" s="216"/>
      <c r="I718" s="216"/>
      <c r="J718" s="216"/>
      <c r="K718" s="5"/>
      <c r="L718" s="5"/>
      <c r="M718" s="5"/>
      <c r="N718" s="5"/>
      <c r="O718" s="5"/>
      <c r="P718" s="5"/>
      <c r="Q718" s="5"/>
      <c r="R718" s="5"/>
    </row>
    <row r="719" ht="12.75" hidden="1" customHeight="1">
      <c r="A719" s="213"/>
      <c r="B719" s="214"/>
      <c r="C719" s="216"/>
      <c r="D719" s="216"/>
      <c r="E719" s="216"/>
      <c r="F719" s="216"/>
      <c r="G719" s="216"/>
      <c r="H719" s="216"/>
      <c r="I719" s="216"/>
      <c r="J719" s="216"/>
      <c r="K719" s="5"/>
      <c r="L719" s="5"/>
      <c r="M719" s="5"/>
      <c r="N719" s="5"/>
      <c r="O719" s="5"/>
      <c r="P719" s="5"/>
      <c r="Q719" s="5"/>
      <c r="R719" s="5"/>
    </row>
    <row r="720" ht="12.75" hidden="1" customHeight="1">
      <c r="A720" s="213"/>
      <c r="B720" s="214"/>
      <c r="C720" s="216"/>
      <c r="D720" s="216"/>
      <c r="E720" s="216"/>
      <c r="F720" s="216"/>
      <c r="G720" s="216"/>
      <c r="H720" s="216"/>
      <c r="I720" s="216"/>
      <c r="J720" s="216"/>
      <c r="K720" s="5"/>
      <c r="L720" s="5"/>
      <c r="M720" s="5"/>
      <c r="N720" s="5"/>
      <c r="O720" s="5"/>
      <c r="P720" s="5"/>
      <c r="Q720" s="5"/>
      <c r="R720" s="5"/>
    </row>
    <row r="721" ht="12.75" hidden="1" customHeight="1">
      <c r="A721" s="213"/>
      <c r="B721" s="214"/>
      <c r="C721" s="216"/>
      <c r="D721" s="216"/>
      <c r="E721" s="216"/>
      <c r="F721" s="216"/>
      <c r="G721" s="216"/>
      <c r="H721" s="216"/>
      <c r="I721" s="216"/>
      <c r="J721" s="216"/>
      <c r="K721" s="5"/>
      <c r="L721" s="5"/>
      <c r="M721" s="5"/>
      <c r="N721" s="5"/>
      <c r="O721" s="5"/>
      <c r="P721" s="5"/>
      <c r="Q721" s="5"/>
      <c r="R721" s="5"/>
    </row>
    <row r="722" ht="12.75" hidden="1" customHeight="1">
      <c r="A722" s="213"/>
      <c r="B722" s="214"/>
      <c r="C722" s="216"/>
      <c r="D722" s="216"/>
      <c r="E722" s="216"/>
      <c r="F722" s="216"/>
      <c r="G722" s="216"/>
      <c r="H722" s="216"/>
      <c r="I722" s="216"/>
      <c r="J722" s="216"/>
      <c r="K722" s="5"/>
      <c r="L722" s="5"/>
      <c r="M722" s="5"/>
      <c r="N722" s="5"/>
      <c r="O722" s="5"/>
      <c r="P722" s="5"/>
      <c r="Q722" s="5"/>
      <c r="R722" s="5"/>
    </row>
    <row r="723" ht="12.75" hidden="1" customHeight="1">
      <c r="A723" s="213"/>
      <c r="B723" s="214"/>
      <c r="C723" s="216"/>
      <c r="D723" s="216"/>
      <c r="E723" s="216"/>
      <c r="F723" s="216"/>
      <c r="G723" s="216"/>
      <c r="H723" s="216"/>
      <c r="I723" s="216"/>
      <c r="J723" s="216"/>
      <c r="K723" s="5"/>
      <c r="L723" s="5"/>
      <c r="M723" s="5"/>
      <c r="N723" s="5"/>
      <c r="O723" s="5"/>
      <c r="P723" s="5"/>
      <c r="Q723" s="5"/>
      <c r="R723" s="5"/>
    </row>
    <row r="724" ht="12.75" hidden="1" customHeight="1">
      <c r="A724" s="213"/>
      <c r="B724" s="214"/>
      <c r="C724" s="216"/>
      <c r="D724" s="216"/>
      <c r="E724" s="216"/>
      <c r="F724" s="216"/>
      <c r="G724" s="216"/>
      <c r="H724" s="216"/>
      <c r="I724" s="216"/>
      <c r="J724" s="216"/>
      <c r="K724" s="5"/>
      <c r="L724" s="5"/>
      <c r="M724" s="5"/>
      <c r="N724" s="5"/>
      <c r="O724" s="5"/>
      <c r="P724" s="5"/>
      <c r="Q724" s="5"/>
      <c r="R724" s="5"/>
    </row>
    <row r="725" ht="12.75" hidden="1" customHeight="1">
      <c r="A725" s="213"/>
      <c r="B725" s="214"/>
      <c r="C725" s="216"/>
      <c r="D725" s="216"/>
      <c r="E725" s="216"/>
      <c r="F725" s="216"/>
      <c r="G725" s="216"/>
      <c r="H725" s="216"/>
      <c r="I725" s="216"/>
      <c r="J725" s="216"/>
      <c r="K725" s="5"/>
      <c r="L725" s="5"/>
      <c r="M725" s="5"/>
      <c r="N725" s="5"/>
      <c r="O725" s="5"/>
      <c r="P725" s="5"/>
      <c r="Q725" s="5"/>
      <c r="R725" s="5"/>
    </row>
    <row r="726" ht="12.75" hidden="1" customHeight="1">
      <c r="A726" s="213"/>
      <c r="B726" s="214"/>
      <c r="C726" s="216"/>
      <c r="D726" s="216"/>
      <c r="E726" s="216"/>
      <c r="F726" s="216"/>
      <c r="G726" s="216"/>
      <c r="H726" s="216"/>
      <c r="I726" s="216"/>
      <c r="J726" s="216"/>
      <c r="K726" s="5"/>
      <c r="L726" s="5"/>
      <c r="M726" s="5"/>
      <c r="N726" s="5"/>
      <c r="O726" s="5"/>
      <c r="P726" s="5"/>
      <c r="Q726" s="5"/>
      <c r="R726" s="5"/>
    </row>
    <row r="727" ht="12.75" hidden="1" customHeight="1">
      <c r="A727" s="213"/>
      <c r="B727" s="214"/>
      <c r="C727" s="216"/>
      <c r="D727" s="216"/>
      <c r="E727" s="216"/>
      <c r="F727" s="216"/>
      <c r="G727" s="216"/>
      <c r="H727" s="216"/>
      <c r="I727" s="216"/>
      <c r="J727" s="216"/>
      <c r="K727" s="5"/>
      <c r="L727" s="5"/>
      <c r="M727" s="5"/>
      <c r="N727" s="5"/>
      <c r="O727" s="5"/>
      <c r="P727" s="5"/>
      <c r="Q727" s="5"/>
      <c r="R727" s="5"/>
    </row>
    <row r="728" ht="12.75" hidden="1" customHeight="1">
      <c r="A728" s="213"/>
      <c r="B728" s="214"/>
      <c r="C728" s="216"/>
      <c r="D728" s="216"/>
      <c r="E728" s="216"/>
      <c r="F728" s="216"/>
      <c r="G728" s="216"/>
      <c r="H728" s="216"/>
      <c r="I728" s="216"/>
      <c r="J728" s="216"/>
      <c r="K728" s="5"/>
      <c r="L728" s="5"/>
      <c r="M728" s="5"/>
      <c r="N728" s="5"/>
      <c r="O728" s="5"/>
      <c r="P728" s="5"/>
      <c r="Q728" s="5"/>
      <c r="R728" s="5"/>
    </row>
    <row r="729" ht="12.75" hidden="1" customHeight="1">
      <c r="A729" s="213"/>
      <c r="B729" s="214"/>
      <c r="C729" s="216"/>
      <c r="D729" s="216"/>
      <c r="E729" s="216"/>
      <c r="F729" s="216"/>
      <c r="G729" s="216"/>
      <c r="H729" s="216"/>
      <c r="I729" s="216"/>
      <c r="J729" s="216"/>
      <c r="K729" s="5"/>
      <c r="L729" s="5"/>
      <c r="M729" s="5"/>
      <c r="N729" s="5"/>
      <c r="O729" s="5"/>
      <c r="P729" s="5"/>
      <c r="Q729" s="5"/>
      <c r="R729" s="5"/>
    </row>
    <row r="730" ht="12.75" hidden="1" customHeight="1">
      <c r="A730" s="213"/>
      <c r="B730" s="214"/>
      <c r="C730" s="216"/>
      <c r="D730" s="216"/>
      <c r="E730" s="216"/>
      <c r="F730" s="216"/>
      <c r="G730" s="216"/>
      <c r="H730" s="216"/>
      <c r="I730" s="216"/>
      <c r="J730" s="216"/>
      <c r="K730" s="5"/>
      <c r="L730" s="5"/>
      <c r="M730" s="5"/>
      <c r="N730" s="5"/>
      <c r="O730" s="5"/>
      <c r="P730" s="5"/>
      <c r="Q730" s="5"/>
      <c r="R730" s="5"/>
    </row>
    <row r="731" ht="12.75" hidden="1" customHeight="1">
      <c r="A731" s="213"/>
      <c r="B731" s="214"/>
      <c r="C731" s="216"/>
      <c r="D731" s="216"/>
      <c r="E731" s="216"/>
      <c r="F731" s="216"/>
      <c r="G731" s="216"/>
      <c r="H731" s="216"/>
      <c r="I731" s="216"/>
      <c r="J731" s="216"/>
      <c r="K731" s="5"/>
      <c r="L731" s="5"/>
      <c r="M731" s="5"/>
      <c r="N731" s="5"/>
      <c r="O731" s="5"/>
      <c r="P731" s="5"/>
      <c r="Q731" s="5"/>
      <c r="R731" s="5"/>
    </row>
    <row r="732" ht="12.75" hidden="1" customHeight="1">
      <c r="A732" s="213"/>
      <c r="B732" s="214"/>
      <c r="C732" s="216"/>
      <c r="D732" s="216"/>
      <c r="E732" s="216"/>
      <c r="F732" s="216"/>
      <c r="G732" s="216"/>
      <c r="H732" s="216"/>
      <c r="I732" s="216"/>
      <c r="J732" s="216"/>
      <c r="K732" s="5"/>
      <c r="L732" s="5"/>
      <c r="M732" s="5"/>
      <c r="N732" s="5"/>
      <c r="O732" s="5"/>
      <c r="P732" s="5"/>
      <c r="Q732" s="5"/>
      <c r="R732" s="5"/>
    </row>
    <row r="733" ht="12.75" hidden="1" customHeight="1">
      <c r="A733" s="213"/>
      <c r="B733" s="214"/>
      <c r="C733" s="216"/>
      <c r="D733" s="216"/>
      <c r="E733" s="216"/>
      <c r="F733" s="216"/>
      <c r="G733" s="216"/>
      <c r="H733" s="216"/>
      <c r="I733" s="216"/>
      <c r="J733" s="216"/>
      <c r="K733" s="5"/>
      <c r="L733" s="5"/>
      <c r="M733" s="5"/>
      <c r="N733" s="5"/>
      <c r="O733" s="5"/>
      <c r="P733" s="5"/>
      <c r="Q733" s="5"/>
      <c r="R733" s="5"/>
    </row>
    <row r="734" ht="12.75" hidden="1" customHeight="1">
      <c r="A734" s="213"/>
      <c r="B734" s="214"/>
      <c r="C734" s="216"/>
      <c r="D734" s="216"/>
      <c r="E734" s="216"/>
      <c r="F734" s="216"/>
      <c r="G734" s="216"/>
      <c r="H734" s="216"/>
      <c r="I734" s="216"/>
      <c r="J734" s="216"/>
      <c r="K734" s="5"/>
      <c r="L734" s="5"/>
      <c r="M734" s="5"/>
      <c r="N734" s="5"/>
      <c r="O734" s="5"/>
      <c r="P734" s="5"/>
      <c r="Q734" s="5"/>
      <c r="R734" s="5"/>
    </row>
    <row r="735" ht="12.75" hidden="1" customHeight="1">
      <c r="A735" s="213"/>
      <c r="B735" s="214"/>
      <c r="C735" s="216"/>
      <c r="D735" s="216"/>
      <c r="E735" s="216"/>
      <c r="F735" s="216"/>
      <c r="G735" s="216"/>
      <c r="H735" s="216"/>
      <c r="I735" s="216"/>
      <c r="J735" s="216"/>
      <c r="K735" s="5"/>
      <c r="L735" s="5"/>
      <c r="M735" s="5"/>
      <c r="N735" s="5"/>
      <c r="O735" s="5"/>
      <c r="P735" s="5"/>
      <c r="Q735" s="5"/>
      <c r="R735" s="5"/>
    </row>
    <row r="736" ht="12.75" hidden="1" customHeight="1">
      <c r="A736" s="213"/>
      <c r="B736" s="214"/>
      <c r="C736" s="216"/>
      <c r="D736" s="216"/>
      <c r="E736" s="216"/>
      <c r="F736" s="216"/>
      <c r="G736" s="216"/>
      <c r="H736" s="216"/>
      <c r="I736" s="216"/>
      <c r="J736" s="216"/>
      <c r="K736" s="5"/>
      <c r="L736" s="5"/>
      <c r="M736" s="5"/>
      <c r="N736" s="5"/>
      <c r="O736" s="5"/>
      <c r="P736" s="5"/>
      <c r="Q736" s="5"/>
      <c r="R736" s="5"/>
    </row>
    <row r="737" ht="12.75" hidden="1" customHeight="1">
      <c r="A737" s="213"/>
      <c r="B737" s="214"/>
      <c r="C737" s="216"/>
      <c r="D737" s="216"/>
      <c r="E737" s="216"/>
      <c r="F737" s="216"/>
      <c r="G737" s="216"/>
      <c r="H737" s="216"/>
      <c r="I737" s="216"/>
      <c r="J737" s="216"/>
      <c r="K737" s="5"/>
      <c r="L737" s="5"/>
      <c r="M737" s="5"/>
      <c r="N737" s="5"/>
      <c r="O737" s="5"/>
      <c r="P737" s="5"/>
      <c r="Q737" s="5"/>
      <c r="R737" s="5"/>
    </row>
    <row r="738" ht="12.75" hidden="1" customHeight="1">
      <c r="A738" s="213"/>
      <c r="B738" s="214"/>
      <c r="C738" s="216"/>
      <c r="D738" s="216"/>
      <c r="E738" s="216"/>
      <c r="F738" s="216"/>
      <c r="G738" s="216"/>
      <c r="H738" s="216"/>
      <c r="I738" s="216"/>
      <c r="J738" s="216"/>
      <c r="K738" s="5"/>
      <c r="L738" s="5"/>
      <c r="M738" s="5"/>
      <c r="N738" s="5"/>
      <c r="O738" s="5"/>
      <c r="P738" s="5"/>
      <c r="Q738" s="5"/>
      <c r="R738" s="5"/>
    </row>
    <row r="739" ht="12.75" hidden="1" customHeight="1">
      <c r="A739" s="213"/>
      <c r="B739" s="214"/>
      <c r="C739" s="216"/>
      <c r="D739" s="216"/>
      <c r="E739" s="216"/>
      <c r="F739" s="216"/>
      <c r="G739" s="216"/>
      <c r="H739" s="216"/>
      <c r="I739" s="216"/>
      <c r="J739" s="216"/>
      <c r="K739" s="5"/>
      <c r="L739" s="5"/>
      <c r="M739" s="5"/>
      <c r="N739" s="5"/>
      <c r="O739" s="5"/>
      <c r="P739" s="5"/>
      <c r="Q739" s="5"/>
      <c r="R739" s="5"/>
    </row>
    <row r="740" ht="12.75" hidden="1" customHeight="1">
      <c r="A740" s="213"/>
      <c r="B740" s="214"/>
      <c r="C740" s="216"/>
      <c r="D740" s="216"/>
      <c r="E740" s="216"/>
      <c r="F740" s="216"/>
      <c r="G740" s="216"/>
      <c r="H740" s="216"/>
      <c r="I740" s="216"/>
      <c r="J740" s="216"/>
      <c r="K740" s="5"/>
      <c r="L740" s="5"/>
      <c r="M740" s="5"/>
      <c r="N740" s="5"/>
      <c r="O740" s="5"/>
      <c r="P740" s="5"/>
      <c r="Q740" s="5"/>
      <c r="R740" s="5"/>
    </row>
    <row r="741" ht="12.75" hidden="1" customHeight="1">
      <c r="A741" s="213"/>
      <c r="B741" s="214"/>
      <c r="C741" s="216"/>
      <c r="D741" s="216"/>
      <c r="E741" s="216"/>
      <c r="F741" s="216"/>
      <c r="G741" s="216"/>
      <c r="H741" s="216"/>
      <c r="I741" s="216"/>
      <c r="J741" s="216"/>
      <c r="K741" s="5"/>
      <c r="L741" s="5"/>
      <c r="M741" s="5"/>
      <c r="N741" s="5"/>
      <c r="O741" s="5"/>
      <c r="P741" s="5"/>
      <c r="Q741" s="5"/>
      <c r="R741" s="5"/>
    </row>
    <row r="742" ht="12.75" hidden="1" customHeight="1">
      <c r="A742" s="213"/>
      <c r="B742" s="214"/>
      <c r="C742" s="216"/>
      <c r="D742" s="216"/>
      <c r="E742" s="216"/>
      <c r="F742" s="216"/>
      <c r="G742" s="216"/>
      <c r="H742" s="216"/>
      <c r="I742" s="216"/>
      <c r="J742" s="216"/>
      <c r="K742" s="5"/>
      <c r="L742" s="5"/>
      <c r="M742" s="5"/>
      <c r="N742" s="5"/>
      <c r="O742" s="5"/>
      <c r="P742" s="5"/>
      <c r="Q742" s="5"/>
      <c r="R742" s="5"/>
    </row>
    <row r="743" ht="12.75" hidden="1" customHeight="1">
      <c r="A743" s="213"/>
      <c r="B743" s="214"/>
      <c r="C743" s="216"/>
      <c r="D743" s="216"/>
      <c r="E743" s="216"/>
      <c r="F743" s="216"/>
      <c r="G743" s="216"/>
      <c r="H743" s="216"/>
      <c r="I743" s="216"/>
      <c r="J743" s="216"/>
      <c r="K743" s="5"/>
      <c r="L743" s="5"/>
      <c r="M743" s="5"/>
      <c r="N743" s="5"/>
      <c r="O743" s="5"/>
      <c r="P743" s="5"/>
      <c r="Q743" s="5"/>
      <c r="R743" s="5"/>
    </row>
    <row r="744" ht="12.75" hidden="1" customHeight="1">
      <c r="A744" s="213"/>
      <c r="B744" s="214"/>
      <c r="C744" s="216"/>
      <c r="D744" s="216"/>
      <c r="E744" s="216"/>
      <c r="F744" s="216"/>
      <c r="G744" s="216"/>
      <c r="H744" s="216"/>
      <c r="I744" s="216"/>
      <c r="J744" s="216"/>
      <c r="K744" s="5"/>
      <c r="L744" s="5"/>
      <c r="M744" s="5"/>
      <c r="N744" s="5"/>
      <c r="O744" s="5"/>
      <c r="P744" s="5"/>
      <c r="Q744" s="5"/>
      <c r="R744" s="5"/>
    </row>
    <row r="745" ht="12.75" hidden="1" customHeight="1">
      <c r="A745" s="213"/>
      <c r="B745" s="214"/>
      <c r="C745" s="216"/>
      <c r="D745" s="216"/>
      <c r="E745" s="216"/>
      <c r="F745" s="216"/>
      <c r="G745" s="216"/>
      <c r="H745" s="216"/>
      <c r="I745" s="216"/>
      <c r="J745" s="216"/>
      <c r="K745" s="5"/>
      <c r="L745" s="5"/>
      <c r="M745" s="5"/>
      <c r="N745" s="5"/>
      <c r="O745" s="5"/>
      <c r="P745" s="5"/>
      <c r="Q745" s="5"/>
      <c r="R745" s="5"/>
    </row>
    <row r="746" ht="12.75" hidden="1" customHeight="1">
      <c r="A746" s="213"/>
      <c r="B746" s="214"/>
      <c r="C746" s="216"/>
      <c r="D746" s="216"/>
      <c r="E746" s="216"/>
      <c r="F746" s="216"/>
      <c r="G746" s="216"/>
      <c r="H746" s="216"/>
      <c r="I746" s="216"/>
      <c r="J746" s="216"/>
      <c r="K746" s="5"/>
      <c r="L746" s="5"/>
      <c r="M746" s="5"/>
      <c r="N746" s="5"/>
      <c r="O746" s="5"/>
      <c r="P746" s="5"/>
      <c r="Q746" s="5"/>
      <c r="R746" s="5"/>
    </row>
    <row r="747" ht="12.75" hidden="1" customHeight="1">
      <c r="A747" s="213"/>
      <c r="B747" s="214"/>
      <c r="C747" s="216"/>
      <c r="D747" s="216"/>
      <c r="E747" s="216"/>
      <c r="F747" s="216"/>
      <c r="G747" s="216"/>
      <c r="H747" s="216"/>
      <c r="I747" s="216"/>
      <c r="J747" s="216"/>
      <c r="K747" s="5"/>
      <c r="L747" s="5"/>
      <c r="M747" s="5"/>
      <c r="N747" s="5"/>
      <c r="O747" s="5"/>
      <c r="P747" s="5"/>
      <c r="Q747" s="5"/>
      <c r="R747" s="5"/>
    </row>
    <row r="748" ht="12.75" hidden="1" customHeight="1">
      <c r="A748" s="213"/>
      <c r="B748" s="214"/>
      <c r="C748" s="216"/>
      <c r="D748" s="216"/>
      <c r="E748" s="216"/>
      <c r="F748" s="216"/>
      <c r="G748" s="216"/>
      <c r="H748" s="216"/>
      <c r="I748" s="216"/>
      <c r="J748" s="216"/>
      <c r="K748" s="5"/>
      <c r="L748" s="5"/>
      <c r="M748" s="5"/>
      <c r="N748" s="5"/>
      <c r="O748" s="5"/>
      <c r="P748" s="5"/>
      <c r="Q748" s="5"/>
      <c r="R748" s="5"/>
    </row>
    <row r="749" ht="12.75" hidden="1" customHeight="1">
      <c r="A749" s="213"/>
      <c r="B749" s="214"/>
      <c r="C749" s="216"/>
      <c r="D749" s="216"/>
      <c r="E749" s="216"/>
      <c r="F749" s="216"/>
      <c r="G749" s="216"/>
      <c r="H749" s="216"/>
      <c r="I749" s="216"/>
      <c r="J749" s="216"/>
      <c r="K749" s="5"/>
      <c r="L749" s="5"/>
      <c r="M749" s="5"/>
      <c r="N749" s="5"/>
      <c r="O749" s="5"/>
      <c r="P749" s="5"/>
      <c r="Q749" s="5"/>
      <c r="R749" s="5"/>
    </row>
    <row r="750" ht="12.75" hidden="1" customHeight="1">
      <c r="A750" s="213"/>
      <c r="B750" s="214"/>
      <c r="C750" s="216"/>
      <c r="D750" s="216"/>
      <c r="E750" s="216"/>
      <c r="F750" s="216"/>
      <c r="G750" s="216"/>
      <c r="H750" s="216"/>
      <c r="I750" s="216"/>
      <c r="J750" s="216"/>
      <c r="K750" s="5"/>
      <c r="L750" s="5"/>
      <c r="M750" s="5"/>
      <c r="N750" s="5"/>
      <c r="O750" s="5"/>
      <c r="P750" s="5"/>
      <c r="Q750" s="5"/>
      <c r="R750" s="5"/>
    </row>
    <row r="751" ht="12.75" hidden="1" customHeight="1">
      <c r="A751" s="213"/>
      <c r="B751" s="214"/>
      <c r="C751" s="216"/>
      <c r="D751" s="216"/>
      <c r="E751" s="216"/>
      <c r="F751" s="216"/>
      <c r="G751" s="216"/>
      <c r="H751" s="216"/>
      <c r="I751" s="216"/>
      <c r="J751" s="216"/>
      <c r="K751" s="5"/>
      <c r="L751" s="5"/>
      <c r="M751" s="5"/>
      <c r="N751" s="5"/>
      <c r="O751" s="5"/>
      <c r="P751" s="5"/>
      <c r="Q751" s="5"/>
      <c r="R751" s="5"/>
    </row>
    <row r="752" ht="12.75" hidden="1" customHeight="1">
      <c r="A752" s="213"/>
      <c r="B752" s="214"/>
      <c r="C752" s="216"/>
      <c r="D752" s="216"/>
      <c r="E752" s="216"/>
      <c r="F752" s="216"/>
      <c r="G752" s="216"/>
      <c r="H752" s="216"/>
      <c r="I752" s="216"/>
      <c r="J752" s="216"/>
      <c r="K752" s="5"/>
      <c r="L752" s="5"/>
      <c r="M752" s="5"/>
      <c r="N752" s="5"/>
      <c r="O752" s="5"/>
      <c r="P752" s="5"/>
      <c r="Q752" s="5"/>
      <c r="R752" s="5"/>
    </row>
    <row r="753" ht="12.75" hidden="1" customHeight="1">
      <c r="A753" s="213"/>
      <c r="B753" s="214"/>
      <c r="C753" s="216"/>
      <c r="D753" s="216"/>
      <c r="E753" s="216"/>
      <c r="F753" s="216"/>
      <c r="G753" s="216"/>
      <c r="H753" s="216"/>
      <c r="I753" s="216"/>
      <c r="J753" s="216"/>
      <c r="K753" s="5"/>
      <c r="L753" s="5"/>
      <c r="M753" s="5"/>
      <c r="N753" s="5"/>
      <c r="O753" s="5"/>
      <c r="P753" s="5"/>
      <c r="Q753" s="5"/>
      <c r="R753" s="5"/>
    </row>
    <row r="754" ht="12.75" hidden="1" customHeight="1">
      <c r="A754" s="213"/>
      <c r="B754" s="214"/>
      <c r="C754" s="216"/>
      <c r="D754" s="216"/>
      <c r="E754" s="216"/>
      <c r="F754" s="216"/>
      <c r="G754" s="216"/>
      <c r="H754" s="216"/>
      <c r="I754" s="216"/>
      <c r="J754" s="216"/>
      <c r="K754" s="5"/>
      <c r="L754" s="5"/>
      <c r="M754" s="5"/>
      <c r="N754" s="5"/>
      <c r="O754" s="5"/>
      <c r="P754" s="5"/>
      <c r="Q754" s="5"/>
      <c r="R754" s="5"/>
    </row>
    <row r="755" ht="12.75" hidden="1" customHeight="1">
      <c r="A755" s="213"/>
      <c r="B755" s="214"/>
      <c r="C755" s="216"/>
      <c r="D755" s="216"/>
      <c r="E755" s="216"/>
      <c r="F755" s="216"/>
      <c r="G755" s="216"/>
      <c r="H755" s="216"/>
      <c r="I755" s="216"/>
      <c r="J755" s="216"/>
      <c r="K755" s="5"/>
      <c r="L755" s="5"/>
      <c r="M755" s="5"/>
      <c r="N755" s="5"/>
      <c r="O755" s="5"/>
      <c r="P755" s="5"/>
      <c r="Q755" s="5"/>
      <c r="R755" s="5"/>
    </row>
    <row r="756" ht="12.75" hidden="1" customHeight="1">
      <c r="A756" s="213"/>
      <c r="B756" s="214"/>
      <c r="C756" s="216"/>
      <c r="D756" s="216"/>
      <c r="E756" s="216"/>
      <c r="F756" s="216"/>
      <c r="G756" s="216"/>
      <c r="H756" s="216"/>
      <c r="I756" s="216"/>
      <c r="J756" s="216"/>
      <c r="K756" s="5"/>
      <c r="L756" s="5"/>
      <c r="M756" s="5"/>
      <c r="N756" s="5"/>
      <c r="O756" s="5"/>
      <c r="P756" s="5"/>
      <c r="Q756" s="5"/>
      <c r="R756" s="5"/>
    </row>
    <row r="757" ht="12.75" hidden="1" customHeight="1">
      <c r="A757" s="213"/>
      <c r="B757" s="214"/>
      <c r="C757" s="216"/>
      <c r="D757" s="216"/>
      <c r="E757" s="216"/>
      <c r="F757" s="216"/>
      <c r="G757" s="216"/>
      <c r="H757" s="216"/>
      <c r="I757" s="216"/>
      <c r="J757" s="216"/>
      <c r="K757" s="5"/>
      <c r="L757" s="5"/>
      <c r="M757" s="5"/>
      <c r="N757" s="5"/>
      <c r="O757" s="5"/>
      <c r="P757" s="5"/>
      <c r="Q757" s="5"/>
      <c r="R757" s="5"/>
    </row>
    <row r="758" ht="12.75" hidden="1" customHeight="1">
      <c r="A758" s="213"/>
      <c r="B758" s="214"/>
      <c r="C758" s="216"/>
      <c r="D758" s="216"/>
      <c r="E758" s="216"/>
      <c r="F758" s="216"/>
      <c r="G758" s="216"/>
      <c r="H758" s="216"/>
      <c r="I758" s="216"/>
      <c r="J758" s="216"/>
      <c r="K758" s="5"/>
      <c r="L758" s="5"/>
      <c r="M758" s="5"/>
      <c r="N758" s="5"/>
      <c r="O758" s="5"/>
      <c r="P758" s="5"/>
      <c r="Q758" s="5"/>
      <c r="R758" s="5"/>
    </row>
    <row r="759" ht="12.75" hidden="1" customHeight="1">
      <c r="A759" s="213"/>
      <c r="B759" s="214"/>
      <c r="C759" s="216"/>
      <c r="D759" s="216"/>
      <c r="E759" s="216"/>
      <c r="F759" s="216"/>
      <c r="G759" s="216"/>
      <c r="H759" s="216"/>
      <c r="I759" s="216"/>
      <c r="J759" s="216"/>
      <c r="K759" s="5"/>
      <c r="L759" s="5"/>
      <c r="M759" s="5"/>
      <c r="N759" s="5"/>
      <c r="O759" s="5"/>
      <c r="P759" s="5"/>
      <c r="Q759" s="5"/>
      <c r="R759" s="5"/>
    </row>
    <row r="760" ht="12.75" hidden="1" customHeight="1">
      <c r="A760" s="213"/>
      <c r="B760" s="214"/>
      <c r="C760" s="216"/>
      <c r="D760" s="216"/>
      <c r="E760" s="216"/>
      <c r="F760" s="216"/>
      <c r="G760" s="216"/>
      <c r="H760" s="216"/>
      <c r="I760" s="216"/>
      <c r="J760" s="216"/>
      <c r="K760" s="5"/>
      <c r="L760" s="5"/>
      <c r="M760" s="5"/>
      <c r="N760" s="5"/>
      <c r="O760" s="5"/>
      <c r="P760" s="5"/>
      <c r="Q760" s="5"/>
      <c r="R760" s="5"/>
    </row>
    <row r="761" ht="12.75" hidden="1" customHeight="1">
      <c r="A761" s="213"/>
      <c r="B761" s="214"/>
      <c r="C761" s="216"/>
      <c r="D761" s="216"/>
      <c r="E761" s="216"/>
      <c r="F761" s="216"/>
      <c r="G761" s="216"/>
      <c r="H761" s="216"/>
      <c r="I761" s="216"/>
      <c r="J761" s="216"/>
      <c r="K761" s="5"/>
      <c r="L761" s="5"/>
      <c r="M761" s="5"/>
      <c r="N761" s="5"/>
      <c r="O761" s="5"/>
      <c r="P761" s="5"/>
      <c r="Q761" s="5"/>
      <c r="R761" s="5"/>
    </row>
    <row r="762" ht="12.75" hidden="1" customHeight="1">
      <c r="A762" s="213"/>
      <c r="B762" s="214"/>
      <c r="C762" s="216"/>
      <c r="D762" s="216"/>
      <c r="E762" s="216"/>
      <c r="F762" s="216"/>
      <c r="G762" s="216"/>
      <c r="H762" s="216"/>
      <c r="I762" s="216"/>
      <c r="J762" s="216"/>
      <c r="K762" s="5"/>
      <c r="L762" s="5"/>
      <c r="M762" s="5"/>
      <c r="N762" s="5"/>
      <c r="O762" s="5"/>
      <c r="P762" s="5"/>
      <c r="Q762" s="5"/>
      <c r="R762" s="5"/>
    </row>
    <row r="763" ht="12.75" hidden="1" customHeight="1">
      <c r="A763" s="213"/>
      <c r="B763" s="214"/>
      <c r="C763" s="216"/>
      <c r="D763" s="216"/>
      <c r="E763" s="216"/>
      <c r="F763" s="216"/>
      <c r="G763" s="216"/>
      <c r="H763" s="216"/>
      <c r="I763" s="216"/>
      <c r="J763" s="216"/>
      <c r="K763" s="5"/>
      <c r="L763" s="5"/>
      <c r="M763" s="5"/>
      <c r="N763" s="5"/>
      <c r="O763" s="5"/>
      <c r="P763" s="5"/>
      <c r="Q763" s="5"/>
      <c r="R763" s="5"/>
    </row>
    <row r="764" ht="12.75" hidden="1" customHeight="1">
      <c r="A764" s="213"/>
      <c r="B764" s="214"/>
      <c r="C764" s="216"/>
      <c r="D764" s="216"/>
      <c r="E764" s="216"/>
      <c r="F764" s="216"/>
      <c r="G764" s="216"/>
      <c r="H764" s="216"/>
      <c r="I764" s="216"/>
      <c r="J764" s="216"/>
      <c r="K764" s="5"/>
      <c r="L764" s="5"/>
      <c r="M764" s="5"/>
      <c r="N764" s="5"/>
      <c r="O764" s="5"/>
      <c r="P764" s="5"/>
      <c r="Q764" s="5"/>
      <c r="R764" s="5"/>
    </row>
    <row r="765" ht="12.75" hidden="1" customHeight="1">
      <c r="A765" s="213"/>
      <c r="B765" s="214"/>
      <c r="C765" s="216"/>
      <c r="D765" s="216"/>
      <c r="E765" s="216"/>
      <c r="F765" s="216"/>
      <c r="G765" s="216"/>
      <c r="H765" s="216"/>
      <c r="I765" s="216"/>
      <c r="J765" s="216"/>
      <c r="K765" s="5"/>
      <c r="L765" s="5"/>
      <c r="M765" s="5"/>
      <c r="N765" s="5"/>
      <c r="O765" s="5"/>
      <c r="P765" s="5"/>
      <c r="Q765" s="5"/>
      <c r="R765" s="5"/>
    </row>
    <row r="766" ht="12.75" hidden="1" customHeight="1">
      <c r="A766" s="213"/>
      <c r="B766" s="214"/>
      <c r="C766" s="216"/>
      <c r="D766" s="216"/>
      <c r="E766" s="216"/>
      <c r="F766" s="216"/>
      <c r="G766" s="216"/>
      <c r="H766" s="216"/>
      <c r="I766" s="216"/>
      <c r="J766" s="216"/>
      <c r="K766" s="5"/>
      <c r="L766" s="5"/>
      <c r="M766" s="5"/>
      <c r="N766" s="5"/>
      <c r="O766" s="5"/>
      <c r="P766" s="5"/>
      <c r="Q766" s="5"/>
      <c r="R766" s="5"/>
    </row>
    <row r="767" ht="12.75" hidden="1" customHeight="1">
      <c r="A767" s="213"/>
      <c r="B767" s="214"/>
      <c r="C767" s="216"/>
      <c r="D767" s="216"/>
      <c r="E767" s="216"/>
      <c r="F767" s="216"/>
      <c r="G767" s="216"/>
      <c r="H767" s="216"/>
      <c r="I767" s="216"/>
      <c r="J767" s="216"/>
      <c r="K767" s="5"/>
      <c r="L767" s="5"/>
      <c r="M767" s="5"/>
      <c r="N767" s="5"/>
      <c r="O767" s="5"/>
      <c r="P767" s="5"/>
      <c r="Q767" s="5"/>
      <c r="R767" s="5"/>
    </row>
    <row r="768" ht="12.75" hidden="1" customHeight="1">
      <c r="A768" s="213"/>
      <c r="B768" s="214"/>
      <c r="C768" s="216"/>
      <c r="D768" s="216"/>
      <c r="E768" s="216"/>
      <c r="F768" s="216"/>
      <c r="G768" s="216"/>
      <c r="H768" s="216"/>
      <c r="I768" s="216"/>
      <c r="J768" s="216"/>
      <c r="K768" s="5"/>
      <c r="L768" s="5"/>
      <c r="M768" s="5"/>
      <c r="N768" s="5"/>
      <c r="O768" s="5"/>
      <c r="P768" s="5"/>
      <c r="Q768" s="5"/>
      <c r="R768" s="5"/>
    </row>
    <row r="769" ht="12.75" hidden="1" customHeight="1">
      <c r="A769" s="213"/>
      <c r="B769" s="214"/>
      <c r="C769" s="216"/>
      <c r="D769" s="216"/>
      <c r="E769" s="216"/>
      <c r="F769" s="216"/>
      <c r="G769" s="216"/>
      <c r="H769" s="216"/>
      <c r="I769" s="216"/>
      <c r="J769" s="216"/>
      <c r="K769" s="5"/>
      <c r="L769" s="5"/>
      <c r="M769" s="5"/>
      <c r="N769" s="5"/>
      <c r="O769" s="5"/>
      <c r="P769" s="5"/>
      <c r="Q769" s="5"/>
      <c r="R769" s="5"/>
    </row>
    <row r="770" ht="12.75" hidden="1" customHeight="1">
      <c r="A770" s="213"/>
      <c r="B770" s="214"/>
      <c r="C770" s="216"/>
      <c r="D770" s="216"/>
      <c r="E770" s="216"/>
      <c r="F770" s="216"/>
      <c r="G770" s="216"/>
      <c r="H770" s="216"/>
      <c r="I770" s="216"/>
      <c r="J770" s="216"/>
      <c r="K770" s="5"/>
      <c r="L770" s="5"/>
      <c r="M770" s="5"/>
      <c r="N770" s="5"/>
      <c r="O770" s="5"/>
      <c r="P770" s="5"/>
      <c r="Q770" s="5"/>
      <c r="R770" s="5"/>
    </row>
    <row r="771" ht="12.75" hidden="1" customHeight="1">
      <c r="A771" s="213"/>
      <c r="B771" s="214"/>
      <c r="C771" s="216"/>
      <c r="D771" s="216"/>
      <c r="E771" s="216"/>
      <c r="F771" s="216"/>
      <c r="G771" s="216"/>
      <c r="H771" s="216"/>
      <c r="I771" s="216"/>
      <c r="J771" s="216"/>
      <c r="K771" s="5"/>
      <c r="L771" s="5"/>
      <c r="M771" s="5"/>
      <c r="N771" s="5"/>
      <c r="O771" s="5"/>
      <c r="P771" s="5"/>
      <c r="Q771" s="5"/>
      <c r="R771" s="5"/>
    </row>
    <row r="772" ht="12.75" hidden="1" customHeight="1">
      <c r="A772" s="213"/>
      <c r="B772" s="214"/>
      <c r="C772" s="216"/>
      <c r="D772" s="216"/>
      <c r="E772" s="216"/>
      <c r="F772" s="216"/>
      <c r="G772" s="216"/>
      <c r="H772" s="216"/>
      <c r="I772" s="216"/>
      <c r="J772" s="216"/>
      <c r="K772" s="5"/>
      <c r="L772" s="5"/>
      <c r="M772" s="5"/>
      <c r="N772" s="5"/>
      <c r="O772" s="5"/>
      <c r="P772" s="5"/>
      <c r="Q772" s="5"/>
      <c r="R772" s="5"/>
    </row>
    <row r="773" ht="12.75" hidden="1" customHeight="1">
      <c r="A773" s="213"/>
      <c r="B773" s="214"/>
      <c r="C773" s="216"/>
      <c r="D773" s="216"/>
      <c r="E773" s="216"/>
      <c r="F773" s="216"/>
      <c r="G773" s="216"/>
      <c r="H773" s="216"/>
      <c r="I773" s="216"/>
      <c r="J773" s="216"/>
      <c r="K773" s="5"/>
      <c r="L773" s="5"/>
      <c r="M773" s="5"/>
      <c r="N773" s="5"/>
      <c r="O773" s="5"/>
      <c r="P773" s="5"/>
      <c r="Q773" s="5"/>
      <c r="R773" s="5"/>
    </row>
    <row r="774" ht="12.75" hidden="1" customHeight="1">
      <c r="A774" s="213"/>
      <c r="B774" s="214"/>
      <c r="C774" s="216"/>
      <c r="D774" s="216"/>
      <c r="E774" s="216"/>
      <c r="F774" s="216"/>
      <c r="G774" s="216"/>
      <c r="H774" s="216"/>
      <c r="I774" s="216"/>
      <c r="J774" s="216"/>
      <c r="K774" s="5"/>
      <c r="L774" s="5"/>
      <c r="M774" s="5"/>
      <c r="N774" s="5"/>
      <c r="O774" s="5"/>
      <c r="P774" s="5"/>
      <c r="Q774" s="5"/>
      <c r="R774" s="5"/>
    </row>
    <row r="775" ht="12.75" hidden="1" customHeight="1">
      <c r="A775" s="213"/>
      <c r="B775" s="214"/>
      <c r="C775" s="216"/>
      <c r="D775" s="216"/>
      <c r="E775" s="216"/>
      <c r="F775" s="216"/>
      <c r="G775" s="216"/>
      <c r="H775" s="216"/>
      <c r="I775" s="216"/>
      <c r="J775" s="216"/>
      <c r="K775" s="5"/>
      <c r="L775" s="5"/>
      <c r="M775" s="5"/>
      <c r="N775" s="5"/>
      <c r="O775" s="5"/>
      <c r="P775" s="5"/>
      <c r="Q775" s="5"/>
      <c r="R775" s="5"/>
    </row>
    <row r="776" ht="12.75" hidden="1" customHeight="1">
      <c r="A776" s="213"/>
      <c r="B776" s="214"/>
      <c r="C776" s="216"/>
      <c r="D776" s="216"/>
      <c r="E776" s="216"/>
      <c r="F776" s="216"/>
      <c r="G776" s="216"/>
      <c r="H776" s="216"/>
      <c r="I776" s="216"/>
      <c r="J776" s="216"/>
      <c r="K776" s="5"/>
      <c r="L776" s="5"/>
      <c r="M776" s="5"/>
      <c r="N776" s="5"/>
      <c r="O776" s="5"/>
      <c r="P776" s="5"/>
      <c r="Q776" s="5"/>
      <c r="R776" s="5"/>
    </row>
    <row r="777" ht="12.75" hidden="1" customHeight="1">
      <c r="A777" s="213"/>
      <c r="B777" s="214"/>
      <c r="C777" s="216"/>
      <c r="D777" s="216"/>
      <c r="E777" s="216"/>
      <c r="F777" s="216"/>
      <c r="G777" s="216"/>
      <c r="H777" s="216"/>
      <c r="I777" s="216"/>
      <c r="J777" s="216"/>
      <c r="K777" s="5"/>
      <c r="L777" s="5"/>
      <c r="M777" s="5"/>
      <c r="N777" s="5"/>
      <c r="O777" s="5"/>
      <c r="P777" s="5"/>
      <c r="Q777" s="5"/>
      <c r="R777" s="5"/>
    </row>
    <row r="778" ht="12.75" hidden="1" customHeight="1">
      <c r="A778" s="213"/>
      <c r="B778" s="214"/>
      <c r="C778" s="216"/>
      <c r="D778" s="216"/>
      <c r="E778" s="216"/>
      <c r="F778" s="216"/>
      <c r="G778" s="216"/>
      <c r="H778" s="216"/>
      <c r="I778" s="216"/>
      <c r="J778" s="216"/>
      <c r="K778" s="5"/>
      <c r="L778" s="5"/>
      <c r="M778" s="5"/>
      <c r="N778" s="5"/>
      <c r="O778" s="5"/>
      <c r="P778" s="5"/>
      <c r="Q778" s="5"/>
      <c r="R778" s="5"/>
    </row>
    <row r="779" ht="12.75" hidden="1" customHeight="1">
      <c r="A779" s="213"/>
      <c r="B779" s="214"/>
      <c r="C779" s="216"/>
      <c r="D779" s="216"/>
      <c r="E779" s="216"/>
      <c r="F779" s="216"/>
      <c r="G779" s="216"/>
      <c r="H779" s="216"/>
      <c r="I779" s="216"/>
      <c r="J779" s="216"/>
      <c r="K779" s="5"/>
      <c r="L779" s="5"/>
      <c r="M779" s="5"/>
      <c r="N779" s="5"/>
      <c r="O779" s="5"/>
      <c r="P779" s="5"/>
      <c r="Q779" s="5"/>
      <c r="R779" s="5"/>
    </row>
    <row r="780" ht="12.75" hidden="1" customHeight="1">
      <c r="A780" s="213"/>
      <c r="B780" s="214"/>
      <c r="C780" s="216"/>
      <c r="D780" s="216"/>
      <c r="E780" s="216"/>
      <c r="F780" s="216"/>
      <c r="G780" s="216"/>
      <c r="H780" s="216"/>
      <c r="I780" s="216"/>
      <c r="J780" s="216"/>
      <c r="K780" s="5"/>
      <c r="L780" s="5"/>
      <c r="M780" s="5"/>
      <c r="N780" s="5"/>
      <c r="O780" s="5"/>
      <c r="P780" s="5"/>
      <c r="Q780" s="5"/>
      <c r="R780" s="5"/>
    </row>
    <row r="781" ht="12.75" hidden="1" customHeight="1">
      <c r="A781" s="213"/>
      <c r="B781" s="214"/>
      <c r="C781" s="216"/>
      <c r="D781" s="216"/>
      <c r="E781" s="216"/>
      <c r="F781" s="216"/>
      <c r="G781" s="216"/>
      <c r="H781" s="216"/>
      <c r="I781" s="216"/>
      <c r="J781" s="216"/>
      <c r="K781" s="5"/>
      <c r="L781" s="5"/>
      <c r="M781" s="5"/>
      <c r="N781" s="5"/>
      <c r="O781" s="5"/>
      <c r="P781" s="5"/>
      <c r="Q781" s="5"/>
      <c r="R781" s="5"/>
    </row>
    <row r="782" ht="12.75" hidden="1" customHeight="1">
      <c r="A782" s="213"/>
      <c r="B782" s="214"/>
      <c r="C782" s="216"/>
      <c r="D782" s="216"/>
      <c r="E782" s="216"/>
      <c r="F782" s="216"/>
      <c r="G782" s="216"/>
      <c r="H782" s="216"/>
      <c r="I782" s="216"/>
      <c r="J782" s="216"/>
      <c r="K782" s="5"/>
      <c r="L782" s="5"/>
      <c r="M782" s="5"/>
      <c r="N782" s="5"/>
      <c r="O782" s="5"/>
      <c r="P782" s="5"/>
      <c r="Q782" s="5"/>
      <c r="R782" s="5"/>
    </row>
    <row r="783" ht="12.75" hidden="1" customHeight="1">
      <c r="A783" s="213"/>
      <c r="B783" s="214"/>
      <c r="C783" s="216"/>
      <c r="D783" s="216"/>
      <c r="E783" s="216"/>
      <c r="F783" s="216"/>
      <c r="G783" s="216"/>
      <c r="H783" s="216"/>
      <c r="I783" s="216"/>
      <c r="J783" s="216"/>
      <c r="K783" s="5"/>
      <c r="L783" s="5"/>
      <c r="M783" s="5"/>
      <c r="N783" s="5"/>
      <c r="O783" s="5"/>
      <c r="P783" s="5"/>
      <c r="Q783" s="5"/>
      <c r="R783" s="5"/>
    </row>
    <row r="784" ht="12.75" hidden="1" customHeight="1">
      <c r="A784" s="213"/>
      <c r="B784" s="214"/>
      <c r="C784" s="216"/>
      <c r="D784" s="216"/>
      <c r="E784" s="216"/>
      <c r="F784" s="216"/>
      <c r="G784" s="216"/>
      <c r="H784" s="216"/>
      <c r="I784" s="216"/>
      <c r="J784" s="216"/>
      <c r="K784" s="5"/>
      <c r="L784" s="5"/>
      <c r="M784" s="5"/>
      <c r="N784" s="5"/>
      <c r="O784" s="5"/>
      <c r="P784" s="5"/>
      <c r="Q784" s="5"/>
      <c r="R784" s="5"/>
    </row>
    <row r="785" ht="12.75" hidden="1" customHeight="1">
      <c r="A785" s="213"/>
      <c r="B785" s="214"/>
      <c r="C785" s="216"/>
      <c r="D785" s="216"/>
      <c r="E785" s="216"/>
      <c r="F785" s="216"/>
      <c r="G785" s="216"/>
      <c r="H785" s="216"/>
      <c r="I785" s="216"/>
      <c r="J785" s="216"/>
      <c r="K785" s="5"/>
      <c r="L785" s="5"/>
      <c r="M785" s="5"/>
      <c r="N785" s="5"/>
      <c r="O785" s="5"/>
      <c r="P785" s="5"/>
      <c r="Q785" s="5"/>
      <c r="R785" s="5"/>
    </row>
    <row r="786" ht="12.75" hidden="1" customHeight="1">
      <c r="A786" s="213"/>
      <c r="B786" s="214"/>
      <c r="C786" s="216"/>
      <c r="D786" s="216"/>
      <c r="E786" s="216"/>
      <c r="F786" s="216"/>
      <c r="G786" s="216"/>
      <c r="H786" s="216"/>
      <c r="I786" s="216"/>
      <c r="J786" s="216"/>
      <c r="K786" s="5"/>
      <c r="L786" s="5"/>
      <c r="M786" s="5"/>
      <c r="N786" s="5"/>
      <c r="O786" s="5"/>
      <c r="P786" s="5"/>
      <c r="Q786" s="5"/>
      <c r="R786" s="5"/>
    </row>
    <row r="787" ht="12.75" hidden="1" customHeight="1">
      <c r="A787" s="213"/>
      <c r="B787" s="214"/>
      <c r="C787" s="216"/>
      <c r="D787" s="216"/>
      <c r="E787" s="216"/>
      <c r="F787" s="216"/>
      <c r="G787" s="216"/>
      <c r="H787" s="216"/>
      <c r="I787" s="216"/>
      <c r="J787" s="216"/>
      <c r="K787" s="5"/>
      <c r="L787" s="5"/>
      <c r="M787" s="5"/>
      <c r="N787" s="5"/>
      <c r="O787" s="5"/>
      <c r="P787" s="5"/>
      <c r="Q787" s="5"/>
      <c r="R787" s="5"/>
    </row>
    <row r="788" ht="12.75" hidden="1" customHeight="1">
      <c r="A788" s="213"/>
      <c r="B788" s="214"/>
      <c r="C788" s="216"/>
      <c r="D788" s="216"/>
      <c r="E788" s="216"/>
      <c r="F788" s="216"/>
      <c r="G788" s="216"/>
      <c r="H788" s="216"/>
      <c r="I788" s="216"/>
      <c r="J788" s="216"/>
      <c r="K788" s="5"/>
      <c r="L788" s="5"/>
      <c r="M788" s="5"/>
      <c r="N788" s="5"/>
      <c r="O788" s="5"/>
      <c r="P788" s="5"/>
      <c r="Q788" s="5"/>
      <c r="R788" s="5"/>
    </row>
    <row r="789" ht="12.75" hidden="1" customHeight="1">
      <c r="A789" s="213"/>
      <c r="B789" s="214"/>
      <c r="C789" s="216"/>
      <c r="D789" s="216"/>
      <c r="E789" s="216"/>
      <c r="F789" s="216"/>
      <c r="G789" s="216"/>
      <c r="H789" s="216"/>
      <c r="I789" s="216"/>
      <c r="J789" s="216"/>
      <c r="K789" s="5"/>
      <c r="L789" s="5"/>
      <c r="M789" s="5"/>
      <c r="N789" s="5"/>
      <c r="O789" s="5"/>
      <c r="P789" s="5"/>
      <c r="Q789" s="5"/>
      <c r="R789" s="5"/>
    </row>
    <row r="790" ht="12.75" hidden="1" customHeight="1">
      <c r="A790" s="213"/>
      <c r="B790" s="214"/>
      <c r="C790" s="216"/>
      <c r="D790" s="216"/>
      <c r="E790" s="216"/>
      <c r="F790" s="216"/>
      <c r="G790" s="216"/>
      <c r="H790" s="216"/>
      <c r="I790" s="216"/>
      <c r="J790" s="216"/>
      <c r="K790" s="5"/>
      <c r="L790" s="5"/>
      <c r="M790" s="5"/>
      <c r="N790" s="5"/>
      <c r="O790" s="5"/>
      <c r="P790" s="5"/>
      <c r="Q790" s="5"/>
      <c r="R790" s="5"/>
    </row>
    <row r="791" ht="12.75" hidden="1" customHeight="1">
      <c r="A791" s="213"/>
      <c r="B791" s="214"/>
      <c r="C791" s="216"/>
      <c r="D791" s="216"/>
      <c r="E791" s="216"/>
      <c r="F791" s="216"/>
      <c r="G791" s="216"/>
      <c r="H791" s="216"/>
      <c r="I791" s="216"/>
      <c r="J791" s="216"/>
      <c r="K791" s="5"/>
      <c r="L791" s="5"/>
      <c r="M791" s="5"/>
      <c r="N791" s="5"/>
      <c r="O791" s="5"/>
      <c r="P791" s="5"/>
      <c r="Q791" s="5"/>
      <c r="R791" s="5"/>
    </row>
    <row r="792" ht="12.75" hidden="1" customHeight="1">
      <c r="A792" s="213"/>
      <c r="B792" s="214"/>
      <c r="C792" s="216"/>
      <c r="D792" s="216"/>
      <c r="E792" s="216"/>
      <c r="F792" s="216"/>
      <c r="G792" s="216"/>
      <c r="H792" s="216"/>
      <c r="I792" s="216"/>
      <c r="J792" s="216"/>
      <c r="K792" s="5"/>
      <c r="L792" s="5"/>
      <c r="M792" s="5"/>
      <c r="N792" s="5"/>
      <c r="O792" s="5"/>
      <c r="P792" s="5"/>
      <c r="Q792" s="5"/>
      <c r="R792" s="5"/>
    </row>
    <row r="793" ht="12.75" hidden="1" customHeight="1">
      <c r="A793" s="213"/>
      <c r="B793" s="214"/>
      <c r="C793" s="216"/>
      <c r="D793" s="216"/>
      <c r="E793" s="216"/>
      <c r="F793" s="216"/>
      <c r="G793" s="216"/>
      <c r="H793" s="216"/>
      <c r="I793" s="216"/>
      <c r="J793" s="216"/>
      <c r="K793" s="5"/>
      <c r="L793" s="5"/>
      <c r="M793" s="5"/>
      <c r="N793" s="5"/>
      <c r="O793" s="5"/>
      <c r="P793" s="5"/>
      <c r="Q793" s="5"/>
      <c r="R793" s="5"/>
    </row>
    <row r="794" ht="12.75" hidden="1" customHeight="1">
      <c r="A794" s="213"/>
      <c r="B794" s="214"/>
      <c r="C794" s="216"/>
      <c r="D794" s="216"/>
      <c r="E794" s="216"/>
      <c r="F794" s="216"/>
      <c r="G794" s="216"/>
      <c r="H794" s="216"/>
      <c r="I794" s="216"/>
      <c r="J794" s="216"/>
      <c r="K794" s="5"/>
      <c r="L794" s="5"/>
      <c r="M794" s="5"/>
      <c r="N794" s="5"/>
      <c r="O794" s="5"/>
      <c r="P794" s="5"/>
      <c r="Q794" s="5"/>
      <c r="R794" s="5"/>
    </row>
    <row r="795" ht="12.75" hidden="1" customHeight="1">
      <c r="A795" s="213"/>
      <c r="B795" s="214"/>
      <c r="C795" s="216"/>
      <c r="D795" s="216"/>
      <c r="E795" s="216"/>
      <c r="F795" s="216"/>
      <c r="G795" s="216"/>
      <c r="H795" s="216"/>
      <c r="I795" s="216"/>
      <c r="J795" s="216"/>
      <c r="K795" s="5"/>
      <c r="L795" s="5"/>
      <c r="M795" s="5"/>
      <c r="N795" s="5"/>
      <c r="O795" s="5"/>
      <c r="P795" s="5"/>
      <c r="Q795" s="5"/>
      <c r="R795" s="5"/>
    </row>
    <row r="796" ht="12.75" hidden="1" customHeight="1">
      <c r="A796" s="213"/>
      <c r="B796" s="214"/>
      <c r="C796" s="216"/>
      <c r="D796" s="216"/>
      <c r="E796" s="216"/>
      <c r="F796" s="216"/>
      <c r="G796" s="216"/>
      <c r="H796" s="216"/>
      <c r="I796" s="216"/>
      <c r="J796" s="216"/>
      <c r="K796" s="5"/>
      <c r="L796" s="5"/>
      <c r="M796" s="5"/>
      <c r="N796" s="5"/>
      <c r="O796" s="5"/>
      <c r="P796" s="5"/>
      <c r="Q796" s="5"/>
      <c r="R796" s="5"/>
    </row>
    <row r="797" ht="12.75" hidden="1" customHeight="1">
      <c r="A797" s="213"/>
      <c r="B797" s="214"/>
      <c r="C797" s="216"/>
      <c r="D797" s="216"/>
      <c r="E797" s="216"/>
      <c r="F797" s="216"/>
      <c r="G797" s="216"/>
      <c r="H797" s="216"/>
      <c r="I797" s="216"/>
      <c r="J797" s="216"/>
      <c r="K797" s="5"/>
      <c r="L797" s="5"/>
      <c r="M797" s="5"/>
      <c r="N797" s="5"/>
      <c r="O797" s="5"/>
      <c r="P797" s="5"/>
      <c r="Q797" s="5"/>
      <c r="R797" s="5"/>
    </row>
    <row r="798" ht="12.75" hidden="1" customHeight="1">
      <c r="A798" s="213"/>
      <c r="B798" s="214"/>
      <c r="C798" s="216"/>
      <c r="D798" s="216"/>
      <c r="E798" s="216"/>
      <c r="F798" s="216"/>
      <c r="G798" s="216"/>
      <c r="H798" s="216"/>
      <c r="I798" s="216"/>
      <c r="J798" s="216"/>
      <c r="K798" s="5"/>
      <c r="L798" s="5"/>
      <c r="M798" s="5"/>
      <c r="N798" s="5"/>
      <c r="O798" s="5"/>
      <c r="P798" s="5"/>
      <c r="Q798" s="5"/>
      <c r="R798" s="5"/>
    </row>
    <row r="799" ht="12.75" hidden="1" customHeight="1">
      <c r="A799" s="213"/>
      <c r="B799" s="214"/>
      <c r="C799" s="216"/>
      <c r="D799" s="216"/>
      <c r="E799" s="216"/>
      <c r="F799" s="216"/>
      <c r="G799" s="216"/>
      <c r="H799" s="216"/>
      <c r="I799" s="216"/>
      <c r="J799" s="216"/>
      <c r="K799" s="5"/>
      <c r="L799" s="5"/>
      <c r="M799" s="5"/>
      <c r="N799" s="5"/>
      <c r="O799" s="5"/>
      <c r="P799" s="5"/>
      <c r="Q799" s="5"/>
      <c r="R799" s="5"/>
    </row>
    <row r="800" ht="12.75" hidden="1" customHeight="1">
      <c r="A800" s="213"/>
      <c r="B800" s="214"/>
      <c r="C800" s="216"/>
      <c r="D800" s="216"/>
      <c r="E800" s="216"/>
      <c r="F800" s="216"/>
      <c r="G800" s="216"/>
      <c r="H800" s="216"/>
      <c r="I800" s="216"/>
      <c r="J800" s="216"/>
      <c r="K800" s="5"/>
      <c r="L800" s="5"/>
      <c r="M800" s="5"/>
      <c r="N800" s="5"/>
      <c r="O800" s="5"/>
      <c r="P800" s="5"/>
      <c r="Q800" s="5"/>
      <c r="R800" s="5"/>
    </row>
    <row r="801" ht="12.75" hidden="1" customHeight="1">
      <c r="A801" s="213"/>
      <c r="B801" s="214"/>
      <c r="C801" s="216"/>
      <c r="D801" s="216"/>
      <c r="E801" s="216"/>
      <c r="F801" s="216"/>
      <c r="G801" s="216"/>
      <c r="H801" s="216"/>
      <c r="I801" s="216"/>
      <c r="J801" s="216"/>
      <c r="K801" s="5"/>
      <c r="L801" s="5"/>
      <c r="M801" s="5"/>
      <c r="N801" s="5"/>
      <c r="O801" s="5"/>
      <c r="P801" s="5"/>
      <c r="Q801" s="5"/>
      <c r="R801" s="5"/>
    </row>
    <row r="802" ht="12.75" hidden="1" customHeight="1">
      <c r="A802" s="213"/>
      <c r="B802" s="214"/>
      <c r="C802" s="216"/>
      <c r="D802" s="216"/>
      <c r="E802" s="216"/>
      <c r="F802" s="216"/>
      <c r="G802" s="216"/>
      <c r="H802" s="216"/>
      <c r="I802" s="216"/>
      <c r="J802" s="216"/>
      <c r="K802" s="5"/>
      <c r="L802" s="5"/>
      <c r="M802" s="5"/>
      <c r="N802" s="5"/>
      <c r="O802" s="5"/>
      <c r="P802" s="5"/>
      <c r="Q802" s="5"/>
      <c r="R802" s="5"/>
    </row>
    <row r="803" ht="12.75" hidden="1" customHeight="1">
      <c r="A803" s="213"/>
      <c r="B803" s="214"/>
      <c r="C803" s="216"/>
      <c r="D803" s="216"/>
      <c r="E803" s="216"/>
      <c r="F803" s="216"/>
      <c r="G803" s="216"/>
      <c r="H803" s="216"/>
      <c r="I803" s="216"/>
      <c r="J803" s="216"/>
      <c r="K803" s="5"/>
      <c r="L803" s="5"/>
      <c r="M803" s="5"/>
      <c r="N803" s="5"/>
      <c r="O803" s="5"/>
      <c r="P803" s="5"/>
      <c r="Q803" s="5"/>
      <c r="R803" s="5"/>
    </row>
    <row r="804" ht="12.75" hidden="1" customHeight="1">
      <c r="A804" s="213"/>
      <c r="B804" s="214"/>
      <c r="C804" s="216"/>
      <c r="D804" s="216"/>
      <c r="E804" s="216"/>
      <c r="F804" s="216"/>
      <c r="G804" s="216"/>
      <c r="H804" s="216"/>
      <c r="I804" s="216"/>
      <c r="J804" s="216"/>
      <c r="K804" s="5"/>
      <c r="L804" s="5"/>
      <c r="M804" s="5"/>
      <c r="N804" s="5"/>
      <c r="O804" s="5"/>
      <c r="P804" s="5"/>
      <c r="Q804" s="5"/>
      <c r="R804" s="5"/>
    </row>
    <row r="805" ht="12.75" hidden="1" customHeight="1">
      <c r="A805" s="213"/>
      <c r="B805" s="214"/>
      <c r="C805" s="216"/>
      <c r="D805" s="216"/>
      <c r="E805" s="216"/>
      <c r="F805" s="216"/>
      <c r="G805" s="216"/>
      <c r="H805" s="216"/>
      <c r="I805" s="216"/>
      <c r="J805" s="216"/>
      <c r="K805" s="5"/>
      <c r="L805" s="5"/>
      <c r="M805" s="5"/>
      <c r="N805" s="5"/>
      <c r="O805" s="5"/>
      <c r="P805" s="5"/>
      <c r="Q805" s="5"/>
      <c r="R805" s="5"/>
    </row>
    <row r="806" ht="12.75" hidden="1" customHeight="1">
      <c r="A806" s="213"/>
      <c r="B806" s="214"/>
      <c r="C806" s="216"/>
      <c r="D806" s="216"/>
      <c r="E806" s="216"/>
      <c r="F806" s="216"/>
      <c r="G806" s="216"/>
      <c r="H806" s="216"/>
      <c r="I806" s="216"/>
      <c r="J806" s="216"/>
      <c r="K806" s="5"/>
      <c r="L806" s="5"/>
      <c r="M806" s="5"/>
      <c r="N806" s="5"/>
      <c r="O806" s="5"/>
      <c r="P806" s="5"/>
      <c r="Q806" s="5"/>
      <c r="R806" s="5"/>
    </row>
    <row r="807" ht="12.75" hidden="1" customHeight="1">
      <c r="A807" s="213"/>
      <c r="B807" s="214"/>
      <c r="C807" s="216"/>
      <c r="D807" s="216"/>
      <c r="E807" s="216"/>
      <c r="F807" s="216"/>
      <c r="G807" s="216"/>
      <c r="H807" s="216"/>
      <c r="I807" s="216"/>
      <c r="J807" s="216"/>
      <c r="K807" s="5"/>
      <c r="L807" s="5"/>
      <c r="M807" s="5"/>
      <c r="N807" s="5"/>
      <c r="O807" s="5"/>
      <c r="P807" s="5"/>
      <c r="Q807" s="5"/>
      <c r="R807" s="5"/>
    </row>
    <row r="808" ht="12.75" hidden="1" customHeight="1">
      <c r="A808" s="213"/>
      <c r="B808" s="214"/>
      <c r="C808" s="216"/>
      <c r="D808" s="216"/>
      <c r="E808" s="216"/>
      <c r="F808" s="216"/>
      <c r="G808" s="216"/>
      <c r="H808" s="216"/>
      <c r="I808" s="216"/>
      <c r="J808" s="216"/>
      <c r="K808" s="5"/>
      <c r="L808" s="5"/>
      <c r="M808" s="5"/>
      <c r="N808" s="5"/>
      <c r="O808" s="5"/>
      <c r="P808" s="5"/>
      <c r="Q808" s="5"/>
      <c r="R808" s="5"/>
    </row>
    <row r="809" ht="12.75" hidden="1" customHeight="1">
      <c r="A809" s="213"/>
      <c r="B809" s="214"/>
      <c r="C809" s="216"/>
      <c r="D809" s="216"/>
      <c r="E809" s="216"/>
      <c r="F809" s="216"/>
      <c r="G809" s="216"/>
      <c r="H809" s="216"/>
      <c r="I809" s="216"/>
      <c r="J809" s="216"/>
      <c r="K809" s="5"/>
      <c r="L809" s="5"/>
      <c r="M809" s="5"/>
      <c r="N809" s="5"/>
      <c r="O809" s="5"/>
      <c r="P809" s="5"/>
      <c r="Q809" s="5"/>
      <c r="R809" s="5"/>
    </row>
    <row r="810" ht="12.75" hidden="1" customHeight="1">
      <c r="A810" s="213"/>
      <c r="B810" s="214"/>
      <c r="C810" s="216"/>
      <c r="D810" s="216"/>
      <c r="E810" s="216"/>
      <c r="F810" s="216"/>
      <c r="G810" s="216"/>
      <c r="H810" s="216"/>
      <c r="I810" s="216"/>
      <c r="J810" s="216"/>
      <c r="K810" s="5"/>
      <c r="L810" s="5"/>
      <c r="M810" s="5"/>
      <c r="N810" s="5"/>
      <c r="O810" s="5"/>
      <c r="P810" s="5"/>
      <c r="Q810" s="5"/>
      <c r="R810" s="5"/>
    </row>
    <row r="811" ht="12.75" hidden="1" customHeight="1">
      <c r="A811" s="213"/>
      <c r="B811" s="214"/>
      <c r="C811" s="216"/>
      <c r="D811" s="216"/>
      <c r="E811" s="216"/>
      <c r="F811" s="216"/>
      <c r="G811" s="216"/>
      <c r="H811" s="216"/>
      <c r="I811" s="216"/>
      <c r="J811" s="216"/>
      <c r="K811" s="5"/>
      <c r="L811" s="5"/>
      <c r="M811" s="5"/>
      <c r="N811" s="5"/>
      <c r="O811" s="5"/>
      <c r="P811" s="5"/>
      <c r="Q811" s="5"/>
      <c r="R811" s="5"/>
    </row>
    <row r="812" ht="12.75" hidden="1" customHeight="1">
      <c r="A812" s="213"/>
      <c r="B812" s="214"/>
      <c r="C812" s="216"/>
      <c r="D812" s="216"/>
      <c r="E812" s="216"/>
      <c r="F812" s="216"/>
      <c r="G812" s="216"/>
      <c r="H812" s="216"/>
      <c r="I812" s="216"/>
      <c r="J812" s="216"/>
      <c r="K812" s="5"/>
      <c r="L812" s="5"/>
      <c r="M812" s="5"/>
      <c r="N812" s="5"/>
      <c r="O812" s="5"/>
      <c r="P812" s="5"/>
      <c r="Q812" s="5"/>
      <c r="R812" s="5"/>
    </row>
    <row r="813" ht="12.75" hidden="1" customHeight="1">
      <c r="A813" s="213"/>
      <c r="B813" s="214"/>
      <c r="C813" s="216"/>
      <c r="D813" s="216"/>
      <c r="E813" s="216"/>
      <c r="F813" s="216"/>
      <c r="G813" s="216"/>
      <c r="H813" s="216"/>
      <c r="I813" s="216"/>
      <c r="J813" s="216"/>
      <c r="K813" s="5"/>
      <c r="L813" s="5"/>
      <c r="M813" s="5"/>
      <c r="N813" s="5"/>
      <c r="O813" s="5"/>
      <c r="P813" s="5"/>
      <c r="Q813" s="5"/>
      <c r="R813" s="5"/>
    </row>
    <row r="814" ht="12.75" hidden="1" customHeight="1">
      <c r="A814" s="213"/>
      <c r="B814" s="214"/>
      <c r="C814" s="216"/>
      <c r="D814" s="216"/>
      <c r="E814" s="216"/>
      <c r="F814" s="216"/>
      <c r="G814" s="216"/>
      <c r="H814" s="216"/>
      <c r="I814" s="216"/>
      <c r="J814" s="216"/>
      <c r="K814" s="5"/>
      <c r="L814" s="5"/>
      <c r="M814" s="5"/>
      <c r="N814" s="5"/>
      <c r="O814" s="5"/>
      <c r="P814" s="5"/>
      <c r="Q814" s="5"/>
      <c r="R814" s="5"/>
    </row>
    <row r="815" ht="12.75" hidden="1" customHeight="1">
      <c r="A815" s="213"/>
      <c r="B815" s="214"/>
      <c r="C815" s="216"/>
      <c r="D815" s="216"/>
      <c r="E815" s="216"/>
      <c r="F815" s="216"/>
      <c r="G815" s="216"/>
      <c r="H815" s="216"/>
      <c r="I815" s="216"/>
      <c r="J815" s="216"/>
      <c r="K815" s="5"/>
      <c r="L815" s="5"/>
      <c r="M815" s="5"/>
      <c r="N815" s="5"/>
      <c r="O815" s="5"/>
      <c r="P815" s="5"/>
      <c r="Q815" s="5"/>
      <c r="R815" s="5"/>
    </row>
    <row r="816" ht="12.75" hidden="1" customHeight="1">
      <c r="A816" s="213"/>
      <c r="B816" s="214"/>
      <c r="C816" s="216"/>
      <c r="D816" s="216"/>
      <c r="E816" s="216"/>
      <c r="F816" s="216"/>
      <c r="G816" s="216"/>
      <c r="H816" s="216"/>
      <c r="I816" s="216"/>
      <c r="J816" s="216"/>
      <c r="K816" s="5"/>
      <c r="L816" s="5"/>
      <c r="M816" s="5"/>
      <c r="N816" s="5"/>
      <c r="O816" s="5"/>
      <c r="P816" s="5"/>
      <c r="Q816" s="5"/>
      <c r="R816" s="5"/>
    </row>
    <row r="817" ht="12.75" hidden="1" customHeight="1">
      <c r="A817" s="213"/>
      <c r="B817" s="214"/>
      <c r="C817" s="216"/>
      <c r="D817" s="216"/>
      <c r="E817" s="216"/>
      <c r="F817" s="216"/>
      <c r="G817" s="216"/>
      <c r="H817" s="216"/>
      <c r="I817" s="216"/>
      <c r="J817" s="216"/>
      <c r="K817" s="5"/>
      <c r="L817" s="5"/>
      <c r="M817" s="5"/>
      <c r="N817" s="5"/>
      <c r="O817" s="5"/>
      <c r="P817" s="5"/>
      <c r="Q817" s="5"/>
      <c r="R817" s="5"/>
    </row>
    <row r="818" ht="12.75" hidden="1" customHeight="1">
      <c r="A818" s="213"/>
      <c r="B818" s="214"/>
      <c r="C818" s="216"/>
      <c r="D818" s="216"/>
      <c r="E818" s="216"/>
      <c r="F818" s="216"/>
      <c r="G818" s="216"/>
      <c r="H818" s="216"/>
      <c r="I818" s="216"/>
      <c r="J818" s="216"/>
      <c r="K818" s="5"/>
      <c r="L818" s="5"/>
      <c r="M818" s="5"/>
      <c r="N818" s="5"/>
      <c r="O818" s="5"/>
      <c r="P818" s="5"/>
      <c r="Q818" s="5"/>
      <c r="R818" s="5"/>
    </row>
    <row r="819" ht="12.75" hidden="1" customHeight="1">
      <c r="A819" s="213"/>
      <c r="B819" s="214"/>
      <c r="C819" s="216"/>
      <c r="D819" s="216"/>
      <c r="E819" s="216"/>
      <c r="F819" s="216"/>
      <c r="G819" s="216"/>
      <c r="H819" s="216"/>
      <c r="I819" s="216"/>
      <c r="J819" s="216"/>
      <c r="K819" s="5"/>
      <c r="L819" s="5"/>
      <c r="M819" s="5"/>
      <c r="N819" s="5"/>
      <c r="O819" s="5"/>
      <c r="P819" s="5"/>
      <c r="Q819" s="5"/>
      <c r="R819" s="5"/>
    </row>
    <row r="820" ht="12.75" hidden="1" customHeight="1">
      <c r="A820" s="213"/>
      <c r="B820" s="214"/>
      <c r="C820" s="216"/>
      <c r="D820" s="216"/>
      <c r="E820" s="216"/>
      <c r="F820" s="216"/>
      <c r="G820" s="216"/>
      <c r="H820" s="216"/>
      <c r="I820" s="216"/>
      <c r="J820" s="216"/>
      <c r="K820" s="5"/>
      <c r="L820" s="5"/>
      <c r="M820" s="5"/>
      <c r="N820" s="5"/>
      <c r="O820" s="5"/>
      <c r="P820" s="5"/>
      <c r="Q820" s="5"/>
      <c r="R820" s="5"/>
    </row>
    <row r="821" ht="12.75" hidden="1" customHeight="1">
      <c r="A821" s="213"/>
      <c r="B821" s="214"/>
      <c r="C821" s="216"/>
      <c r="D821" s="216"/>
      <c r="E821" s="216"/>
      <c r="F821" s="216"/>
      <c r="G821" s="216"/>
      <c r="H821" s="216"/>
      <c r="I821" s="216"/>
      <c r="J821" s="216"/>
      <c r="K821" s="5"/>
      <c r="L821" s="5"/>
      <c r="M821" s="5"/>
      <c r="N821" s="5"/>
      <c r="O821" s="5"/>
      <c r="P821" s="5"/>
      <c r="Q821" s="5"/>
      <c r="R821" s="5"/>
    </row>
    <row r="822" ht="12.75" hidden="1" customHeight="1">
      <c r="A822" s="213"/>
      <c r="B822" s="214"/>
      <c r="C822" s="216"/>
      <c r="D822" s="216"/>
      <c r="E822" s="216"/>
      <c r="F822" s="216"/>
      <c r="G822" s="216"/>
      <c r="H822" s="216"/>
      <c r="I822" s="216"/>
      <c r="J822" s="216"/>
      <c r="K822" s="5"/>
      <c r="L822" s="5"/>
      <c r="M822" s="5"/>
      <c r="N822" s="5"/>
      <c r="O822" s="5"/>
      <c r="P822" s="5"/>
      <c r="Q822" s="5"/>
      <c r="R822" s="5"/>
    </row>
    <row r="823" ht="12.75" hidden="1" customHeight="1">
      <c r="A823" s="213"/>
      <c r="B823" s="214"/>
      <c r="C823" s="216"/>
      <c r="D823" s="216"/>
      <c r="E823" s="216"/>
      <c r="F823" s="216"/>
      <c r="G823" s="216"/>
      <c r="H823" s="216"/>
      <c r="I823" s="216"/>
      <c r="J823" s="216"/>
      <c r="K823" s="5"/>
      <c r="L823" s="5"/>
      <c r="M823" s="5"/>
      <c r="N823" s="5"/>
      <c r="O823" s="5"/>
      <c r="P823" s="5"/>
      <c r="Q823" s="5"/>
      <c r="R823" s="5"/>
    </row>
    <row r="824" ht="12.75" hidden="1" customHeight="1">
      <c r="A824" s="213"/>
      <c r="B824" s="214"/>
      <c r="C824" s="216"/>
      <c r="D824" s="216"/>
      <c r="E824" s="216"/>
      <c r="F824" s="216"/>
      <c r="G824" s="216"/>
      <c r="H824" s="216"/>
      <c r="I824" s="216"/>
      <c r="J824" s="216"/>
      <c r="K824" s="5"/>
      <c r="L824" s="5"/>
      <c r="M824" s="5"/>
      <c r="N824" s="5"/>
      <c r="O824" s="5"/>
      <c r="P824" s="5"/>
      <c r="Q824" s="5"/>
      <c r="R824" s="5"/>
    </row>
    <row r="825" ht="12.75" hidden="1" customHeight="1">
      <c r="A825" s="213"/>
      <c r="B825" s="214"/>
      <c r="C825" s="216"/>
      <c r="D825" s="216"/>
      <c r="E825" s="216"/>
      <c r="F825" s="216"/>
      <c r="G825" s="216"/>
      <c r="H825" s="216"/>
      <c r="I825" s="216"/>
      <c r="J825" s="216"/>
      <c r="K825" s="5"/>
      <c r="L825" s="5"/>
      <c r="M825" s="5"/>
      <c r="N825" s="5"/>
      <c r="O825" s="5"/>
      <c r="P825" s="5"/>
      <c r="Q825" s="5"/>
      <c r="R825" s="5"/>
    </row>
    <row r="826" ht="12.75" hidden="1" customHeight="1">
      <c r="A826" s="213"/>
      <c r="B826" s="214"/>
      <c r="C826" s="216"/>
      <c r="D826" s="216"/>
      <c r="E826" s="216"/>
      <c r="F826" s="216"/>
      <c r="G826" s="216"/>
      <c r="H826" s="216"/>
      <c r="I826" s="216"/>
      <c r="J826" s="216"/>
      <c r="K826" s="5"/>
      <c r="L826" s="5"/>
      <c r="M826" s="5"/>
      <c r="N826" s="5"/>
      <c r="O826" s="5"/>
      <c r="P826" s="5"/>
      <c r="Q826" s="5"/>
      <c r="R826" s="5"/>
    </row>
    <row r="827" ht="12.75" hidden="1" customHeight="1">
      <c r="A827" s="213"/>
      <c r="B827" s="214"/>
      <c r="C827" s="216"/>
      <c r="D827" s="216"/>
      <c r="E827" s="216"/>
      <c r="F827" s="216"/>
      <c r="G827" s="216"/>
      <c r="H827" s="216"/>
      <c r="I827" s="216"/>
      <c r="J827" s="216"/>
      <c r="K827" s="5"/>
      <c r="L827" s="5"/>
      <c r="M827" s="5"/>
      <c r="N827" s="5"/>
      <c r="O827" s="5"/>
      <c r="P827" s="5"/>
      <c r="Q827" s="5"/>
      <c r="R827" s="5"/>
    </row>
    <row r="828" ht="12.75" hidden="1" customHeight="1">
      <c r="A828" s="213"/>
      <c r="B828" s="214"/>
      <c r="C828" s="216"/>
      <c r="D828" s="216"/>
      <c r="E828" s="216"/>
      <c r="F828" s="216"/>
      <c r="G828" s="216"/>
      <c r="H828" s="216"/>
      <c r="I828" s="216"/>
      <c r="J828" s="216"/>
      <c r="K828" s="5"/>
      <c r="L828" s="5"/>
      <c r="M828" s="5"/>
      <c r="N828" s="5"/>
      <c r="O828" s="5"/>
      <c r="P828" s="5"/>
      <c r="Q828" s="5"/>
      <c r="R828" s="5"/>
    </row>
    <row r="829" ht="12.75" hidden="1" customHeight="1">
      <c r="A829" s="213"/>
      <c r="B829" s="214"/>
      <c r="C829" s="216"/>
      <c r="D829" s="216"/>
      <c r="E829" s="216"/>
      <c r="F829" s="216"/>
      <c r="G829" s="216"/>
      <c r="H829" s="216"/>
      <c r="I829" s="216"/>
      <c r="J829" s="216"/>
      <c r="K829" s="5"/>
      <c r="L829" s="5"/>
      <c r="M829" s="5"/>
      <c r="N829" s="5"/>
      <c r="O829" s="5"/>
      <c r="P829" s="5"/>
      <c r="Q829" s="5"/>
      <c r="R829" s="5"/>
    </row>
    <row r="830" ht="12.75" hidden="1" customHeight="1">
      <c r="A830" s="213"/>
      <c r="B830" s="214"/>
      <c r="C830" s="216"/>
      <c r="D830" s="216"/>
      <c r="E830" s="216"/>
      <c r="F830" s="216"/>
      <c r="G830" s="216"/>
      <c r="H830" s="216"/>
      <c r="I830" s="216"/>
      <c r="J830" s="216"/>
      <c r="K830" s="5"/>
      <c r="L830" s="5"/>
      <c r="M830" s="5"/>
      <c r="N830" s="5"/>
      <c r="O830" s="5"/>
      <c r="P830" s="5"/>
      <c r="Q830" s="5"/>
      <c r="R830" s="5"/>
    </row>
    <row r="831" ht="12.75" hidden="1" customHeight="1">
      <c r="A831" s="213"/>
      <c r="B831" s="214"/>
      <c r="C831" s="216"/>
      <c r="D831" s="216"/>
      <c r="E831" s="216"/>
      <c r="F831" s="216"/>
      <c r="G831" s="216"/>
      <c r="H831" s="216"/>
      <c r="I831" s="216"/>
      <c r="J831" s="216"/>
      <c r="K831" s="5"/>
      <c r="L831" s="5"/>
      <c r="M831" s="5"/>
      <c r="N831" s="5"/>
      <c r="O831" s="5"/>
      <c r="P831" s="5"/>
      <c r="Q831" s="5"/>
      <c r="R831" s="5"/>
    </row>
    <row r="832" ht="12.75" hidden="1" customHeight="1">
      <c r="A832" s="213"/>
      <c r="B832" s="214"/>
      <c r="C832" s="216"/>
      <c r="D832" s="216"/>
      <c r="E832" s="216"/>
      <c r="F832" s="216"/>
      <c r="G832" s="216"/>
      <c r="H832" s="216"/>
      <c r="I832" s="216"/>
      <c r="J832" s="216"/>
      <c r="K832" s="5"/>
      <c r="L832" s="5"/>
      <c r="M832" s="5"/>
      <c r="N832" s="5"/>
      <c r="O832" s="5"/>
      <c r="P832" s="5"/>
      <c r="Q832" s="5"/>
      <c r="R832" s="5"/>
    </row>
    <row r="833" ht="12.75" hidden="1" customHeight="1">
      <c r="A833" s="213"/>
      <c r="B833" s="214"/>
      <c r="C833" s="216"/>
      <c r="D833" s="216"/>
      <c r="E833" s="216"/>
      <c r="F833" s="216"/>
      <c r="G833" s="216"/>
      <c r="H833" s="216"/>
      <c r="I833" s="216"/>
      <c r="J833" s="216"/>
      <c r="K833" s="5"/>
      <c r="L833" s="5"/>
      <c r="M833" s="5"/>
      <c r="N833" s="5"/>
      <c r="O833" s="5"/>
      <c r="P833" s="5"/>
      <c r="Q833" s="5"/>
      <c r="R833" s="5"/>
    </row>
    <row r="834" ht="12.75" hidden="1" customHeight="1">
      <c r="A834" s="213"/>
      <c r="B834" s="214"/>
      <c r="C834" s="216"/>
      <c r="D834" s="216"/>
      <c r="E834" s="216"/>
      <c r="F834" s="216"/>
      <c r="G834" s="216"/>
      <c r="H834" s="216"/>
      <c r="I834" s="216"/>
      <c r="J834" s="216"/>
      <c r="K834" s="5"/>
      <c r="L834" s="5"/>
      <c r="M834" s="5"/>
      <c r="N834" s="5"/>
      <c r="O834" s="5"/>
      <c r="P834" s="5"/>
      <c r="Q834" s="5"/>
      <c r="R834" s="5"/>
    </row>
    <row r="835" ht="12.75" hidden="1" customHeight="1">
      <c r="A835" s="213"/>
      <c r="B835" s="214"/>
      <c r="C835" s="216"/>
      <c r="D835" s="216"/>
      <c r="E835" s="216"/>
      <c r="F835" s="216"/>
      <c r="G835" s="216"/>
      <c r="H835" s="216"/>
      <c r="I835" s="216"/>
      <c r="J835" s="216"/>
      <c r="K835" s="5"/>
      <c r="L835" s="5"/>
      <c r="M835" s="5"/>
      <c r="N835" s="5"/>
      <c r="O835" s="5"/>
      <c r="P835" s="5"/>
      <c r="Q835" s="5"/>
      <c r="R835" s="5"/>
    </row>
    <row r="836" ht="12.75" hidden="1" customHeight="1">
      <c r="A836" s="213"/>
      <c r="B836" s="214"/>
      <c r="C836" s="216"/>
      <c r="D836" s="216"/>
      <c r="E836" s="216"/>
      <c r="F836" s="216"/>
      <c r="G836" s="216"/>
      <c r="H836" s="216"/>
      <c r="I836" s="216"/>
      <c r="J836" s="216"/>
      <c r="K836" s="5"/>
      <c r="L836" s="5"/>
      <c r="M836" s="5"/>
      <c r="N836" s="5"/>
      <c r="O836" s="5"/>
      <c r="P836" s="5"/>
      <c r="Q836" s="5"/>
      <c r="R836" s="5"/>
    </row>
    <row r="837" ht="12.75" hidden="1" customHeight="1">
      <c r="A837" s="213"/>
      <c r="B837" s="214"/>
      <c r="C837" s="216"/>
      <c r="D837" s="216"/>
      <c r="E837" s="216"/>
      <c r="F837" s="216"/>
      <c r="G837" s="216"/>
      <c r="H837" s="216"/>
      <c r="I837" s="216"/>
      <c r="J837" s="216"/>
      <c r="K837" s="5"/>
      <c r="L837" s="5"/>
      <c r="M837" s="5"/>
      <c r="N837" s="5"/>
      <c r="O837" s="5"/>
      <c r="P837" s="5"/>
      <c r="Q837" s="5"/>
      <c r="R837" s="5"/>
    </row>
    <row r="838" ht="12.75" hidden="1" customHeight="1">
      <c r="A838" s="213"/>
      <c r="B838" s="214"/>
      <c r="C838" s="216"/>
      <c r="D838" s="216"/>
      <c r="E838" s="216"/>
      <c r="F838" s="216"/>
      <c r="G838" s="216"/>
      <c r="H838" s="216"/>
      <c r="I838" s="216"/>
      <c r="J838" s="216"/>
      <c r="K838" s="5"/>
      <c r="L838" s="5"/>
      <c r="M838" s="5"/>
      <c r="N838" s="5"/>
      <c r="O838" s="5"/>
      <c r="P838" s="5"/>
      <c r="Q838" s="5"/>
      <c r="R838" s="5"/>
    </row>
    <row r="839" ht="12.75" hidden="1" customHeight="1">
      <c r="A839" s="213"/>
      <c r="B839" s="214"/>
      <c r="C839" s="216"/>
      <c r="D839" s="216"/>
      <c r="E839" s="216"/>
      <c r="F839" s="216"/>
      <c r="G839" s="216"/>
      <c r="H839" s="216"/>
      <c r="I839" s="216"/>
      <c r="J839" s="216"/>
      <c r="K839" s="5"/>
      <c r="L839" s="5"/>
      <c r="M839" s="5"/>
      <c r="N839" s="5"/>
      <c r="O839" s="5"/>
      <c r="P839" s="5"/>
      <c r="Q839" s="5"/>
      <c r="R839" s="5"/>
    </row>
    <row r="840" ht="12.75" hidden="1" customHeight="1">
      <c r="A840" s="213"/>
      <c r="B840" s="214"/>
      <c r="C840" s="216"/>
      <c r="D840" s="216"/>
      <c r="E840" s="216"/>
      <c r="F840" s="216"/>
      <c r="G840" s="216"/>
      <c r="H840" s="216"/>
      <c r="I840" s="216"/>
      <c r="J840" s="216"/>
      <c r="K840" s="5"/>
      <c r="L840" s="5"/>
      <c r="M840" s="5"/>
      <c r="N840" s="5"/>
      <c r="O840" s="5"/>
      <c r="P840" s="5"/>
      <c r="Q840" s="5"/>
      <c r="R840" s="5"/>
    </row>
    <row r="841" ht="12.75" hidden="1" customHeight="1">
      <c r="A841" s="213"/>
      <c r="B841" s="214"/>
      <c r="C841" s="216"/>
      <c r="D841" s="216"/>
      <c r="E841" s="216"/>
      <c r="F841" s="216"/>
      <c r="G841" s="216"/>
      <c r="H841" s="216"/>
      <c r="I841" s="216"/>
      <c r="J841" s="216"/>
      <c r="K841" s="5"/>
      <c r="L841" s="5"/>
      <c r="M841" s="5"/>
      <c r="N841" s="5"/>
      <c r="O841" s="5"/>
      <c r="P841" s="5"/>
      <c r="Q841" s="5"/>
      <c r="R841" s="5"/>
    </row>
    <row r="842" ht="12.75" hidden="1" customHeight="1">
      <c r="A842" s="213"/>
      <c r="B842" s="214"/>
      <c r="C842" s="216"/>
      <c r="D842" s="216"/>
      <c r="E842" s="216"/>
      <c r="F842" s="216"/>
      <c r="G842" s="216"/>
      <c r="H842" s="216"/>
      <c r="I842" s="216"/>
      <c r="J842" s="216"/>
      <c r="K842" s="5"/>
      <c r="L842" s="5"/>
      <c r="M842" s="5"/>
      <c r="N842" s="5"/>
      <c r="O842" s="5"/>
      <c r="P842" s="5"/>
      <c r="Q842" s="5"/>
      <c r="R842" s="5"/>
    </row>
    <row r="843" ht="12.75" hidden="1" customHeight="1">
      <c r="A843" s="213"/>
      <c r="B843" s="214"/>
      <c r="C843" s="216"/>
      <c r="D843" s="216"/>
      <c r="E843" s="216"/>
      <c r="F843" s="216"/>
      <c r="G843" s="216"/>
      <c r="H843" s="216"/>
      <c r="I843" s="216"/>
      <c r="J843" s="216"/>
      <c r="K843" s="5"/>
      <c r="L843" s="5"/>
      <c r="M843" s="5"/>
      <c r="N843" s="5"/>
      <c r="O843" s="5"/>
      <c r="P843" s="5"/>
      <c r="Q843" s="5"/>
      <c r="R843" s="5"/>
    </row>
    <row r="844" ht="12.75" hidden="1" customHeight="1">
      <c r="A844" s="213"/>
      <c r="B844" s="214"/>
      <c r="C844" s="216"/>
      <c r="D844" s="216"/>
      <c r="E844" s="216"/>
      <c r="F844" s="216"/>
      <c r="G844" s="216"/>
      <c r="H844" s="216"/>
      <c r="I844" s="216"/>
      <c r="J844" s="216"/>
      <c r="K844" s="5"/>
      <c r="L844" s="5"/>
      <c r="M844" s="5"/>
      <c r="N844" s="5"/>
      <c r="O844" s="5"/>
      <c r="P844" s="5"/>
      <c r="Q844" s="5"/>
      <c r="R844" s="5"/>
    </row>
    <row r="845" ht="12.75" hidden="1" customHeight="1">
      <c r="A845" s="213"/>
      <c r="B845" s="214"/>
      <c r="C845" s="216"/>
      <c r="D845" s="216"/>
      <c r="E845" s="216"/>
      <c r="F845" s="216"/>
      <c r="G845" s="216"/>
      <c r="H845" s="216"/>
      <c r="I845" s="216"/>
      <c r="J845" s="216"/>
      <c r="K845" s="5"/>
      <c r="L845" s="5"/>
      <c r="M845" s="5"/>
      <c r="N845" s="5"/>
      <c r="O845" s="5"/>
      <c r="P845" s="5"/>
      <c r="Q845" s="5"/>
      <c r="R845" s="5"/>
    </row>
    <row r="846" ht="12.75" hidden="1" customHeight="1">
      <c r="A846" s="213"/>
      <c r="B846" s="214"/>
      <c r="C846" s="216"/>
      <c r="D846" s="216"/>
      <c r="E846" s="216"/>
      <c r="F846" s="216"/>
      <c r="G846" s="216"/>
      <c r="H846" s="216"/>
      <c r="I846" s="216"/>
      <c r="J846" s="216"/>
      <c r="K846" s="5"/>
      <c r="L846" s="5"/>
      <c r="M846" s="5"/>
      <c r="N846" s="5"/>
      <c r="O846" s="5"/>
      <c r="P846" s="5"/>
      <c r="Q846" s="5"/>
      <c r="R846" s="5"/>
    </row>
    <row r="847" ht="12.75" hidden="1" customHeight="1">
      <c r="A847" s="213"/>
      <c r="B847" s="214"/>
      <c r="C847" s="216"/>
      <c r="D847" s="216"/>
      <c r="E847" s="216"/>
      <c r="F847" s="216"/>
      <c r="G847" s="216"/>
      <c r="H847" s="216"/>
      <c r="I847" s="216"/>
      <c r="J847" s="216"/>
      <c r="K847" s="5"/>
      <c r="L847" s="5"/>
      <c r="M847" s="5"/>
      <c r="N847" s="5"/>
      <c r="O847" s="5"/>
      <c r="P847" s="5"/>
      <c r="Q847" s="5"/>
      <c r="R847" s="5"/>
    </row>
    <row r="848" ht="12.75" hidden="1" customHeight="1">
      <c r="A848" s="213"/>
      <c r="B848" s="214"/>
      <c r="C848" s="216"/>
      <c r="D848" s="216"/>
      <c r="E848" s="216"/>
      <c r="F848" s="216"/>
      <c r="G848" s="216"/>
      <c r="H848" s="216"/>
      <c r="I848" s="216"/>
      <c r="J848" s="216"/>
      <c r="K848" s="5"/>
      <c r="L848" s="5"/>
      <c r="M848" s="5"/>
      <c r="N848" s="5"/>
      <c r="O848" s="5"/>
      <c r="P848" s="5"/>
      <c r="Q848" s="5"/>
      <c r="R848" s="5"/>
    </row>
    <row r="849" ht="12.75" hidden="1" customHeight="1">
      <c r="A849" s="213"/>
      <c r="B849" s="214"/>
      <c r="C849" s="216"/>
      <c r="D849" s="216"/>
      <c r="E849" s="216"/>
      <c r="F849" s="216"/>
      <c r="G849" s="216"/>
      <c r="H849" s="216"/>
      <c r="I849" s="216"/>
      <c r="J849" s="216"/>
      <c r="K849" s="5"/>
      <c r="L849" s="5"/>
      <c r="M849" s="5"/>
      <c r="N849" s="5"/>
      <c r="O849" s="5"/>
      <c r="P849" s="5"/>
      <c r="Q849" s="5"/>
      <c r="R849" s="5"/>
    </row>
    <row r="850" ht="12.75" hidden="1" customHeight="1">
      <c r="A850" s="213"/>
      <c r="B850" s="214"/>
      <c r="C850" s="216"/>
      <c r="D850" s="216"/>
      <c r="E850" s="216"/>
      <c r="F850" s="216"/>
      <c r="G850" s="216"/>
      <c r="H850" s="216"/>
      <c r="I850" s="216"/>
      <c r="J850" s="216"/>
      <c r="K850" s="5"/>
      <c r="L850" s="5"/>
      <c r="M850" s="5"/>
      <c r="N850" s="5"/>
      <c r="O850" s="5"/>
      <c r="P850" s="5"/>
      <c r="Q850" s="5"/>
      <c r="R850" s="5"/>
    </row>
    <row r="851" ht="12.75" hidden="1" customHeight="1">
      <c r="A851" s="213"/>
      <c r="B851" s="214"/>
      <c r="C851" s="216"/>
      <c r="D851" s="216"/>
      <c r="E851" s="216"/>
      <c r="F851" s="216"/>
      <c r="G851" s="216"/>
      <c r="H851" s="216"/>
      <c r="I851" s="216"/>
      <c r="J851" s="216"/>
      <c r="K851" s="5"/>
      <c r="L851" s="5"/>
      <c r="M851" s="5"/>
      <c r="N851" s="5"/>
      <c r="O851" s="5"/>
      <c r="P851" s="5"/>
      <c r="Q851" s="5"/>
      <c r="R851" s="5"/>
    </row>
    <row r="852" ht="12.75" hidden="1" customHeight="1">
      <c r="A852" s="213"/>
      <c r="B852" s="214"/>
      <c r="C852" s="216"/>
      <c r="D852" s="216"/>
      <c r="E852" s="216"/>
      <c r="F852" s="216"/>
      <c r="G852" s="216"/>
      <c r="H852" s="216"/>
      <c r="I852" s="216"/>
      <c r="J852" s="216"/>
      <c r="K852" s="5"/>
      <c r="L852" s="5"/>
      <c r="M852" s="5"/>
      <c r="N852" s="5"/>
      <c r="O852" s="5"/>
      <c r="P852" s="5"/>
      <c r="Q852" s="5"/>
      <c r="R852" s="5"/>
    </row>
    <row r="853" ht="12.75" hidden="1" customHeight="1">
      <c r="A853" s="213"/>
      <c r="B853" s="214"/>
      <c r="C853" s="216"/>
      <c r="D853" s="216"/>
      <c r="E853" s="216"/>
      <c r="F853" s="216"/>
      <c r="G853" s="216"/>
      <c r="H853" s="216"/>
      <c r="I853" s="216"/>
      <c r="J853" s="216"/>
      <c r="K853" s="5"/>
      <c r="L853" s="5"/>
      <c r="M853" s="5"/>
      <c r="N853" s="5"/>
      <c r="O853" s="5"/>
      <c r="P853" s="5"/>
      <c r="Q853" s="5"/>
      <c r="R853" s="5"/>
    </row>
    <row r="854" ht="12.75" hidden="1" customHeight="1">
      <c r="A854" s="213"/>
      <c r="B854" s="214"/>
      <c r="C854" s="216"/>
      <c r="D854" s="216"/>
      <c r="E854" s="216"/>
      <c r="F854" s="216"/>
      <c r="G854" s="216"/>
      <c r="H854" s="216"/>
      <c r="I854" s="216"/>
      <c r="J854" s="216"/>
      <c r="K854" s="5"/>
      <c r="L854" s="5"/>
      <c r="M854" s="5"/>
      <c r="N854" s="5"/>
      <c r="O854" s="5"/>
      <c r="P854" s="5"/>
      <c r="Q854" s="5"/>
      <c r="R854" s="5"/>
    </row>
    <row r="855" ht="12.75" hidden="1" customHeight="1">
      <c r="A855" s="213"/>
      <c r="B855" s="214"/>
      <c r="C855" s="216"/>
      <c r="D855" s="216"/>
      <c r="E855" s="216"/>
      <c r="F855" s="216"/>
      <c r="G855" s="216"/>
      <c r="H855" s="216"/>
      <c r="I855" s="216"/>
      <c r="J855" s="216"/>
      <c r="K855" s="5"/>
      <c r="L855" s="5"/>
      <c r="M855" s="5"/>
      <c r="N855" s="5"/>
      <c r="O855" s="5"/>
      <c r="P855" s="5"/>
      <c r="Q855" s="5"/>
      <c r="R855" s="5"/>
    </row>
    <row r="856" ht="12.75" hidden="1" customHeight="1">
      <c r="A856" s="213"/>
      <c r="B856" s="214"/>
      <c r="C856" s="216"/>
      <c r="D856" s="216"/>
      <c r="E856" s="216"/>
      <c r="F856" s="216"/>
      <c r="G856" s="216"/>
      <c r="H856" s="216"/>
      <c r="I856" s="216"/>
      <c r="J856" s="216"/>
      <c r="K856" s="5"/>
      <c r="L856" s="5"/>
      <c r="M856" s="5"/>
      <c r="N856" s="5"/>
      <c r="O856" s="5"/>
      <c r="P856" s="5"/>
      <c r="Q856" s="5"/>
      <c r="R856" s="5"/>
    </row>
    <row r="857" ht="12.75" hidden="1" customHeight="1">
      <c r="A857" s="213"/>
      <c r="B857" s="214"/>
      <c r="C857" s="216"/>
      <c r="D857" s="216"/>
      <c r="E857" s="216"/>
      <c r="F857" s="216"/>
      <c r="G857" s="216"/>
      <c r="H857" s="216"/>
      <c r="I857" s="216"/>
      <c r="J857" s="216"/>
      <c r="K857" s="5"/>
      <c r="L857" s="5"/>
      <c r="M857" s="5"/>
      <c r="N857" s="5"/>
      <c r="O857" s="5"/>
      <c r="P857" s="5"/>
      <c r="Q857" s="5"/>
      <c r="R857" s="5"/>
    </row>
    <row r="858" ht="12.75" hidden="1" customHeight="1">
      <c r="A858" s="213"/>
      <c r="B858" s="214"/>
      <c r="C858" s="216"/>
      <c r="D858" s="216"/>
      <c r="E858" s="216"/>
      <c r="F858" s="216"/>
      <c r="G858" s="216"/>
      <c r="H858" s="216"/>
      <c r="I858" s="216"/>
      <c r="J858" s="216"/>
      <c r="K858" s="5"/>
      <c r="L858" s="5"/>
      <c r="M858" s="5"/>
      <c r="N858" s="5"/>
      <c r="O858" s="5"/>
      <c r="P858" s="5"/>
      <c r="Q858" s="5"/>
      <c r="R858" s="5"/>
    </row>
    <row r="859" ht="12.75" hidden="1" customHeight="1">
      <c r="A859" s="213"/>
      <c r="B859" s="214"/>
      <c r="C859" s="216"/>
      <c r="D859" s="216"/>
      <c r="E859" s="216"/>
      <c r="F859" s="216"/>
      <c r="G859" s="216"/>
      <c r="H859" s="216"/>
      <c r="I859" s="216"/>
      <c r="J859" s="216"/>
      <c r="K859" s="5"/>
      <c r="L859" s="5"/>
      <c r="M859" s="5"/>
      <c r="N859" s="5"/>
      <c r="O859" s="5"/>
      <c r="P859" s="5"/>
      <c r="Q859" s="5"/>
      <c r="R859" s="5"/>
    </row>
    <row r="860" ht="12.75" hidden="1" customHeight="1">
      <c r="A860" s="213"/>
      <c r="B860" s="214"/>
      <c r="C860" s="216"/>
      <c r="D860" s="216"/>
      <c r="E860" s="216"/>
      <c r="F860" s="216"/>
      <c r="G860" s="216"/>
      <c r="H860" s="216"/>
      <c r="I860" s="216"/>
      <c r="J860" s="216"/>
      <c r="K860" s="5"/>
      <c r="L860" s="5"/>
      <c r="M860" s="5"/>
      <c r="N860" s="5"/>
      <c r="O860" s="5"/>
      <c r="P860" s="5"/>
      <c r="Q860" s="5"/>
      <c r="R860" s="5"/>
    </row>
    <row r="861" ht="12.75" hidden="1" customHeight="1">
      <c r="A861" s="213"/>
      <c r="B861" s="214"/>
      <c r="C861" s="216"/>
      <c r="D861" s="216"/>
      <c r="E861" s="216"/>
      <c r="F861" s="216"/>
      <c r="G861" s="216"/>
      <c r="H861" s="216"/>
      <c r="I861" s="216"/>
      <c r="J861" s="216"/>
      <c r="K861" s="5"/>
      <c r="L861" s="5"/>
      <c r="M861" s="5"/>
      <c r="N861" s="5"/>
      <c r="O861" s="5"/>
      <c r="P861" s="5"/>
      <c r="Q861" s="5"/>
      <c r="R861" s="5"/>
    </row>
    <row r="862" ht="12.75" hidden="1" customHeight="1">
      <c r="A862" s="213"/>
      <c r="B862" s="214"/>
      <c r="C862" s="216"/>
      <c r="D862" s="216"/>
      <c r="E862" s="216"/>
      <c r="F862" s="216"/>
      <c r="G862" s="216"/>
      <c r="H862" s="216"/>
      <c r="I862" s="216"/>
      <c r="J862" s="216"/>
      <c r="K862" s="5"/>
      <c r="L862" s="5"/>
      <c r="M862" s="5"/>
      <c r="N862" s="5"/>
      <c r="O862" s="5"/>
      <c r="P862" s="5"/>
      <c r="Q862" s="5"/>
      <c r="R862" s="5"/>
    </row>
    <row r="863" ht="12.75" hidden="1" customHeight="1">
      <c r="A863" s="213"/>
      <c r="B863" s="214"/>
      <c r="C863" s="216"/>
      <c r="D863" s="216"/>
      <c r="E863" s="216"/>
      <c r="F863" s="216"/>
      <c r="G863" s="216"/>
      <c r="H863" s="216"/>
      <c r="I863" s="216"/>
      <c r="J863" s="216"/>
      <c r="K863" s="5"/>
      <c r="L863" s="5"/>
      <c r="M863" s="5"/>
      <c r="N863" s="5"/>
      <c r="O863" s="5"/>
      <c r="P863" s="5"/>
      <c r="Q863" s="5"/>
      <c r="R863" s="5"/>
    </row>
    <row r="864" ht="12.75" hidden="1" customHeight="1">
      <c r="A864" s="213"/>
      <c r="B864" s="214"/>
      <c r="C864" s="216"/>
      <c r="D864" s="216"/>
      <c r="E864" s="216"/>
      <c r="F864" s="216"/>
      <c r="G864" s="216"/>
      <c r="H864" s="216"/>
      <c r="I864" s="216"/>
      <c r="J864" s="216"/>
      <c r="K864" s="5"/>
      <c r="L864" s="5"/>
      <c r="M864" s="5"/>
      <c r="N864" s="5"/>
      <c r="O864" s="5"/>
      <c r="P864" s="5"/>
      <c r="Q864" s="5"/>
      <c r="R864" s="5"/>
    </row>
    <row r="865" ht="12.75" hidden="1" customHeight="1">
      <c r="A865" s="213"/>
      <c r="B865" s="214"/>
      <c r="C865" s="216"/>
      <c r="D865" s="216"/>
      <c r="E865" s="216"/>
      <c r="F865" s="216"/>
      <c r="G865" s="216"/>
      <c r="H865" s="216"/>
      <c r="I865" s="216"/>
      <c r="J865" s="216"/>
      <c r="K865" s="5"/>
      <c r="L865" s="5"/>
      <c r="M865" s="5"/>
      <c r="N865" s="5"/>
      <c r="O865" s="5"/>
      <c r="P865" s="5"/>
      <c r="Q865" s="5"/>
      <c r="R865" s="5"/>
    </row>
    <row r="866" ht="12.75" hidden="1" customHeight="1">
      <c r="A866" s="213"/>
      <c r="B866" s="214"/>
      <c r="C866" s="216"/>
      <c r="D866" s="216"/>
      <c r="E866" s="216"/>
      <c r="F866" s="216"/>
      <c r="G866" s="216"/>
      <c r="H866" s="216"/>
      <c r="I866" s="216"/>
      <c r="J866" s="216"/>
      <c r="K866" s="5"/>
      <c r="L866" s="5"/>
      <c r="M866" s="5"/>
      <c r="N866" s="5"/>
      <c r="O866" s="5"/>
      <c r="P866" s="5"/>
      <c r="Q866" s="5"/>
      <c r="R866" s="5"/>
    </row>
    <row r="867" ht="12.75" hidden="1" customHeight="1">
      <c r="A867" s="213"/>
      <c r="B867" s="214"/>
      <c r="C867" s="216"/>
      <c r="D867" s="216"/>
      <c r="E867" s="216"/>
      <c r="F867" s="216"/>
      <c r="G867" s="216"/>
      <c r="H867" s="216"/>
      <c r="I867" s="216"/>
      <c r="J867" s="216"/>
      <c r="K867" s="5"/>
      <c r="L867" s="5"/>
      <c r="M867" s="5"/>
      <c r="N867" s="5"/>
      <c r="O867" s="5"/>
      <c r="P867" s="5"/>
      <c r="Q867" s="5"/>
      <c r="R867" s="5"/>
    </row>
    <row r="868" ht="12.75" hidden="1" customHeight="1">
      <c r="A868" s="213"/>
      <c r="B868" s="214"/>
      <c r="C868" s="216"/>
      <c r="D868" s="216"/>
      <c r="E868" s="216"/>
      <c r="F868" s="216"/>
      <c r="G868" s="216"/>
      <c r="H868" s="216"/>
      <c r="I868" s="216"/>
      <c r="J868" s="216"/>
      <c r="K868" s="5"/>
      <c r="L868" s="5"/>
      <c r="M868" s="5"/>
      <c r="N868" s="5"/>
      <c r="O868" s="5"/>
      <c r="P868" s="5"/>
      <c r="Q868" s="5"/>
      <c r="R868" s="5"/>
    </row>
    <row r="869" ht="12.75" hidden="1" customHeight="1">
      <c r="A869" s="213"/>
      <c r="B869" s="214"/>
      <c r="C869" s="216"/>
      <c r="D869" s="216"/>
      <c r="E869" s="216"/>
      <c r="F869" s="216"/>
      <c r="G869" s="216"/>
      <c r="H869" s="216"/>
      <c r="I869" s="216"/>
      <c r="J869" s="216"/>
      <c r="K869" s="5"/>
      <c r="L869" s="5"/>
      <c r="M869" s="5"/>
      <c r="N869" s="5"/>
      <c r="O869" s="5"/>
      <c r="P869" s="5"/>
      <c r="Q869" s="5"/>
      <c r="R869" s="5"/>
    </row>
    <row r="870" ht="12.75" hidden="1" customHeight="1">
      <c r="A870" s="213"/>
      <c r="B870" s="214"/>
      <c r="C870" s="216"/>
      <c r="D870" s="216"/>
      <c r="E870" s="216"/>
      <c r="F870" s="216"/>
      <c r="G870" s="216"/>
      <c r="H870" s="216"/>
      <c r="I870" s="216"/>
      <c r="J870" s="216"/>
      <c r="K870" s="5"/>
      <c r="L870" s="5"/>
      <c r="M870" s="5"/>
      <c r="N870" s="5"/>
      <c r="O870" s="5"/>
      <c r="P870" s="5"/>
      <c r="Q870" s="5"/>
      <c r="R870" s="5"/>
    </row>
    <row r="871" ht="12.75" hidden="1" customHeight="1">
      <c r="A871" s="213"/>
      <c r="B871" s="214"/>
      <c r="C871" s="216"/>
      <c r="D871" s="216"/>
      <c r="E871" s="216"/>
      <c r="F871" s="216"/>
      <c r="G871" s="216"/>
      <c r="H871" s="216"/>
      <c r="I871" s="216"/>
      <c r="J871" s="216"/>
      <c r="K871" s="5"/>
      <c r="L871" s="5"/>
      <c r="M871" s="5"/>
      <c r="N871" s="5"/>
      <c r="O871" s="5"/>
      <c r="P871" s="5"/>
      <c r="Q871" s="5"/>
      <c r="R871" s="5"/>
    </row>
    <row r="872" ht="12.75" hidden="1" customHeight="1">
      <c r="A872" s="213"/>
      <c r="B872" s="214"/>
      <c r="C872" s="216"/>
      <c r="D872" s="216"/>
      <c r="E872" s="216"/>
      <c r="F872" s="216"/>
      <c r="G872" s="216"/>
      <c r="H872" s="216"/>
      <c r="I872" s="216"/>
      <c r="J872" s="216"/>
      <c r="K872" s="5"/>
      <c r="L872" s="5"/>
      <c r="M872" s="5"/>
      <c r="N872" s="5"/>
      <c r="O872" s="5"/>
      <c r="P872" s="5"/>
      <c r="Q872" s="5"/>
      <c r="R872" s="5"/>
    </row>
    <row r="873" ht="12.75" hidden="1" customHeight="1">
      <c r="A873" s="213"/>
      <c r="B873" s="214"/>
      <c r="C873" s="216"/>
      <c r="D873" s="216"/>
      <c r="E873" s="216"/>
      <c r="F873" s="216"/>
      <c r="G873" s="216"/>
      <c r="H873" s="216"/>
      <c r="I873" s="216"/>
      <c r="J873" s="216"/>
      <c r="K873" s="5"/>
      <c r="L873" s="5"/>
      <c r="M873" s="5"/>
      <c r="N873" s="5"/>
      <c r="O873" s="5"/>
      <c r="P873" s="5"/>
      <c r="Q873" s="5"/>
      <c r="R873" s="5"/>
    </row>
    <row r="874" ht="12.75" hidden="1" customHeight="1">
      <c r="A874" s="213"/>
      <c r="B874" s="214"/>
      <c r="C874" s="216"/>
      <c r="D874" s="216"/>
      <c r="E874" s="216"/>
      <c r="F874" s="216"/>
      <c r="G874" s="216"/>
      <c r="H874" s="216"/>
      <c r="I874" s="216"/>
      <c r="J874" s="216"/>
      <c r="K874" s="5"/>
      <c r="L874" s="5"/>
      <c r="M874" s="5"/>
      <c r="N874" s="5"/>
      <c r="O874" s="5"/>
      <c r="P874" s="5"/>
      <c r="Q874" s="5"/>
      <c r="R874" s="5"/>
    </row>
    <row r="875" ht="12.75" hidden="1" customHeight="1">
      <c r="A875" s="213"/>
      <c r="B875" s="214"/>
      <c r="C875" s="216"/>
      <c r="D875" s="216"/>
      <c r="E875" s="216"/>
      <c r="F875" s="216"/>
      <c r="G875" s="216"/>
      <c r="H875" s="216"/>
      <c r="I875" s="216"/>
      <c r="J875" s="216"/>
      <c r="K875" s="5"/>
      <c r="L875" s="5"/>
      <c r="M875" s="5"/>
      <c r="N875" s="5"/>
      <c r="O875" s="5"/>
      <c r="P875" s="5"/>
      <c r="Q875" s="5"/>
      <c r="R875" s="5"/>
    </row>
    <row r="876" ht="12.75" hidden="1" customHeight="1">
      <c r="A876" s="213"/>
      <c r="B876" s="214"/>
      <c r="C876" s="216"/>
      <c r="D876" s="216"/>
      <c r="E876" s="216"/>
      <c r="F876" s="216"/>
      <c r="G876" s="216"/>
      <c r="H876" s="216"/>
      <c r="I876" s="216"/>
      <c r="J876" s="216"/>
      <c r="K876" s="5"/>
      <c r="L876" s="5"/>
      <c r="M876" s="5"/>
      <c r="N876" s="5"/>
      <c r="O876" s="5"/>
      <c r="P876" s="5"/>
      <c r="Q876" s="5"/>
      <c r="R876" s="5"/>
    </row>
    <row r="877" ht="12.75" hidden="1" customHeight="1">
      <c r="A877" s="213"/>
      <c r="B877" s="214"/>
      <c r="C877" s="216"/>
      <c r="D877" s="216"/>
      <c r="E877" s="216"/>
      <c r="F877" s="216"/>
      <c r="G877" s="216"/>
      <c r="H877" s="216"/>
      <c r="I877" s="216"/>
      <c r="J877" s="216"/>
      <c r="K877" s="5"/>
      <c r="L877" s="5"/>
      <c r="M877" s="5"/>
      <c r="N877" s="5"/>
      <c r="O877" s="5"/>
      <c r="P877" s="5"/>
      <c r="Q877" s="5"/>
      <c r="R877" s="5"/>
    </row>
    <row r="878" ht="12.75" hidden="1" customHeight="1">
      <c r="A878" s="213"/>
      <c r="B878" s="214"/>
      <c r="C878" s="216"/>
      <c r="D878" s="216"/>
      <c r="E878" s="216"/>
      <c r="F878" s="216"/>
      <c r="G878" s="216"/>
      <c r="H878" s="216"/>
      <c r="I878" s="216"/>
      <c r="J878" s="216"/>
      <c r="K878" s="5"/>
      <c r="L878" s="5"/>
      <c r="M878" s="5"/>
      <c r="N878" s="5"/>
      <c r="O878" s="5"/>
      <c r="P878" s="5"/>
      <c r="Q878" s="5"/>
      <c r="R878" s="5"/>
    </row>
    <row r="879" ht="12.75" hidden="1" customHeight="1">
      <c r="A879" s="213"/>
      <c r="B879" s="214"/>
      <c r="C879" s="216"/>
      <c r="D879" s="216"/>
      <c r="E879" s="216"/>
      <c r="F879" s="216"/>
      <c r="G879" s="216"/>
      <c r="H879" s="216"/>
      <c r="I879" s="216"/>
      <c r="J879" s="216"/>
      <c r="K879" s="5"/>
      <c r="L879" s="5"/>
      <c r="M879" s="5"/>
      <c r="N879" s="5"/>
      <c r="O879" s="5"/>
      <c r="P879" s="5"/>
      <c r="Q879" s="5"/>
      <c r="R879" s="5"/>
    </row>
    <row r="880" ht="12.75" hidden="1" customHeight="1">
      <c r="A880" s="213"/>
      <c r="B880" s="214"/>
      <c r="C880" s="216"/>
      <c r="D880" s="216"/>
      <c r="E880" s="216"/>
      <c r="F880" s="216"/>
      <c r="G880" s="216"/>
      <c r="H880" s="216"/>
      <c r="I880" s="216"/>
      <c r="J880" s="216"/>
      <c r="K880" s="5"/>
      <c r="L880" s="5"/>
      <c r="M880" s="5"/>
      <c r="N880" s="5"/>
      <c r="O880" s="5"/>
      <c r="P880" s="5"/>
      <c r="Q880" s="5"/>
      <c r="R880" s="5"/>
    </row>
    <row r="881" ht="12.75" hidden="1" customHeight="1">
      <c r="A881" s="213"/>
      <c r="B881" s="214"/>
      <c r="C881" s="216"/>
      <c r="D881" s="216"/>
      <c r="E881" s="216"/>
      <c r="F881" s="216"/>
      <c r="G881" s="216"/>
      <c r="H881" s="216"/>
      <c r="I881" s="216"/>
      <c r="J881" s="216"/>
      <c r="K881" s="5"/>
      <c r="L881" s="5"/>
      <c r="M881" s="5"/>
      <c r="N881" s="5"/>
      <c r="O881" s="5"/>
      <c r="P881" s="5"/>
      <c r="Q881" s="5"/>
      <c r="R881" s="5"/>
    </row>
    <row r="882" ht="12.75" hidden="1" customHeight="1">
      <c r="A882" s="213"/>
      <c r="B882" s="214"/>
      <c r="C882" s="216"/>
      <c r="D882" s="216"/>
      <c r="E882" s="216"/>
      <c r="F882" s="216"/>
      <c r="G882" s="216"/>
      <c r="H882" s="216"/>
      <c r="I882" s="216"/>
      <c r="J882" s="216"/>
      <c r="K882" s="5"/>
      <c r="L882" s="5"/>
      <c r="M882" s="5"/>
      <c r="N882" s="5"/>
      <c r="O882" s="5"/>
      <c r="P882" s="5"/>
      <c r="Q882" s="5"/>
      <c r="R882" s="5"/>
    </row>
    <row r="883" ht="12.75" hidden="1" customHeight="1">
      <c r="A883" s="213"/>
      <c r="B883" s="214"/>
      <c r="C883" s="216"/>
      <c r="D883" s="216"/>
      <c r="E883" s="216"/>
      <c r="F883" s="216"/>
      <c r="G883" s="216"/>
      <c r="H883" s="216"/>
      <c r="I883" s="216"/>
      <c r="J883" s="216"/>
      <c r="K883" s="5"/>
      <c r="L883" s="5"/>
      <c r="M883" s="5"/>
      <c r="N883" s="5"/>
      <c r="O883" s="5"/>
      <c r="P883" s="5"/>
      <c r="Q883" s="5"/>
      <c r="R883" s="5"/>
    </row>
    <row r="884" ht="12.75" hidden="1" customHeight="1">
      <c r="A884" s="213"/>
      <c r="B884" s="214"/>
      <c r="C884" s="216"/>
      <c r="D884" s="216"/>
      <c r="E884" s="216"/>
      <c r="F884" s="216"/>
      <c r="G884" s="216"/>
      <c r="H884" s="216"/>
      <c r="I884" s="216"/>
      <c r="J884" s="216"/>
      <c r="K884" s="5"/>
      <c r="L884" s="5"/>
      <c r="M884" s="5"/>
      <c r="N884" s="5"/>
      <c r="O884" s="5"/>
      <c r="P884" s="5"/>
      <c r="Q884" s="5"/>
      <c r="R884" s="5"/>
    </row>
    <row r="885" ht="12.75" hidden="1" customHeight="1">
      <c r="A885" s="213"/>
      <c r="B885" s="214"/>
      <c r="C885" s="216"/>
      <c r="D885" s="216"/>
      <c r="E885" s="216"/>
      <c r="F885" s="216"/>
      <c r="G885" s="216"/>
      <c r="H885" s="216"/>
      <c r="I885" s="216"/>
      <c r="J885" s="216"/>
      <c r="K885" s="5"/>
      <c r="L885" s="5"/>
      <c r="M885" s="5"/>
      <c r="N885" s="5"/>
      <c r="O885" s="5"/>
      <c r="P885" s="5"/>
      <c r="Q885" s="5"/>
      <c r="R885" s="5"/>
    </row>
    <row r="886" ht="12.75" hidden="1" customHeight="1">
      <c r="A886" s="213"/>
      <c r="B886" s="214"/>
      <c r="C886" s="216"/>
      <c r="D886" s="216"/>
      <c r="E886" s="216"/>
      <c r="F886" s="216"/>
      <c r="G886" s="216"/>
      <c r="H886" s="216"/>
      <c r="I886" s="216"/>
      <c r="J886" s="216"/>
      <c r="K886" s="5"/>
      <c r="L886" s="5"/>
      <c r="M886" s="5"/>
      <c r="N886" s="5"/>
      <c r="O886" s="5"/>
      <c r="P886" s="5"/>
      <c r="Q886" s="5"/>
      <c r="R886" s="5"/>
    </row>
    <row r="887" ht="12.75" hidden="1" customHeight="1">
      <c r="A887" s="213"/>
      <c r="B887" s="214"/>
      <c r="C887" s="216"/>
      <c r="D887" s="216"/>
      <c r="E887" s="216"/>
      <c r="F887" s="216"/>
      <c r="G887" s="216"/>
      <c r="H887" s="216"/>
      <c r="I887" s="216"/>
      <c r="J887" s="216"/>
      <c r="K887" s="5"/>
      <c r="L887" s="5"/>
      <c r="M887" s="5"/>
      <c r="N887" s="5"/>
      <c r="O887" s="5"/>
      <c r="P887" s="5"/>
      <c r="Q887" s="5"/>
      <c r="R887" s="5"/>
    </row>
    <row r="888" ht="12.75" hidden="1" customHeight="1">
      <c r="A888" s="213"/>
      <c r="B888" s="214"/>
      <c r="C888" s="216"/>
      <c r="D888" s="216"/>
      <c r="E888" s="216"/>
      <c r="F888" s="216"/>
      <c r="G888" s="216"/>
      <c r="H888" s="216"/>
      <c r="I888" s="216"/>
      <c r="J888" s="216"/>
      <c r="K888" s="5"/>
      <c r="L888" s="5"/>
      <c r="M888" s="5"/>
      <c r="N888" s="5"/>
      <c r="O888" s="5"/>
      <c r="P888" s="5"/>
      <c r="Q888" s="5"/>
      <c r="R888" s="5"/>
    </row>
    <row r="889" ht="12.75" hidden="1" customHeight="1">
      <c r="A889" s="213"/>
      <c r="B889" s="214"/>
      <c r="C889" s="216"/>
      <c r="D889" s="216"/>
      <c r="E889" s="216"/>
      <c r="F889" s="216"/>
      <c r="G889" s="216"/>
      <c r="H889" s="216"/>
      <c r="I889" s="216"/>
      <c r="J889" s="216"/>
      <c r="K889" s="5"/>
      <c r="L889" s="5"/>
      <c r="M889" s="5"/>
      <c r="N889" s="5"/>
      <c r="O889" s="5"/>
      <c r="P889" s="5"/>
      <c r="Q889" s="5"/>
      <c r="R889" s="5"/>
    </row>
    <row r="890" ht="12.75" hidden="1" customHeight="1">
      <c r="A890" s="213"/>
      <c r="B890" s="214"/>
      <c r="C890" s="216"/>
      <c r="D890" s="216"/>
      <c r="E890" s="216"/>
      <c r="F890" s="216"/>
      <c r="G890" s="216"/>
      <c r="H890" s="216"/>
      <c r="I890" s="216"/>
      <c r="J890" s="216"/>
      <c r="K890" s="5"/>
      <c r="L890" s="5"/>
      <c r="M890" s="5"/>
      <c r="N890" s="5"/>
      <c r="O890" s="5"/>
      <c r="P890" s="5"/>
      <c r="Q890" s="5"/>
      <c r="R890" s="5"/>
    </row>
    <row r="891" ht="12.75" hidden="1" customHeight="1">
      <c r="A891" s="213"/>
      <c r="B891" s="214"/>
      <c r="C891" s="216"/>
      <c r="D891" s="216"/>
      <c r="E891" s="216"/>
      <c r="F891" s="216"/>
      <c r="G891" s="216"/>
      <c r="H891" s="216"/>
      <c r="I891" s="216"/>
      <c r="J891" s="216"/>
      <c r="K891" s="5"/>
      <c r="L891" s="5"/>
      <c r="M891" s="5"/>
      <c r="N891" s="5"/>
      <c r="O891" s="5"/>
      <c r="P891" s="5"/>
      <c r="Q891" s="5"/>
      <c r="R891" s="5"/>
    </row>
    <row r="892" ht="12.75" hidden="1" customHeight="1">
      <c r="A892" s="213"/>
      <c r="B892" s="214"/>
      <c r="C892" s="216"/>
      <c r="D892" s="216"/>
      <c r="E892" s="216"/>
      <c r="F892" s="216"/>
      <c r="G892" s="216"/>
      <c r="H892" s="216"/>
      <c r="I892" s="216"/>
      <c r="J892" s="216"/>
      <c r="K892" s="5"/>
      <c r="L892" s="5"/>
      <c r="M892" s="5"/>
      <c r="N892" s="5"/>
      <c r="O892" s="5"/>
      <c r="P892" s="5"/>
      <c r="Q892" s="5"/>
      <c r="R892" s="5"/>
    </row>
    <row r="893" ht="12.75" hidden="1" customHeight="1">
      <c r="A893" s="213"/>
      <c r="B893" s="214"/>
      <c r="C893" s="216"/>
      <c r="D893" s="216"/>
      <c r="E893" s="216"/>
      <c r="F893" s="216"/>
      <c r="G893" s="216"/>
      <c r="H893" s="216"/>
      <c r="I893" s="216"/>
      <c r="J893" s="216"/>
      <c r="K893" s="5"/>
      <c r="L893" s="5"/>
      <c r="M893" s="5"/>
      <c r="N893" s="5"/>
      <c r="O893" s="5"/>
      <c r="P893" s="5"/>
      <c r="Q893" s="5"/>
      <c r="R893" s="5"/>
    </row>
    <row r="894" ht="12.75" hidden="1" customHeight="1">
      <c r="A894" s="213"/>
      <c r="B894" s="214"/>
      <c r="C894" s="216"/>
      <c r="D894" s="216"/>
      <c r="E894" s="216"/>
      <c r="F894" s="216"/>
      <c r="G894" s="216"/>
      <c r="H894" s="216"/>
      <c r="I894" s="216"/>
      <c r="J894" s="216"/>
      <c r="K894" s="5"/>
      <c r="L894" s="5"/>
      <c r="M894" s="5"/>
      <c r="N894" s="5"/>
      <c r="O894" s="5"/>
      <c r="P894" s="5"/>
      <c r="Q894" s="5"/>
      <c r="R894" s="5"/>
    </row>
    <row r="895" ht="12.75" hidden="1" customHeight="1">
      <c r="A895" s="213"/>
      <c r="B895" s="214"/>
      <c r="C895" s="216"/>
      <c r="D895" s="216"/>
      <c r="E895" s="216"/>
      <c r="F895" s="216"/>
      <c r="G895" s="216"/>
      <c r="H895" s="216"/>
      <c r="I895" s="216"/>
      <c r="J895" s="216"/>
      <c r="K895" s="5"/>
      <c r="L895" s="5"/>
      <c r="M895" s="5"/>
      <c r="N895" s="5"/>
      <c r="O895" s="5"/>
      <c r="P895" s="5"/>
      <c r="Q895" s="5"/>
      <c r="R895" s="5"/>
    </row>
    <row r="896" ht="12.75" hidden="1" customHeight="1">
      <c r="A896" s="213"/>
      <c r="B896" s="214"/>
      <c r="C896" s="216"/>
      <c r="D896" s="216"/>
      <c r="E896" s="216"/>
      <c r="F896" s="216"/>
      <c r="G896" s="216"/>
      <c r="H896" s="216"/>
      <c r="I896" s="216"/>
      <c r="J896" s="216"/>
      <c r="K896" s="5"/>
      <c r="L896" s="5"/>
      <c r="M896" s="5"/>
      <c r="N896" s="5"/>
      <c r="O896" s="5"/>
      <c r="P896" s="5"/>
      <c r="Q896" s="5"/>
      <c r="R896" s="5"/>
    </row>
    <row r="897" ht="12.75" hidden="1" customHeight="1">
      <c r="A897" s="213"/>
      <c r="B897" s="214"/>
      <c r="C897" s="216"/>
      <c r="D897" s="216"/>
      <c r="E897" s="216"/>
      <c r="F897" s="216"/>
      <c r="G897" s="216"/>
      <c r="H897" s="216"/>
      <c r="I897" s="216"/>
      <c r="J897" s="216"/>
      <c r="K897" s="5"/>
      <c r="L897" s="5"/>
      <c r="M897" s="5"/>
      <c r="N897" s="5"/>
      <c r="O897" s="5"/>
      <c r="P897" s="5"/>
      <c r="Q897" s="5"/>
      <c r="R897" s="5"/>
    </row>
    <row r="898" ht="12.75" hidden="1" customHeight="1">
      <c r="A898" s="213"/>
      <c r="B898" s="214"/>
      <c r="C898" s="216"/>
      <c r="D898" s="216"/>
      <c r="E898" s="216"/>
      <c r="F898" s="216"/>
      <c r="G898" s="216"/>
      <c r="H898" s="216"/>
      <c r="I898" s="216"/>
      <c r="J898" s="216"/>
      <c r="K898" s="5"/>
      <c r="L898" s="5"/>
      <c r="M898" s="5"/>
      <c r="N898" s="5"/>
      <c r="O898" s="5"/>
      <c r="P898" s="5"/>
      <c r="Q898" s="5"/>
      <c r="R898" s="5"/>
    </row>
    <row r="899" ht="12.75" hidden="1" customHeight="1">
      <c r="A899" s="213"/>
      <c r="B899" s="214"/>
      <c r="C899" s="216"/>
      <c r="D899" s="216"/>
      <c r="E899" s="216"/>
      <c r="F899" s="216"/>
      <c r="G899" s="216"/>
      <c r="H899" s="216"/>
      <c r="I899" s="216"/>
      <c r="J899" s="216"/>
      <c r="K899" s="5"/>
      <c r="L899" s="5"/>
      <c r="M899" s="5"/>
      <c r="N899" s="5"/>
      <c r="O899" s="5"/>
      <c r="P899" s="5"/>
      <c r="Q899" s="5"/>
      <c r="R899" s="5"/>
    </row>
    <row r="900" ht="12.75" hidden="1" customHeight="1">
      <c r="A900" s="213"/>
      <c r="B900" s="214"/>
      <c r="C900" s="216"/>
      <c r="D900" s="216"/>
      <c r="E900" s="216"/>
      <c r="F900" s="216"/>
      <c r="G900" s="216"/>
      <c r="H900" s="216"/>
      <c r="I900" s="216"/>
      <c r="J900" s="216"/>
      <c r="K900" s="5"/>
      <c r="L900" s="5"/>
      <c r="M900" s="5"/>
      <c r="N900" s="5"/>
      <c r="O900" s="5"/>
      <c r="P900" s="5"/>
      <c r="Q900" s="5"/>
      <c r="R900" s="5"/>
    </row>
    <row r="901" ht="12.75" hidden="1" customHeight="1">
      <c r="A901" s="213"/>
      <c r="B901" s="214"/>
      <c r="C901" s="216"/>
      <c r="D901" s="216"/>
      <c r="E901" s="216"/>
      <c r="F901" s="216"/>
      <c r="G901" s="216"/>
      <c r="H901" s="216"/>
      <c r="I901" s="216"/>
      <c r="J901" s="216"/>
      <c r="K901" s="5"/>
      <c r="L901" s="5"/>
      <c r="M901" s="5"/>
      <c r="N901" s="5"/>
      <c r="O901" s="5"/>
      <c r="P901" s="5"/>
      <c r="Q901" s="5"/>
      <c r="R901" s="5"/>
    </row>
    <row r="902" ht="12.75" hidden="1" customHeight="1">
      <c r="A902" s="213"/>
      <c r="B902" s="214"/>
      <c r="C902" s="216"/>
      <c r="D902" s="216"/>
      <c r="E902" s="216"/>
      <c r="F902" s="216"/>
      <c r="G902" s="216"/>
      <c r="H902" s="216"/>
      <c r="I902" s="216"/>
      <c r="J902" s="216"/>
      <c r="K902" s="5"/>
      <c r="L902" s="5"/>
      <c r="M902" s="5"/>
      <c r="N902" s="5"/>
      <c r="O902" s="5"/>
      <c r="P902" s="5"/>
      <c r="Q902" s="5"/>
      <c r="R902" s="5"/>
    </row>
    <row r="903" ht="12.75" hidden="1" customHeight="1">
      <c r="A903" s="213"/>
      <c r="B903" s="214"/>
      <c r="C903" s="216"/>
      <c r="D903" s="216"/>
      <c r="E903" s="216"/>
      <c r="F903" s="216"/>
      <c r="G903" s="216"/>
      <c r="H903" s="216"/>
      <c r="I903" s="216"/>
      <c r="J903" s="216"/>
      <c r="K903" s="5"/>
      <c r="L903" s="5"/>
      <c r="M903" s="5"/>
      <c r="N903" s="5"/>
      <c r="O903" s="5"/>
      <c r="P903" s="5"/>
      <c r="Q903" s="5"/>
      <c r="R903" s="5"/>
    </row>
    <row r="904" ht="12.75" hidden="1" customHeight="1">
      <c r="A904" s="213"/>
      <c r="B904" s="214"/>
      <c r="C904" s="216"/>
      <c r="D904" s="216"/>
      <c r="E904" s="216"/>
      <c r="F904" s="216"/>
      <c r="G904" s="216"/>
      <c r="H904" s="216"/>
      <c r="I904" s="216"/>
      <c r="J904" s="216"/>
      <c r="K904" s="5"/>
      <c r="L904" s="5"/>
      <c r="M904" s="5"/>
      <c r="N904" s="5"/>
      <c r="O904" s="5"/>
      <c r="P904" s="5"/>
      <c r="Q904" s="5"/>
      <c r="R904" s="5"/>
    </row>
    <row r="905" ht="12.75" hidden="1" customHeight="1">
      <c r="A905" s="213"/>
      <c r="B905" s="214"/>
      <c r="C905" s="216"/>
      <c r="D905" s="216"/>
      <c r="E905" s="216"/>
      <c r="F905" s="216"/>
      <c r="G905" s="216"/>
      <c r="H905" s="216"/>
      <c r="I905" s="216"/>
      <c r="J905" s="216"/>
      <c r="K905" s="5"/>
      <c r="L905" s="5"/>
      <c r="M905" s="5"/>
      <c r="N905" s="5"/>
      <c r="O905" s="5"/>
      <c r="P905" s="5"/>
      <c r="Q905" s="5"/>
      <c r="R905" s="5"/>
    </row>
    <row r="906" ht="12.75" hidden="1" customHeight="1">
      <c r="A906" s="213"/>
      <c r="B906" s="214"/>
      <c r="C906" s="216"/>
      <c r="D906" s="216"/>
      <c r="E906" s="216"/>
      <c r="F906" s="216"/>
      <c r="G906" s="216"/>
      <c r="H906" s="216"/>
      <c r="I906" s="216"/>
      <c r="J906" s="216"/>
      <c r="K906" s="5"/>
      <c r="L906" s="5"/>
      <c r="M906" s="5"/>
      <c r="N906" s="5"/>
      <c r="O906" s="5"/>
      <c r="P906" s="5"/>
      <c r="Q906" s="5"/>
      <c r="R906" s="5"/>
    </row>
    <row r="907" ht="12.75" hidden="1" customHeight="1">
      <c r="A907" s="213"/>
      <c r="B907" s="214"/>
      <c r="C907" s="216"/>
      <c r="D907" s="216"/>
      <c r="E907" s="216"/>
      <c r="F907" s="216"/>
      <c r="G907" s="216"/>
      <c r="H907" s="216"/>
      <c r="I907" s="216"/>
      <c r="J907" s="216"/>
      <c r="K907" s="5"/>
      <c r="L907" s="5"/>
      <c r="M907" s="5"/>
      <c r="N907" s="5"/>
      <c r="O907" s="5"/>
      <c r="P907" s="5"/>
      <c r="Q907" s="5"/>
      <c r="R907" s="5"/>
    </row>
    <row r="908" ht="12.75" hidden="1" customHeight="1">
      <c r="A908" s="213"/>
      <c r="B908" s="214"/>
      <c r="C908" s="216"/>
      <c r="D908" s="216"/>
      <c r="E908" s="216"/>
      <c r="F908" s="216"/>
      <c r="G908" s="216"/>
      <c r="H908" s="216"/>
      <c r="I908" s="216"/>
      <c r="J908" s="216"/>
      <c r="K908" s="5"/>
      <c r="L908" s="5"/>
      <c r="M908" s="5"/>
      <c r="N908" s="5"/>
      <c r="O908" s="5"/>
      <c r="P908" s="5"/>
      <c r="Q908" s="5"/>
      <c r="R908" s="5"/>
    </row>
    <row r="909" ht="12.75" hidden="1" customHeight="1">
      <c r="A909" s="213"/>
      <c r="B909" s="214"/>
      <c r="C909" s="216"/>
      <c r="D909" s="216"/>
      <c r="E909" s="216"/>
      <c r="F909" s="216"/>
      <c r="G909" s="216"/>
      <c r="H909" s="216"/>
      <c r="I909" s="216"/>
      <c r="J909" s="216"/>
      <c r="K909" s="5"/>
      <c r="L909" s="5"/>
      <c r="M909" s="5"/>
      <c r="N909" s="5"/>
      <c r="O909" s="5"/>
      <c r="P909" s="5"/>
      <c r="Q909" s="5"/>
      <c r="R909" s="5"/>
    </row>
    <row r="910" ht="12.75" hidden="1" customHeight="1">
      <c r="A910" s="213"/>
      <c r="B910" s="214"/>
      <c r="C910" s="216"/>
      <c r="D910" s="216"/>
      <c r="E910" s="216"/>
      <c r="F910" s="216"/>
      <c r="G910" s="216"/>
      <c r="H910" s="216"/>
      <c r="I910" s="216"/>
      <c r="J910" s="216"/>
      <c r="K910" s="5"/>
      <c r="L910" s="5"/>
      <c r="M910" s="5"/>
      <c r="N910" s="5"/>
      <c r="O910" s="5"/>
      <c r="P910" s="5"/>
      <c r="Q910" s="5"/>
      <c r="R910" s="5"/>
    </row>
    <row r="911" ht="12.75" hidden="1" customHeight="1">
      <c r="A911" s="213"/>
      <c r="B911" s="214"/>
      <c r="C911" s="216"/>
      <c r="D911" s="216"/>
      <c r="E911" s="216"/>
      <c r="F911" s="216"/>
      <c r="G911" s="216"/>
      <c r="H911" s="216"/>
      <c r="I911" s="216"/>
      <c r="J911" s="216"/>
      <c r="K911" s="5"/>
      <c r="L911" s="5"/>
      <c r="M911" s="5"/>
      <c r="N911" s="5"/>
      <c r="O911" s="5"/>
      <c r="P911" s="5"/>
      <c r="Q911" s="5"/>
      <c r="R911" s="5"/>
    </row>
    <row r="912" ht="12.75" hidden="1" customHeight="1">
      <c r="A912" s="213"/>
      <c r="B912" s="214"/>
      <c r="C912" s="216"/>
      <c r="D912" s="216"/>
      <c r="E912" s="216"/>
      <c r="F912" s="216"/>
      <c r="G912" s="216"/>
      <c r="H912" s="216"/>
      <c r="I912" s="216"/>
      <c r="J912" s="216"/>
      <c r="K912" s="5"/>
      <c r="L912" s="5"/>
      <c r="M912" s="5"/>
      <c r="N912" s="5"/>
      <c r="O912" s="5"/>
      <c r="P912" s="5"/>
      <c r="Q912" s="5"/>
      <c r="R912" s="5"/>
    </row>
    <row r="913" ht="12.75" hidden="1" customHeight="1">
      <c r="A913" s="213"/>
      <c r="B913" s="214"/>
      <c r="C913" s="216"/>
      <c r="D913" s="216"/>
      <c r="E913" s="216"/>
      <c r="F913" s="216"/>
      <c r="G913" s="216"/>
      <c r="H913" s="216"/>
      <c r="I913" s="216"/>
      <c r="J913" s="216"/>
      <c r="K913" s="5"/>
      <c r="L913" s="5"/>
      <c r="M913" s="5"/>
      <c r="N913" s="5"/>
      <c r="O913" s="5"/>
      <c r="P913" s="5"/>
      <c r="Q913" s="5"/>
      <c r="R913" s="5"/>
    </row>
    <row r="914" ht="12.75" hidden="1" customHeight="1">
      <c r="A914" s="213"/>
      <c r="B914" s="214"/>
      <c r="C914" s="216"/>
      <c r="D914" s="216"/>
      <c r="E914" s="216"/>
      <c r="F914" s="216"/>
      <c r="G914" s="216"/>
      <c r="H914" s="216"/>
      <c r="I914" s="216"/>
      <c r="J914" s="216"/>
      <c r="K914" s="5"/>
      <c r="L914" s="5"/>
      <c r="M914" s="5"/>
      <c r="N914" s="5"/>
      <c r="O914" s="5"/>
      <c r="P914" s="5"/>
      <c r="Q914" s="5"/>
      <c r="R914" s="5"/>
    </row>
    <row r="915" ht="12.75" hidden="1" customHeight="1">
      <c r="A915" s="213"/>
      <c r="B915" s="214"/>
      <c r="C915" s="216"/>
      <c r="D915" s="216"/>
      <c r="E915" s="216"/>
      <c r="F915" s="216"/>
      <c r="G915" s="216"/>
      <c r="H915" s="216"/>
      <c r="I915" s="216"/>
      <c r="J915" s="216"/>
      <c r="K915" s="5"/>
      <c r="L915" s="5"/>
      <c r="M915" s="5"/>
      <c r="N915" s="5"/>
      <c r="O915" s="5"/>
      <c r="P915" s="5"/>
      <c r="Q915" s="5"/>
      <c r="R915" s="5"/>
    </row>
    <row r="916" ht="12.75" hidden="1" customHeight="1">
      <c r="A916" s="213"/>
      <c r="B916" s="214"/>
      <c r="C916" s="216"/>
      <c r="D916" s="216"/>
      <c r="E916" s="216"/>
      <c r="F916" s="216"/>
      <c r="G916" s="216"/>
      <c r="H916" s="216"/>
      <c r="I916" s="216"/>
      <c r="J916" s="216"/>
      <c r="K916" s="5"/>
      <c r="L916" s="5"/>
      <c r="M916" s="5"/>
      <c r="N916" s="5"/>
      <c r="O916" s="5"/>
      <c r="P916" s="5"/>
      <c r="Q916" s="5"/>
      <c r="R916" s="5"/>
    </row>
    <row r="917" ht="12.75" hidden="1" customHeight="1">
      <c r="A917" s="213"/>
      <c r="B917" s="214"/>
      <c r="C917" s="216"/>
      <c r="D917" s="216"/>
      <c r="E917" s="216"/>
      <c r="F917" s="216"/>
      <c r="G917" s="216"/>
      <c r="H917" s="216"/>
      <c r="I917" s="216"/>
      <c r="J917" s="216"/>
      <c r="K917" s="5"/>
      <c r="L917" s="5"/>
      <c r="M917" s="5"/>
      <c r="N917" s="5"/>
      <c r="O917" s="5"/>
      <c r="P917" s="5"/>
      <c r="Q917" s="5"/>
      <c r="R917" s="5"/>
    </row>
    <row r="918" ht="12.75" hidden="1" customHeight="1">
      <c r="A918" s="213"/>
      <c r="B918" s="214"/>
      <c r="C918" s="216"/>
      <c r="D918" s="216"/>
      <c r="E918" s="216"/>
      <c r="F918" s="216"/>
      <c r="G918" s="216"/>
      <c r="H918" s="216"/>
      <c r="I918" s="216"/>
      <c r="J918" s="216"/>
      <c r="K918" s="5"/>
      <c r="L918" s="5"/>
      <c r="M918" s="5"/>
      <c r="N918" s="5"/>
      <c r="O918" s="5"/>
      <c r="P918" s="5"/>
      <c r="Q918" s="5"/>
      <c r="R918" s="5"/>
    </row>
    <row r="919" ht="12.75" hidden="1" customHeight="1">
      <c r="A919" s="213"/>
      <c r="B919" s="214"/>
      <c r="C919" s="216"/>
      <c r="D919" s="216"/>
      <c r="E919" s="216"/>
      <c r="F919" s="216"/>
      <c r="G919" s="216"/>
      <c r="H919" s="216"/>
      <c r="I919" s="216"/>
      <c r="J919" s="216"/>
      <c r="K919" s="5"/>
      <c r="L919" s="5"/>
      <c r="M919" s="5"/>
      <c r="N919" s="5"/>
      <c r="O919" s="5"/>
      <c r="P919" s="5"/>
      <c r="Q919" s="5"/>
      <c r="R919" s="5"/>
    </row>
    <row r="920" ht="12.75" hidden="1" customHeight="1">
      <c r="A920" s="213"/>
      <c r="B920" s="214"/>
      <c r="C920" s="216"/>
      <c r="D920" s="216"/>
      <c r="E920" s="216"/>
      <c r="F920" s="216"/>
      <c r="G920" s="216"/>
      <c r="H920" s="216"/>
      <c r="I920" s="216"/>
      <c r="J920" s="216"/>
      <c r="K920" s="5"/>
      <c r="L920" s="5"/>
      <c r="M920" s="5"/>
      <c r="N920" s="5"/>
      <c r="O920" s="5"/>
      <c r="P920" s="5"/>
      <c r="Q920" s="5"/>
      <c r="R920" s="5"/>
    </row>
    <row r="921" ht="12.75" hidden="1" customHeight="1">
      <c r="A921" s="213"/>
      <c r="B921" s="214"/>
      <c r="C921" s="216"/>
      <c r="D921" s="216"/>
      <c r="E921" s="216"/>
      <c r="F921" s="216"/>
      <c r="G921" s="216"/>
      <c r="H921" s="216"/>
      <c r="I921" s="216"/>
      <c r="J921" s="216"/>
      <c r="K921" s="5"/>
      <c r="L921" s="5"/>
      <c r="M921" s="5"/>
      <c r="N921" s="5"/>
      <c r="O921" s="5"/>
      <c r="P921" s="5"/>
      <c r="Q921" s="5"/>
      <c r="R921" s="5"/>
    </row>
    <row r="922" ht="12.75" hidden="1" customHeight="1">
      <c r="A922" s="213"/>
      <c r="B922" s="214"/>
      <c r="C922" s="216"/>
      <c r="D922" s="216"/>
      <c r="E922" s="216"/>
      <c r="F922" s="216"/>
      <c r="G922" s="216"/>
      <c r="H922" s="216"/>
      <c r="I922" s="216"/>
      <c r="J922" s="216"/>
      <c r="K922" s="5"/>
      <c r="L922" s="5"/>
      <c r="M922" s="5"/>
      <c r="N922" s="5"/>
      <c r="O922" s="5"/>
      <c r="P922" s="5"/>
      <c r="Q922" s="5"/>
      <c r="R922" s="5"/>
    </row>
    <row r="923" ht="12.75" hidden="1" customHeight="1">
      <c r="A923" s="213"/>
      <c r="B923" s="214"/>
      <c r="C923" s="216"/>
      <c r="D923" s="216"/>
      <c r="E923" s="216"/>
      <c r="F923" s="216"/>
      <c r="G923" s="216"/>
      <c r="H923" s="216"/>
      <c r="I923" s="216"/>
      <c r="J923" s="216"/>
      <c r="K923" s="5"/>
      <c r="L923" s="5"/>
      <c r="M923" s="5"/>
      <c r="N923" s="5"/>
      <c r="O923" s="5"/>
      <c r="P923" s="5"/>
      <c r="Q923" s="5"/>
      <c r="R923" s="5"/>
    </row>
    <row r="924" ht="12.75" hidden="1" customHeight="1">
      <c r="A924" s="213"/>
      <c r="B924" s="214"/>
      <c r="C924" s="216"/>
      <c r="D924" s="216"/>
      <c r="E924" s="216"/>
      <c r="F924" s="216"/>
      <c r="G924" s="216"/>
      <c r="H924" s="216"/>
      <c r="I924" s="216"/>
      <c r="J924" s="216"/>
      <c r="K924" s="5"/>
      <c r="L924" s="5"/>
      <c r="M924" s="5"/>
      <c r="N924" s="5"/>
      <c r="O924" s="5"/>
      <c r="P924" s="5"/>
      <c r="Q924" s="5"/>
      <c r="R924" s="5"/>
    </row>
    <row r="925" ht="12.75" hidden="1" customHeight="1">
      <c r="A925" s="213"/>
      <c r="B925" s="214"/>
      <c r="C925" s="216"/>
      <c r="D925" s="216"/>
      <c r="E925" s="216"/>
      <c r="F925" s="216"/>
      <c r="G925" s="216"/>
      <c r="H925" s="216"/>
      <c r="I925" s="216"/>
      <c r="J925" s="216"/>
      <c r="K925" s="5"/>
      <c r="L925" s="5"/>
      <c r="M925" s="5"/>
      <c r="N925" s="5"/>
      <c r="O925" s="5"/>
      <c r="P925" s="5"/>
      <c r="Q925" s="5"/>
      <c r="R925" s="5"/>
    </row>
    <row r="926" ht="12.75" hidden="1" customHeight="1">
      <c r="A926" s="213"/>
      <c r="B926" s="214"/>
      <c r="C926" s="216"/>
      <c r="D926" s="216"/>
      <c r="E926" s="216"/>
      <c r="F926" s="216"/>
      <c r="G926" s="216"/>
      <c r="H926" s="216"/>
      <c r="I926" s="216"/>
      <c r="J926" s="216"/>
      <c r="K926" s="5"/>
      <c r="L926" s="5"/>
      <c r="M926" s="5"/>
      <c r="N926" s="5"/>
      <c r="O926" s="5"/>
      <c r="P926" s="5"/>
      <c r="Q926" s="5"/>
      <c r="R926" s="5"/>
    </row>
    <row r="927" ht="12.75" hidden="1" customHeight="1">
      <c r="A927" s="213"/>
      <c r="B927" s="214"/>
      <c r="C927" s="216"/>
      <c r="D927" s="216"/>
      <c r="E927" s="216"/>
      <c r="F927" s="216"/>
      <c r="G927" s="216"/>
      <c r="H927" s="216"/>
      <c r="I927" s="216"/>
      <c r="J927" s="216"/>
      <c r="K927" s="5"/>
      <c r="L927" s="5"/>
      <c r="M927" s="5"/>
      <c r="N927" s="5"/>
      <c r="O927" s="5"/>
      <c r="P927" s="5"/>
      <c r="Q927" s="5"/>
      <c r="R927" s="5"/>
    </row>
    <row r="928" ht="12.75" hidden="1" customHeight="1">
      <c r="A928" s="213"/>
      <c r="B928" s="214"/>
      <c r="C928" s="216"/>
      <c r="D928" s="216"/>
      <c r="E928" s="216"/>
      <c r="F928" s="216"/>
      <c r="G928" s="216"/>
      <c r="H928" s="216"/>
      <c r="I928" s="216"/>
      <c r="J928" s="216"/>
      <c r="K928" s="5"/>
      <c r="L928" s="5"/>
      <c r="M928" s="5"/>
      <c r="N928" s="5"/>
      <c r="O928" s="5"/>
      <c r="P928" s="5"/>
      <c r="Q928" s="5"/>
      <c r="R928" s="5"/>
    </row>
    <row r="929" ht="12.75" hidden="1" customHeight="1">
      <c r="A929" s="213"/>
      <c r="B929" s="214"/>
      <c r="C929" s="216"/>
      <c r="D929" s="216"/>
      <c r="E929" s="216"/>
      <c r="F929" s="216"/>
      <c r="G929" s="216"/>
      <c r="H929" s="216"/>
      <c r="I929" s="216"/>
      <c r="J929" s="216"/>
      <c r="K929" s="5"/>
      <c r="L929" s="5"/>
      <c r="M929" s="5"/>
      <c r="N929" s="5"/>
      <c r="O929" s="5"/>
      <c r="P929" s="5"/>
      <c r="Q929" s="5"/>
      <c r="R929" s="5"/>
    </row>
    <row r="930" ht="12.75" hidden="1" customHeight="1">
      <c r="A930" s="213"/>
      <c r="B930" s="214"/>
      <c r="C930" s="216"/>
      <c r="D930" s="216"/>
      <c r="E930" s="216"/>
      <c r="F930" s="216"/>
      <c r="G930" s="216"/>
      <c r="H930" s="216"/>
      <c r="I930" s="216"/>
      <c r="J930" s="216"/>
      <c r="K930" s="5"/>
      <c r="L930" s="5"/>
      <c r="M930" s="5"/>
      <c r="N930" s="5"/>
      <c r="O930" s="5"/>
      <c r="P930" s="5"/>
      <c r="Q930" s="5"/>
      <c r="R930" s="5"/>
    </row>
    <row r="931" ht="12.75" hidden="1" customHeight="1">
      <c r="A931" s="213"/>
      <c r="B931" s="214"/>
      <c r="C931" s="216"/>
      <c r="D931" s="216"/>
      <c r="E931" s="216"/>
      <c r="F931" s="216"/>
      <c r="G931" s="216"/>
      <c r="H931" s="216"/>
      <c r="I931" s="216"/>
      <c r="J931" s="216"/>
      <c r="K931" s="5"/>
      <c r="L931" s="5"/>
      <c r="M931" s="5"/>
      <c r="N931" s="5"/>
      <c r="O931" s="5"/>
      <c r="P931" s="5"/>
      <c r="Q931" s="5"/>
      <c r="R931" s="5"/>
    </row>
    <row r="932" ht="12.75" hidden="1" customHeight="1">
      <c r="A932" s="213"/>
      <c r="B932" s="214"/>
      <c r="C932" s="216"/>
      <c r="D932" s="216"/>
      <c r="E932" s="216"/>
      <c r="F932" s="216"/>
      <c r="G932" s="216"/>
      <c r="H932" s="216"/>
      <c r="I932" s="216"/>
      <c r="J932" s="216"/>
      <c r="K932" s="5"/>
      <c r="L932" s="5"/>
      <c r="M932" s="5"/>
      <c r="N932" s="5"/>
      <c r="O932" s="5"/>
      <c r="P932" s="5"/>
      <c r="Q932" s="5"/>
      <c r="R932" s="5"/>
    </row>
    <row r="933" ht="12.75" hidden="1" customHeight="1">
      <c r="A933" s="213"/>
      <c r="B933" s="214"/>
      <c r="C933" s="216"/>
      <c r="D933" s="216"/>
      <c r="E933" s="216"/>
      <c r="F933" s="216"/>
      <c r="G933" s="216"/>
      <c r="H933" s="216"/>
      <c r="I933" s="216"/>
      <c r="J933" s="216"/>
      <c r="K933" s="5"/>
      <c r="L933" s="5"/>
      <c r="M933" s="5"/>
      <c r="N933" s="5"/>
      <c r="O933" s="5"/>
      <c r="P933" s="5"/>
      <c r="Q933" s="5"/>
      <c r="R933" s="5"/>
    </row>
    <row r="934" ht="12.75" hidden="1" customHeight="1">
      <c r="A934" s="213"/>
      <c r="B934" s="214"/>
      <c r="C934" s="216"/>
      <c r="D934" s="216"/>
      <c r="E934" s="216"/>
      <c r="F934" s="216"/>
      <c r="G934" s="216"/>
      <c r="H934" s="216"/>
      <c r="I934" s="216"/>
      <c r="J934" s="216"/>
      <c r="K934" s="5"/>
      <c r="L934" s="5"/>
      <c r="M934" s="5"/>
      <c r="N934" s="5"/>
      <c r="O934" s="5"/>
      <c r="P934" s="5"/>
      <c r="Q934" s="5"/>
      <c r="R934" s="5"/>
    </row>
    <row r="935" ht="12.75" hidden="1" customHeight="1">
      <c r="A935" s="213"/>
      <c r="B935" s="214"/>
      <c r="C935" s="216"/>
      <c r="D935" s="216"/>
      <c r="E935" s="216"/>
      <c r="F935" s="216"/>
      <c r="G935" s="216"/>
      <c r="H935" s="216"/>
      <c r="I935" s="216"/>
      <c r="J935" s="216"/>
      <c r="K935" s="5"/>
      <c r="L935" s="5"/>
      <c r="M935" s="5"/>
      <c r="N935" s="5"/>
      <c r="O935" s="5"/>
      <c r="P935" s="5"/>
      <c r="Q935" s="5"/>
      <c r="R935" s="5"/>
    </row>
    <row r="936" ht="12.75" hidden="1" customHeight="1">
      <c r="A936" s="213"/>
      <c r="B936" s="214"/>
      <c r="C936" s="216"/>
      <c r="D936" s="216"/>
      <c r="E936" s="216"/>
      <c r="F936" s="216"/>
      <c r="G936" s="216"/>
      <c r="H936" s="216"/>
      <c r="I936" s="216"/>
      <c r="J936" s="216"/>
      <c r="K936" s="5"/>
      <c r="L936" s="5"/>
      <c r="M936" s="5"/>
      <c r="N936" s="5"/>
      <c r="O936" s="5"/>
      <c r="P936" s="5"/>
      <c r="Q936" s="5"/>
      <c r="R936" s="5"/>
    </row>
    <row r="937" ht="12.75" hidden="1" customHeight="1">
      <c r="A937" s="213"/>
      <c r="B937" s="214"/>
      <c r="C937" s="216"/>
      <c r="D937" s="216"/>
      <c r="E937" s="216"/>
      <c r="F937" s="216"/>
      <c r="G937" s="216"/>
      <c r="H937" s="216"/>
      <c r="I937" s="216"/>
      <c r="J937" s="216"/>
      <c r="K937" s="5"/>
      <c r="L937" s="5"/>
      <c r="M937" s="5"/>
      <c r="N937" s="5"/>
      <c r="O937" s="5"/>
      <c r="P937" s="5"/>
      <c r="Q937" s="5"/>
      <c r="R937" s="5"/>
    </row>
    <row r="938" ht="12.75" hidden="1" customHeight="1">
      <c r="A938" s="213"/>
      <c r="B938" s="214"/>
      <c r="C938" s="216"/>
      <c r="D938" s="216"/>
      <c r="E938" s="216"/>
      <c r="F938" s="216"/>
      <c r="G938" s="216"/>
      <c r="H938" s="216"/>
      <c r="I938" s="216"/>
      <c r="J938" s="216"/>
      <c r="K938" s="5"/>
      <c r="L938" s="5"/>
      <c r="M938" s="5"/>
      <c r="N938" s="5"/>
      <c r="O938" s="5"/>
      <c r="P938" s="5"/>
      <c r="Q938" s="5"/>
      <c r="R938" s="5"/>
    </row>
    <row r="939" ht="12.75" hidden="1" customHeight="1">
      <c r="A939" s="213"/>
      <c r="B939" s="214"/>
      <c r="C939" s="216"/>
      <c r="D939" s="216"/>
      <c r="E939" s="216"/>
      <c r="F939" s="216"/>
      <c r="G939" s="216"/>
      <c r="H939" s="216"/>
      <c r="I939" s="216"/>
      <c r="J939" s="216"/>
      <c r="K939" s="5"/>
      <c r="L939" s="5"/>
      <c r="M939" s="5"/>
      <c r="N939" s="5"/>
      <c r="O939" s="5"/>
      <c r="P939" s="5"/>
      <c r="Q939" s="5"/>
      <c r="R939" s="5"/>
    </row>
    <row r="940" ht="12.75" hidden="1" customHeight="1">
      <c r="A940" s="213"/>
      <c r="B940" s="214"/>
      <c r="C940" s="216"/>
      <c r="D940" s="216"/>
      <c r="E940" s="216"/>
      <c r="F940" s="216"/>
      <c r="G940" s="216"/>
      <c r="H940" s="216"/>
      <c r="I940" s="216"/>
      <c r="J940" s="216"/>
      <c r="K940" s="5"/>
      <c r="L940" s="5"/>
      <c r="M940" s="5"/>
      <c r="N940" s="5"/>
      <c r="O940" s="5"/>
      <c r="P940" s="5"/>
      <c r="Q940" s="5"/>
      <c r="R940" s="5"/>
    </row>
    <row r="941" ht="12.75" hidden="1" customHeight="1">
      <c r="A941" s="213"/>
      <c r="B941" s="214"/>
      <c r="C941" s="216"/>
      <c r="D941" s="216"/>
      <c r="E941" s="216"/>
      <c r="F941" s="216"/>
      <c r="G941" s="216"/>
      <c r="H941" s="216"/>
      <c r="I941" s="216"/>
      <c r="J941" s="216"/>
      <c r="K941" s="5"/>
      <c r="L941" s="5"/>
      <c r="M941" s="5"/>
      <c r="N941" s="5"/>
      <c r="O941" s="5"/>
      <c r="P941" s="5"/>
      <c r="Q941" s="5"/>
      <c r="R941" s="5"/>
    </row>
    <row r="942" ht="12.75" hidden="1" customHeight="1">
      <c r="A942" s="213"/>
      <c r="B942" s="214"/>
      <c r="C942" s="216"/>
      <c r="D942" s="216"/>
      <c r="E942" s="216"/>
      <c r="F942" s="216"/>
      <c r="G942" s="216"/>
      <c r="H942" s="216"/>
      <c r="I942" s="216"/>
      <c r="J942" s="216"/>
      <c r="K942" s="5"/>
      <c r="L942" s="5"/>
      <c r="M942" s="5"/>
      <c r="N942" s="5"/>
      <c r="O942" s="5"/>
      <c r="P942" s="5"/>
      <c r="Q942" s="5"/>
      <c r="R942" s="5"/>
    </row>
    <row r="943" ht="12.75" hidden="1" customHeight="1">
      <c r="A943" s="213"/>
      <c r="B943" s="214"/>
      <c r="C943" s="216"/>
      <c r="D943" s="216"/>
      <c r="E943" s="216"/>
      <c r="F943" s="216"/>
      <c r="G943" s="216"/>
      <c r="H943" s="216"/>
      <c r="I943" s="216"/>
      <c r="J943" s="216"/>
      <c r="K943" s="5"/>
      <c r="L943" s="5"/>
      <c r="M943" s="5"/>
      <c r="N943" s="5"/>
      <c r="O943" s="5"/>
      <c r="P943" s="5"/>
      <c r="Q943" s="5"/>
      <c r="R943" s="5"/>
    </row>
    <row r="944" ht="12.75" hidden="1" customHeight="1">
      <c r="A944" s="213"/>
      <c r="B944" s="214"/>
      <c r="C944" s="216"/>
      <c r="D944" s="216"/>
      <c r="E944" s="216"/>
      <c r="F944" s="216"/>
      <c r="G944" s="216"/>
      <c r="H944" s="216"/>
      <c r="I944" s="216"/>
      <c r="J944" s="216"/>
      <c r="K944" s="5"/>
      <c r="L944" s="5"/>
      <c r="M944" s="5"/>
      <c r="N944" s="5"/>
      <c r="O944" s="5"/>
      <c r="P944" s="5"/>
      <c r="Q944" s="5"/>
      <c r="R944" s="5"/>
    </row>
    <row r="945" ht="12.75" hidden="1" customHeight="1">
      <c r="A945" s="213"/>
      <c r="B945" s="214"/>
      <c r="C945" s="216"/>
      <c r="D945" s="216"/>
      <c r="E945" s="216"/>
      <c r="F945" s="216"/>
      <c r="G945" s="216"/>
      <c r="H945" s="216"/>
      <c r="I945" s="216"/>
      <c r="J945" s="216"/>
      <c r="K945" s="5"/>
      <c r="L945" s="5"/>
      <c r="M945" s="5"/>
      <c r="N945" s="5"/>
      <c r="O945" s="5"/>
      <c r="P945" s="5"/>
      <c r="Q945" s="5"/>
      <c r="R945" s="5"/>
    </row>
    <row r="946" ht="12.75" hidden="1" customHeight="1">
      <c r="A946" s="213"/>
      <c r="B946" s="214"/>
      <c r="C946" s="216"/>
      <c r="D946" s="216"/>
      <c r="E946" s="216"/>
      <c r="F946" s="216"/>
      <c r="G946" s="216"/>
      <c r="H946" s="216"/>
      <c r="I946" s="216"/>
      <c r="J946" s="216"/>
      <c r="K946" s="5"/>
      <c r="L946" s="5"/>
      <c r="M946" s="5"/>
      <c r="N946" s="5"/>
      <c r="O946" s="5"/>
      <c r="P946" s="5"/>
      <c r="Q946" s="5"/>
      <c r="R946" s="5"/>
    </row>
    <row r="947" ht="12.75" hidden="1" customHeight="1">
      <c r="A947" s="213"/>
      <c r="B947" s="214"/>
      <c r="C947" s="216"/>
      <c r="D947" s="216"/>
      <c r="E947" s="216"/>
      <c r="F947" s="216"/>
      <c r="G947" s="216"/>
      <c r="H947" s="216"/>
      <c r="I947" s="216"/>
      <c r="J947" s="216"/>
      <c r="K947" s="5"/>
      <c r="L947" s="5"/>
      <c r="M947" s="5"/>
      <c r="N947" s="5"/>
      <c r="O947" s="5"/>
      <c r="P947" s="5"/>
      <c r="Q947" s="5"/>
      <c r="R947" s="5"/>
    </row>
    <row r="948" ht="12.75" hidden="1" customHeight="1">
      <c r="A948" s="213"/>
      <c r="B948" s="214"/>
      <c r="C948" s="216"/>
      <c r="D948" s="216"/>
      <c r="E948" s="216"/>
      <c r="F948" s="216"/>
      <c r="G948" s="216"/>
      <c r="H948" s="216"/>
      <c r="I948" s="216"/>
      <c r="J948" s="216"/>
      <c r="K948" s="5"/>
      <c r="L948" s="5"/>
      <c r="M948" s="5"/>
      <c r="N948" s="5"/>
      <c r="O948" s="5"/>
      <c r="P948" s="5"/>
      <c r="Q948" s="5"/>
      <c r="R948" s="5"/>
    </row>
    <row r="949" ht="12.75" hidden="1" customHeight="1">
      <c r="A949" s="213"/>
      <c r="B949" s="214"/>
      <c r="C949" s="216"/>
      <c r="D949" s="216"/>
      <c r="E949" s="216"/>
      <c r="F949" s="216"/>
      <c r="G949" s="216"/>
      <c r="H949" s="216"/>
      <c r="I949" s="216"/>
      <c r="J949" s="216"/>
      <c r="K949" s="5"/>
      <c r="L949" s="5"/>
      <c r="M949" s="5"/>
      <c r="N949" s="5"/>
      <c r="O949" s="5"/>
      <c r="P949" s="5"/>
      <c r="Q949" s="5"/>
      <c r="R949" s="5"/>
    </row>
    <row r="950" ht="12.75" hidden="1" customHeight="1">
      <c r="A950" s="213"/>
      <c r="B950" s="214"/>
      <c r="C950" s="216"/>
      <c r="D950" s="216"/>
      <c r="E950" s="216"/>
      <c r="F950" s="216"/>
      <c r="G950" s="216"/>
      <c r="H950" s="216"/>
      <c r="I950" s="216"/>
      <c r="J950" s="216"/>
      <c r="K950" s="5"/>
      <c r="L950" s="5"/>
      <c r="M950" s="5"/>
      <c r="N950" s="5"/>
      <c r="O950" s="5"/>
      <c r="P950" s="5"/>
      <c r="Q950" s="5"/>
      <c r="R950" s="5"/>
    </row>
    <row r="951" ht="12.75" hidden="1" customHeight="1">
      <c r="A951" s="213"/>
      <c r="B951" s="214"/>
      <c r="C951" s="216"/>
      <c r="D951" s="216"/>
      <c r="E951" s="216"/>
      <c r="F951" s="216"/>
      <c r="G951" s="216"/>
      <c r="H951" s="216"/>
      <c r="I951" s="216"/>
      <c r="J951" s="216"/>
      <c r="K951" s="5"/>
      <c r="L951" s="5"/>
      <c r="M951" s="5"/>
      <c r="N951" s="5"/>
      <c r="O951" s="5"/>
      <c r="P951" s="5"/>
      <c r="Q951" s="5"/>
      <c r="R951" s="5"/>
    </row>
    <row r="952" ht="12.75" hidden="1" customHeight="1">
      <c r="A952" s="213"/>
      <c r="B952" s="214"/>
      <c r="C952" s="216"/>
      <c r="D952" s="216"/>
      <c r="E952" s="216"/>
      <c r="F952" s="216"/>
      <c r="G952" s="216"/>
      <c r="H952" s="216"/>
      <c r="I952" s="216"/>
      <c r="J952" s="216"/>
      <c r="K952" s="5"/>
      <c r="L952" s="5"/>
      <c r="M952" s="5"/>
      <c r="N952" s="5"/>
      <c r="O952" s="5"/>
      <c r="P952" s="5"/>
      <c r="Q952" s="5"/>
      <c r="R952" s="5"/>
    </row>
    <row r="953" ht="12.75" hidden="1" customHeight="1">
      <c r="A953" s="213"/>
      <c r="B953" s="214"/>
      <c r="C953" s="216"/>
      <c r="D953" s="216"/>
      <c r="E953" s="216"/>
      <c r="F953" s="216"/>
      <c r="G953" s="216"/>
      <c r="H953" s="216"/>
      <c r="I953" s="216"/>
      <c r="J953" s="216"/>
      <c r="K953" s="5"/>
      <c r="L953" s="5"/>
      <c r="M953" s="5"/>
      <c r="N953" s="5"/>
      <c r="O953" s="5"/>
      <c r="P953" s="5"/>
      <c r="Q953" s="5"/>
      <c r="R953" s="5"/>
    </row>
    <row r="954" ht="12.75" hidden="1" customHeight="1">
      <c r="A954" s="213"/>
      <c r="B954" s="214"/>
      <c r="C954" s="216"/>
      <c r="D954" s="216"/>
      <c r="E954" s="216"/>
      <c r="F954" s="216"/>
      <c r="G954" s="216"/>
      <c r="H954" s="216"/>
      <c r="I954" s="216"/>
      <c r="J954" s="216"/>
      <c r="K954" s="5"/>
      <c r="L954" s="5"/>
      <c r="M954" s="5"/>
      <c r="N954" s="5"/>
      <c r="O954" s="5"/>
      <c r="P954" s="5"/>
      <c r="Q954" s="5"/>
      <c r="R954" s="5"/>
    </row>
    <row r="955" ht="12.75" hidden="1" customHeight="1">
      <c r="A955" s="213"/>
      <c r="B955" s="214"/>
      <c r="C955" s="216"/>
      <c r="D955" s="216"/>
      <c r="E955" s="216"/>
      <c r="F955" s="216"/>
      <c r="G955" s="216"/>
      <c r="H955" s="216"/>
      <c r="I955" s="216"/>
      <c r="J955" s="216"/>
      <c r="K955" s="5"/>
      <c r="L955" s="5"/>
      <c r="M955" s="5"/>
      <c r="N955" s="5"/>
      <c r="O955" s="5"/>
      <c r="P955" s="5"/>
      <c r="Q955" s="5"/>
      <c r="R955" s="5"/>
    </row>
    <row r="956" ht="12.75" hidden="1" customHeight="1">
      <c r="A956" s="213"/>
      <c r="B956" s="214"/>
      <c r="C956" s="216"/>
      <c r="D956" s="216"/>
      <c r="E956" s="216"/>
      <c r="F956" s="216"/>
      <c r="G956" s="216"/>
      <c r="H956" s="216"/>
      <c r="I956" s="216"/>
      <c r="J956" s="216"/>
      <c r="K956" s="5"/>
      <c r="L956" s="5"/>
      <c r="M956" s="5"/>
      <c r="N956" s="5"/>
      <c r="O956" s="5"/>
      <c r="P956" s="5"/>
      <c r="Q956" s="5"/>
      <c r="R956" s="5"/>
    </row>
    <row r="957" ht="12.75" hidden="1" customHeight="1">
      <c r="A957" s="213"/>
      <c r="B957" s="214"/>
      <c r="C957" s="216"/>
      <c r="D957" s="216"/>
      <c r="E957" s="216"/>
      <c r="F957" s="216"/>
      <c r="G957" s="216"/>
      <c r="H957" s="216"/>
      <c r="I957" s="216"/>
      <c r="J957" s="216"/>
      <c r="K957" s="5"/>
      <c r="L957" s="5"/>
      <c r="M957" s="5"/>
      <c r="N957" s="5"/>
      <c r="O957" s="5"/>
      <c r="P957" s="5"/>
      <c r="Q957" s="5"/>
      <c r="R957" s="5"/>
    </row>
    <row r="958" ht="12.75" hidden="1" customHeight="1">
      <c r="A958" s="213"/>
      <c r="B958" s="214"/>
      <c r="C958" s="216"/>
      <c r="D958" s="216"/>
      <c r="E958" s="216"/>
      <c r="F958" s="216"/>
      <c r="G958" s="216"/>
      <c r="H958" s="216"/>
      <c r="I958" s="216"/>
      <c r="J958" s="216"/>
      <c r="K958" s="5"/>
      <c r="L958" s="5"/>
      <c r="M958" s="5"/>
      <c r="N958" s="5"/>
      <c r="O958" s="5"/>
      <c r="P958" s="5"/>
      <c r="Q958" s="5"/>
      <c r="R958" s="5"/>
    </row>
    <row r="959" ht="12.75" hidden="1" customHeight="1">
      <c r="A959" s="213"/>
      <c r="B959" s="214"/>
      <c r="C959" s="216"/>
      <c r="D959" s="216"/>
      <c r="E959" s="216"/>
      <c r="F959" s="216"/>
      <c r="G959" s="216"/>
      <c r="H959" s="216"/>
      <c r="I959" s="216"/>
      <c r="J959" s="216"/>
      <c r="K959" s="5"/>
      <c r="L959" s="5"/>
      <c r="M959" s="5"/>
      <c r="N959" s="5"/>
      <c r="O959" s="5"/>
      <c r="P959" s="5"/>
      <c r="Q959" s="5"/>
      <c r="R959" s="5"/>
    </row>
    <row r="960" ht="12.75" hidden="1" customHeight="1">
      <c r="A960" s="213"/>
      <c r="B960" s="214"/>
      <c r="C960" s="216"/>
      <c r="D960" s="216"/>
      <c r="E960" s="216"/>
      <c r="F960" s="216"/>
      <c r="G960" s="216"/>
      <c r="H960" s="216"/>
      <c r="I960" s="216"/>
      <c r="J960" s="216"/>
      <c r="K960" s="5"/>
      <c r="L960" s="5"/>
      <c r="M960" s="5"/>
      <c r="N960" s="5"/>
      <c r="O960" s="5"/>
      <c r="P960" s="5"/>
      <c r="Q960" s="5"/>
      <c r="R960" s="5"/>
    </row>
    <row r="961" ht="12.75" hidden="1" customHeight="1">
      <c r="A961" s="213"/>
      <c r="B961" s="214"/>
      <c r="C961" s="216"/>
      <c r="D961" s="216"/>
      <c r="E961" s="216"/>
      <c r="F961" s="216"/>
      <c r="G961" s="216"/>
      <c r="H961" s="216"/>
      <c r="I961" s="216"/>
      <c r="J961" s="216"/>
      <c r="K961" s="5"/>
      <c r="L961" s="5"/>
      <c r="M961" s="5"/>
      <c r="N961" s="5"/>
      <c r="O961" s="5"/>
      <c r="P961" s="5"/>
      <c r="Q961" s="5"/>
      <c r="R961" s="5"/>
    </row>
    <row r="962" ht="12.75" hidden="1" customHeight="1">
      <c r="A962" s="213"/>
      <c r="B962" s="214"/>
      <c r="C962" s="216"/>
      <c r="D962" s="216"/>
      <c r="E962" s="216"/>
      <c r="F962" s="216"/>
      <c r="G962" s="216"/>
      <c r="H962" s="216"/>
      <c r="I962" s="216"/>
      <c r="J962" s="216"/>
      <c r="K962" s="5"/>
      <c r="L962" s="5"/>
      <c r="M962" s="5"/>
      <c r="N962" s="5"/>
      <c r="O962" s="5"/>
      <c r="P962" s="5"/>
      <c r="Q962" s="5"/>
      <c r="R962" s="5"/>
    </row>
    <row r="963" ht="12.75" hidden="1" customHeight="1">
      <c r="A963" s="213"/>
      <c r="B963" s="214"/>
      <c r="C963" s="216"/>
      <c r="D963" s="216"/>
      <c r="E963" s="216"/>
      <c r="F963" s="216"/>
      <c r="G963" s="216"/>
      <c r="H963" s="216"/>
      <c r="I963" s="216"/>
      <c r="J963" s="216"/>
      <c r="K963" s="5"/>
      <c r="L963" s="5"/>
      <c r="M963" s="5"/>
      <c r="N963" s="5"/>
      <c r="O963" s="5"/>
      <c r="P963" s="5"/>
      <c r="Q963" s="5"/>
      <c r="R963" s="5"/>
    </row>
    <row r="964" ht="12.75" hidden="1" customHeight="1">
      <c r="A964" s="213"/>
      <c r="B964" s="214"/>
      <c r="C964" s="216"/>
      <c r="D964" s="216"/>
      <c r="E964" s="216"/>
      <c r="F964" s="216"/>
      <c r="G964" s="216"/>
      <c r="H964" s="216"/>
      <c r="I964" s="216"/>
      <c r="J964" s="216"/>
      <c r="K964" s="5"/>
      <c r="L964" s="5"/>
      <c r="M964" s="5"/>
      <c r="N964" s="5"/>
      <c r="O964" s="5"/>
      <c r="P964" s="5"/>
      <c r="Q964" s="5"/>
      <c r="R964" s="5"/>
    </row>
    <row r="965" ht="12.75" hidden="1" customHeight="1">
      <c r="A965" s="213"/>
      <c r="B965" s="214"/>
      <c r="C965" s="216"/>
      <c r="D965" s="216"/>
      <c r="E965" s="216"/>
      <c r="F965" s="216"/>
      <c r="G965" s="216"/>
      <c r="H965" s="216"/>
      <c r="I965" s="216"/>
      <c r="J965" s="216"/>
      <c r="K965" s="5"/>
      <c r="L965" s="5"/>
      <c r="M965" s="5"/>
      <c r="N965" s="5"/>
      <c r="O965" s="5"/>
      <c r="P965" s="5"/>
      <c r="Q965" s="5"/>
      <c r="R965" s="5"/>
    </row>
    <row r="966" ht="12.75" hidden="1" customHeight="1">
      <c r="A966" s="213"/>
      <c r="B966" s="214"/>
      <c r="C966" s="216"/>
      <c r="D966" s="216"/>
      <c r="E966" s="216"/>
      <c r="F966" s="216"/>
      <c r="G966" s="216"/>
      <c r="H966" s="216"/>
      <c r="I966" s="216"/>
      <c r="J966" s="216"/>
      <c r="K966" s="5"/>
      <c r="L966" s="5"/>
      <c r="M966" s="5"/>
      <c r="N966" s="5"/>
      <c r="O966" s="5"/>
      <c r="P966" s="5"/>
      <c r="Q966" s="5"/>
      <c r="R966" s="5"/>
    </row>
    <row r="967" ht="12.75" hidden="1" customHeight="1">
      <c r="A967" s="213"/>
      <c r="B967" s="214"/>
      <c r="C967" s="216"/>
      <c r="D967" s="216"/>
      <c r="E967" s="216"/>
      <c r="F967" s="216"/>
      <c r="G967" s="216"/>
      <c r="H967" s="216"/>
      <c r="I967" s="216"/>
      <c r="J967" s="216"/>
      <c r="K967" s="5"/>
      <c r="L967" s="5"/>
      <c r="M967" s="5"/>
      <c r="N967" s="5"/>
      <c r="O967" s="5"/>
      <c r="P967" s="5"/>
      <c r="Q967" s="5"/>
      <c r="R967" s="5"/>
    </row>
    <row r="968" ht="12.75" hidden="1" customHeight="1">
      <c r="A968" s="213"/>
      <c r="B968" s="214"/>
      <c r="C968" s="216"/>
      <c r="D968" s="216"/>
      <c r="E968" s="216"/>
      <c r="F968" s="216"/>
      <c r="G968" s="216"/>
      <c r="H968" s="216"/>
      <c r="I968" s="216"/>
      <c r="J968" s="216"/>
      <c r="K968" s="5"/>
      <c r="L968" s="5"/>
      <c r="M968" s="5"/>
      <c r="N968" s="5"/>
      <c r="O968" s="5"/>
      <c r="P968" s="5"/>
      <c r="Q968" s="5"/>
      <c r="R968" s="5"/>
    </row>
    <row r="969" ht="12.75" hidden="1" customHeight="1">
      <c r="A969" s="213"/>
      <c r="B969" s="214"/>
      <c r="C969" s="216"/>
      <c r="D969" s="216"/>
      <c r="E969" s="216"/>
      <c r="F969" s="216"/>
      <c r="G969" s="216"/>
      <c r="H969" s="216"/>
      <c r="I969" s="216"/>
      <c r="J969" s="216"/>
      <c r="K969" s="5"/>
      <c r="L969" s="5"/>
      <c r="M969" s="5"/>
      <c r="N969" s="5"/>
      <c r="O969" s="5"/>
      <c r="P969" s="5"/>
      <c r="Q969" s="5"/>
      <c r="R969" s="5"/>
    </row>
    <row r="970" ht="12.75" hidden="1" customHeight="1">
      <c r="A970" s="213"/>
      <c r="B970" s="214"/>
      <c r="C970" s="216"/>
      <c r="D970" s="216"/>
      <c r="E970" s="216"/>
      <c r="F970" s="216"/>
      <c r="G970" s="216"/>
      <c r="H970" s="216"/>
      <c r="I970" s="216"/>
      <c r="J970" s="216"/>
      <c r="K970" s="5"/>
      <c r="L970" s="5"/>
      <c r="M970" s="5"/>
      <c r="N970" s="5"/>
      <c r="O970" s="5"/>
      <c r="P970" s="5"/>
      <c r="Q970" s="5"/>
      <c r="R970" s="5"/>
    </row>
    <row r="971" ht="12.75" hidden="1" customHeight="1">
      <c r="A971" s="213"/>
      <c r="B971" s="214"/>
      <c r="C971" s="216"/>
      <c r="D971" s="216"/>
      <c r="E971" s="216"/>
      <c r="F971" s="216"/>
      <c r="G971" s="216"/>
      <c r="H971" s="216"/>
      <c r="I971" s="216"/>
      <c r="J971" s="216"/>
      <c r="K971" s="5"/>
      <c r="L971" s="5"/>
      <c r="M971" s="5"/>
      <c r="N971" s="5"/>
      <c r="O971" s="5"/>
      <c r="P971" s="5"/>
      <c r="Q971" s="5"/>
      <c r="R971" s="5"/>
    </row>
    <row r="972" ht="12.75" hidden="1" customHeight="1">
      <c r="A972" s="213"/>
      <c r="B972" s="214"/>
      <c r="C972" s="216"/>
      <c r="D972" s="216"/>
      <c r="E972" s="216"/>
      <c r="F972" s="216"/>
      <c r="G972" s="216"/>
      <c r="H972" s="216"/>
      <c r="I972" s="216"/>
      <c r="J972" s="216"/>
      <c r="K972" s="5"/>
      <c r="L972" s="5"/>
      <c r="M972" s="5"/>
      <c r="N972" s="5"/>
      <c r="O972" s="5"/>
      <c r="P972" s="5"/>
      <c r="Q972" s="5"/>
      <c r="R972" s="5"/>
    </row>
    <row r="973" ht="12.75" hidden="1" customHeight="1">
      <c r="A973" s="213"/>
      <c r="B973" s="214"/>
      <c r="C973" s="216"/>
      <c r="D973" s="216"/>
      <c r="E973" s="216"/>
      <c r="F973" s="216"/>
      <c r="G973" s="216"/>
      <c r="H973" s="216"/>
      <c r="I973" s="216"/>
      <c r="J973" s="216"/>
      <c r="K973" s="5"/>
      <c r="L973" s="5"/>
      <c r="M973" s="5"/>
      <c r="N973" s="5"/>
      <c r="O973" s="5"/>
      <c r="P973" s="5"/>
      <c r="Q973" s="5"/>
      <c r="R973" s="5"/>
    </row>
    <row r="974" ht="12.75" hidden="1" customHeight="1">
      <c r="A974" s="213"/>
      <c r="B974" s="214"/>
      <c r="C974" s="216"/>
      <c r="D974" s="216"/>
      <c r="E974" s="216"/>
      <c r="F974" s="216"/>
      <c r="G974" s="216"/>
      <c r="H974" s="216"/>
      <c r="I974" s="216"/>
      <c r="J974" s="216"/>
      <c r="K974" s="5"/>
      <c r="L974" s="5"/>
      <c r="M974" s="5"/>
      <c r="N974" s="5"/>
      <c r="O974" s="5"/>
      <c r="P974" s="5"/>
      <c r="Q974" s="5"/>
      <c r="R974" s="5"/>
    </row>
    <row r="975" ht="12.75" hidden="1" customHeight="1">
      <c r="A975" s="213"/>
      <c r="B975" s="214"/>
      <c r="C975" s="216"/>
      <c r="D975" s="216"/>
      <c r="E975" s="216"/>
      <c r="F975" s="216"/>
      <c r="G975" s="216"/>
      <c r="H975" s="216"/>
      <c r="I975" s="216"/>
      <c r="J975" s="216"/>
      <c r="K975" s="5"/>
      <c r="L975" s="5"/>
      <c r="M975" s="5"/>
      <c r="N975" s="5"/>
      <c r="O975" s="5"/>
      <c r="P975" s="5"/>
      <c r="Q975" s="5"/>
      <c r="R975" s="5"/>
    </row>
    <row r="976" ht="12.75" hidden="1" customHeight="1">
      <c r="A976" s="213"/>
      <c r="B976" s="214"/>
      <c r="C976" s="216"/>
      <c r="D976" s="216"/>
      <c r="E976" s="216"/>
      <c r="F976" s="216"/>
      <c r="G976" s="216"/>
      <c r="H976" s="216"/>
      <c r="I976" s="216"/>
      <c r="J976" s="216"/>
      <c r="K976" s="5"/>
      <c r="L976" s="5"/>
      <c r="M976" s="5"/>
      <c r="N976" s="5"/>
      <c r="O976" s="5"/>
      <c r="P976" s="5"/>
      <c r="Q976" s="5"/>
      <c r="R976" s="5"/>
    </row>
    <row r="977" ht="12.75" hidden="1" customHeight="1">
      <c r="A977" s="213"/>
      <c r="B977" s="214"/>
      <c r="C977" s="216"/>
      <c r="D977" s="216"/>
      <c r="E977" s="216"/>
      <c r="F977" s="216"/>
      <c r="G977" s="216"/>
      <c r="H977" s="216"/>
      <c r="I977" s="216"/>
      <c r="J977" s="216"/>
      <c r="K977" s="5"/>
      <c r="L977" s="5"/>
      <c r="M977" s="5"/>
      <c r="N977" s="5"/>
      <c r="O977" s="5"/>
      <c r="P977" s="5"/>
      <c r="Q977" s="5"/>
      <c r="R977" s="5"/>
    </row>
    <row r="978" ht="12.75" hidden="1" customHeight="1">
      <c r="A978" s="213"/>
      <c r="B978" s="214"/>
      <c r="C978" s="216"/>
      <c r="D978" s="216"/>
      <c r="E978" s="216"/>
      <c r="F978" s="216"/>
      <c r="G978" s="216"/>
      <c r="H978" s="216"/>
      <c r="I978" s="216"/>
      <c r="J978" s="216"/>
      <c r="K978" s="5"/>
      <c r="L978" s="5"/>
      <c r="M978" s="5"/>
      <c r="N978" s="5"/>
      <c r="O978" s="5"/>
      <c r="P978" s="5"/>
      <c r="Q978" s="5"/>
      <c r="R978" s="5"/>
    </row>
    <row r="979" ht="12.75" hidden="1" customHeight="1">
      <c r="A979" s="213"/>
      <c r="B979" s="214"/>
      <c r="C979" s="216"/>
      <c r="D979" s="216"/>
      <c r="E979" s="216"/>
      <c r="F979" s="216"/>
      <c r="G979" s="216"/>
      <c r="H979" s="216"/>
      <c r="I979" s="216"/>
      <c r="J979" s="216"/>
      <c r="K979" s="5"/>
      <c r="L979" s="5"/>
      <c r="M979" s="5"/>
      <c r="N979" s="5"/>
      <c r="O979" s="5"/>
      <c r="P979" s="5"/>
      <c r="Q979" s="5"/>
      <c r="R979" s="5"/>
    </row>
    <row r="980" ht="12.75" hidden="1" customHeight="1">
      <c r="A980" s="213"/>
      <c r="B980" s="214"/>
      <c r="C980" s="216"/>
      <c r="D980" s="216"/>
      <c r="E980" s="216"/>
      <c r="F980" s="216"/>
      <c r="G980" s="216"/>
      <c r="H980" s="216"/>
      <c r="I980" s="216"/>
      <c r="J980" s="216"/>
      <c r="K980" s="5"/>
      <c r="L980" s="5"/>
      <c r="M980" s="5"/>
      <c r="N980" s="5"/>
      <c r="O980" s="5"/>
      <c r="P980" s="5"/>
      <c r="Q980" s="5"/>
      <c r="R980" s="5"/>
    </row>
    <row r="981" ht="12.75" hidden="1" customHeight="1">
      <c r="A981" s="213"/>
      <c r="B981" s="214"/>
      <c r="C981" s="216"/>
      <c r="D981" s="216"/>
      <c r="E981" s="216"/>
      <c r="F981" s="216"/>
      <c r="G981" s="216"/>
      <c r="H981" s="216"/>
      <c r="I981" s="216"/>
      <c r="J981" s="216"/>
      <c r="K981" s="5"/>
      <c r="L981" s="5"/>
      <c r="M981" s="5"/>
      <c r="N981" s="5"/>
      <c r="O981" s="5"/>
      <c r="P981" s="5"/>
      <c r="Q981" s="5"/>
      <c r="R981" s="5"/>
    </row>
    <row r="982" ht="12.75" hidden="1" customHeight="1">
      <c r="A982" s="213"/>
      <c r="B982" s="214"/>
      <c r="C982" s="216"/>
      <c r="D982" s="216"/>
      <c r="E982" s="216"/>
      <c r="F982" s="216"/>
      <c r="G982" s="216"/>
      <c r="H982" s="216"/>
      <c r="I982" s="216"/>
      <c r="J982" s="216"/>
      <c r="K982" s="5"/>
      <c r="L982" s="5"/>
      <c r="M982" s="5"/>
      <c r="N982" s="5"/>
      <c r="O982" s="5"/>
      <c r="P982" s="5"/>
      <c r="Q982" s="5"/>
      <c r="R982" s="5"/>
    </row>
    <row r="983" ht="12.75" hidden="1" customHeight="1">
      <c r="A983" s="213"/>
      <c r="B983" s="214"/>
      <c r="C983" s="216"/>
      <c r="D983" s="216"/>
      <c r="E983" s="216"/>
      <c r="F983" s="216"/>
      <c r="G983" s="216"/>
      <c r="H983" s="216"/>
      <c r="I983" s="216"/>
      <c r="J983" s="216"/>
      <c r="K983" s="5"/>
      <c r="L983" s="5"/>
      <c r="M983" s="5"/>
      <c r="N983" s="5"/>
      <c r="O983" s="5"/>
      <c r="P983" s="5"/>
      <c r="Q983" s="5"/>
      <c r="R983" s="5"/>
    </row>
    <row r="984" ht="12.75" hidden="1" customHeight="1">
      <c r="A984" s="213"/>
      <c r="B984" s="214"/>
      <c r="C984" s="216"/>
      <c r="D984" s="216"/>
      <c r="E984" s="216"/>
      <c r="F984" s="216"/>
      <c r="G984" s="216"/>
      <c r="H984" s="216"/>
      <c r="I984" s="216"/>
      <c r="J984" s="216"/>
      <c r="K984" s="5"/>
      <c r="L984" s="5"/>
      <c r="M984" s="5"/>
      <c r="N984" s="5"/>
      <c r="O984" s="5"/>
      <c r="P984" s="5"/>
      <c r="Q984" s="5"/>
      <c r="R984" s="5"/>
    </row>
    <row r="985" ht="12.75" hidden="1" customHeight="1">
      <c r="A985" s="213"/>
      <c r="B985" s="214"/>
      <c r="C985" s="216"/>
      <c r="D985" s="216"/>
      <c r="E985" s="216"/>
      <c r="F985" s="216"/>
      <c r="G985" s="216"/>
      <c r="H985" s="216"/>
      <c r="I985" s="216"/>
      <c r="J985" s="216"/>
      <c r="K985" s="5"/>
      <c r="L985" s="5"/>
      <c r="M985" s="5"/>
      <c r="N985" s="5"/>
      <c r="O985" s="5"/>
      <c r="P985" s="5"/>
      <c r="Q985" s="5"/>
      <c r="R985" s="5"/>
    </row>
    <row r="986" ht="12.75" hidden="1" customHeight="1">
      <c r="A986" s="213"/>
      <c r="B986" s="214"/>
      <c r="C986" s="216"/>
      <c r="D986" s="216"/>
      <c r="E986" s="216"/>
      <c r="F986" s="216"/>
      <c r="G986" s="216"/>
      <c r="H986" s="216"/>
      <c r="I986" s="216"/>
      <c r="J986" s="216"/>
      <c r="K986" s="5"/>
      <c r="L986" s="5"/>
      <c r="M986" s="5"/>
      <c r="N986" s="5"/>
      <c r="O986" s="5"/>
      <c r="P986" s="5"/>
      <c r="Q986" s="5"/>
      <c r="R986" s="5"/>
    </row>
    <row r="987" ht="12.75" hidden="1" customHeight="1">
      <c r="A987" s="213"/>
      <c r="B987" s="214"/>
      <c r="C987" s="216"/>
      <c r="D987" s="216"/>
      <c r="E987" s="216"/>
      <c r="F987" s="216"/>
      <c r="G987" s="216"/>
      <c r="H987" s="216"/>
      <c r="I987" s="216"/>
      <c r="J987" s="216"/>
      <c r="K987" s="5"/>
      <c r="L987" s="5"/>
      <c r="M987" s="5"/>
      <c r="N987" s="5"/>
      <c r="O987" s="5"/>
      <c r="P987" s="5"/>
      <c r="Q987" s="5"/>
      <c r="R987" s="5"/>
    </row>
    <row r="988" ht="12.75" hidden="1" customHeight="1">
      <c r="A988" s="213"/>
      <c r="B988" s="214"/>
      <c r="C988" s="216"/>
      <c r="D988" s="216"/>
      <c r="E988" s="216"/>
      <c r="F988" s="216"/>
      <c r="G988" s="216"/>
      <c r="H988" s="216"/>
      <c r="I988" s="216"/>
      <c r="J988" s="216"/>
      <c r="K988" s="5"/>
      <c r="L988" s="5"/>
      <c r="M988" s="5"/>
      <c r="N988" s="5"/>
      <c r="O988" s="5"/>
      <c r="P988" s="5"/>
      <c r="Q988" s="5"/>
      <c r="R988" s="5"/>
    </row>
    <row r="989" ht="12.75" hidden="1" customHeight="1">
      <c r="A989" s="213"/>
      <c r="B989" s="214"/>
      <c r="C989" s="216"/>
      <c r="D989" s="216"/>
      <c r="E989" s="216"/>
      <c r="F989" s="216"/>
      <c r="G989" s="216"/>
      <c r="H989" s="216"/>
      <c r="I989" s="216"/>
      <c r="J989" s="216"/>
      <c r="K989" s="5"/>
      <c r="L989" s="5"/>
      <c r="M989" s="5"/>
      <c r="N989" s="5"/>
      <c r="O989" s="5"/>
      <c r="P989" s="5"/>
      <c r="Q989" s="5"/>
      <c r="R989" s="5"/>
    </row>
    <row r="990" ht="12.75" hidden="1" customHeight="1">
      <c r="A990" s="213"/>
      <c r="B990" s="214"/>
      <c r="C990" s="216"/>
      <c r="D990" s="216"/>
      <c r="E990" s="216"/>
      <c r="F990" s="216"/>
      <c r="G990" s="216"/>
      <c r="H990" s="216"/>
      <c r="I990" s="216"/>
      <c r="J990" s="216"/>
      <c r="K990" s="5"/>
      <c r="L990" s="5"/>
      <c r="M990" s="5"/>
      <c r="N990" s="5"/>
      <c r="O990" s="5"/>
      <c r="P990" s="5"/>
      <c r="Q990" s="5"/>
      <c r="R990" s="5"/>
    </row>
    <row r="991" ht="12.75" hidden="1" customHeight="1">
      <c r="A991" s="213"/>
      <c r="B991" s="214"/>
      <c r="C991" s="216"/>
      <c r="D991" s="216"/>
      <c r="E991" s="216"/>
      <c r="F991" s="216"/>
      <c r="G991" s="216"/>
      <c r="H991" s="216"/>
      <c r="I991" s="216"/>
      <c r="J991" s="216"/>
      <c r="K991" s="5"/>
      <c r="L991" s="5"/>
      <c r="M991" s="5"/>
      <c r="N991" s="5"/>
      <c r="O991" s="5"/>
      <c r="P991" s="5"/>
      <c r="Q991" s="5"/>
      <c r="R991" s="5"/>
    </row>
    <row r="992" ht="12.75" hidden="1" customHeight="1">
      <c r="A992" s="213"/>
      <c r="B992" s="214"/>
      <c r="C992" s="216"/>
      <c r="D992" s="216"/>
      <c r="E992" s="216"/>
      <c r="F992" s="216"/>
      <c r="G992" s="216"/>
      <c r="H992" s="216"/>
      <c r="I992" s="216"/>
      <c r="J992" s="216"/>
      <c r="K992" s="5"/>
      <c r="L992" s="5"/>
      <c r="M992" s="5"/>
      <c r="N992" s="5"/>
      <c r="O992" s="5"/>
      <c r="P992" s="5"/>
      <c r="Q992" s="5"/>
      <c r="R992" s="5"/>
    </row>
    <row r="993" ht="12.75" hidden="1" customHeight="1">
      <c r="A993" s="213"/>
      <c r="B993" s="214"/>
      <c r="C993" s="216"/>
      <c r="D993" s="216"/>
      <c r="E993" s="216"/>
      <c r="F993" s="216"/>
      <c r="G993" s="216"/>
      <c r="H993" s="216"/>
      <c r="I993" s="216"/>
      <c r="J993" s="216"/>
      <c r="K993" s="5"/>
      <c r="L993" s="5"/>
      <c r="M993" s="5"/>
      <c r="N993" s="5"/>
      <c r="O993" s="5"/>
      <c r="P993" s="5"/>
      <c r="Q993" s="5"/>
      <c r="R993" s="5"/>
    </row>
    <row r="994" ht="12.75" hidden="1" customHeight="1">
      <c r="A994" s="213"/>
      <c r="B994" s="214"/>
      <c r="C994" s="216"/>
      <c r="D994" s="216"/>
      <c r="E994" s="216"/>
      <c r="F994" s="216"/>
      <c r="G994" s="216"/>
      <c r="H994" s="216"/>
      <c r="I994" s="216"/>
      <c r="J994" s="216"/>
      <c r="K994" s="5"/>
      <c r="L994" s="5"/>
      <c r="M994" s="5"/>
      <c r="N994" s="5"/>
      <c r="O994" s="5"/>
      <c r="P994" s="5"/>
      <c r="Q994" s="5"/>
      <c r="R994" s="5"/>
    </row>
    <row r="995" ht="12.75" hidden="1" customHeight="1">
      <c r="A995" s="213"/>
      <c r="B995" s="214"/>
      <c r="C995" s="216"/>
      <c r="D995" s="216"/>
      <c r="E995" s="216"/>
      <c r="F995" s="216"/>
      <c r="G995" s="216"/>
      <c r="H995" s="216"/>
      <c r="I995" s="216"/>
      <c r="J995" s="216"/>
      <c r="K995" s="5"/>
      <c r="L995" s="5"/>
      <c r="M995" s="5"/>
      <c r="N995" s="5"/>
      <c r="O995" s="5"/>
      <c r="P995" s="5"/>
      <c r="Q995" s="5"/>
      <c r="R995" s="5"/>
    </row>
    <row r="996" ht="12.75" hidden="1" customHeight="1">
      <c r="A996" s="213"/>
      <c r="B996" s="214"/>
      <c r="C996" s="216"/>
      <c r="D996" s="216"/>
      <c r="E996" s="216"/>
      <c r="F996" s="216"/>
      <c r="G996" s="216"/>
      <c r="H996" s="216"/>
      <c r="I996" s="216"/>
      <c r="J996" s="216"/>
      <c r="K996" s="5"/>
      <c r="L996" s="5"/>
      <c r="M996" s="5"/>
      <c r="N996" s="5"/>
      <c r="O996" s="5"/>
      <c r="P996" s="5"/>
      <c r="Q996" s="5"/>
      <c r="R996" s="5"/>
    </row>
    <row r="997" ht="12.75" hidden="1" customHeight="1">
      <c r="A997" s="213"/>
      <c r="B997" s="214"/>
      <c r="C997" s="216"/>
      <c r="D997" s="216"/>
      <c r="E997" s="216"/>
      <c r="F997" s="216"/>
      <c r="G997" s="216"/>
      <c r="H997" s="216"/>
      <c r="I997" s="216"/>
      <c r="J997" s="216"/>
      <c r="K997" s="5"/>
      <c r="L997" s="5"/>
      <c r="M997" s="5"/>
      <c r="N997" s="5"/>
      <c r="O997" s="5"/>
      <c r="P997" s="5"/>
      <c r="Q997" s="5"/>
      <c r="R997" s="5"/>
    </row>
    <row r="998" ht="12.75" hidden="1" customHeight="1">
      <c r="A998" s="213"/>
      <c r="B998" s="214"/>
      <c r="C998" s="216"/>
      <c r="D998" s="216"/>
      <c r="E998" s="216"/>
      <c r="F998" s="216"/>
      <c r="G998" s="216"/>
      <c r="H998" s="216"/>
      <c r="I998" s="216"/>
      <c r="J998" s="216"/>
      <c r="K998" s="5"/>
      <c r="L998" s="5"/>
      <c r="M998" s="5"/>
      <c r="N998" s="5"/>
      <c r="O998" s="5"/>
      <c r="P998" s="5"/>
      <c r="Q998" s="5"/>
      <c r="R998" s="5"/>
    </row>
    <row r="999" ht="12.75" hidden="1" customHeight="1">
      <c r="A999" s="213"/>
      <c r="B999" s="214"/>
      <c r="C999" s="216"/>
      <c r="D999" s="216"/>
      <c r="E999" s="216"/>
      <c r="F999" s="216"/>
      <c r="G999" s="216"/>
      <c r="H999" s="216"/>
      <c r="I999" s="216"/>
      <c r="J999" s="216"/>
      <c r="K999" s="5"/>
      <c r="L999" s="5"/>
      <c r="M999" s="5"/>
      <c r="N999" s="5"/>
      <c r="O999" s="5"/>
      <c r="P999" s="5"/>
      <c r="Q999" s="5"/>
      <c r="R999" s="5"/>
    </row>
    <row r="1000" ht="12.75" hidden="1" customHeight="1">
      <c r="A1000" s="213"/>
      <c r="B1000" s="214"/>
      <c r="C1000" s="216"/>
      <c r="D1000" s="216"/>
      <c r="E1000" s="216"/>
      <c r="F1000" s="216"/>
      <c r="G1000" s="216"/>
      <c r="H1000" s="216"/>
      <c r="I1000" s="216"/>
      <c r="J1000" s="216"/>
      <c r="K1000" s="5"/>
      <c r="L1000" s="5"/>
      <c r="M1000" s="5"/>
      <c r="N1000" s="5"/>
      <c r="O1000" s="5"/>
      <c r="P1000" s="5"/>
      <c r="Q1000" s="5"/>
      <c r="R1000" s="5"/>
    </row>
  </sheetData>
  <mergeCells count="29">
    <mergeCell ref="G2:H2"/>
    <mergeCell ref="I2:J2"/>
    <mergeCell ref="C2:D2"/>
    <mergeCell ref="C12:D12"/>
    <mergeCell ref="A22:A31"/>
    <mergeCell ref="C22:D22"/>
    <mergeCell ref="A32:A41"/>
    <mergeCell ref="C32:D32"/>
    <mergeCell ref="A42:A51"/>
    <mergeCell ref="C42:D42"/>
    <mergeCell ref="E12:F12"/>
    <mergeCell ref="G12:H12"/>
    <mergeCell ref="E2:F2"/>
    <mergeCell ref="E22:F22"/>
    <mergeCell ref="E32:F32"/>
    <mergeCell ref="E42:F42"/>
    <mergeCell ref="G22:H22"/>
    <mergeCell ref="I22:J22"/>
    <mergeCell ref="G32:H32"/>
    <mergeCell ref="I32:J32"/>
    <mergeCell ref="G42:H42"/>
    <mergeCell ref="I42:J42"/>
    <mergeCell ref="C1:D1"/>
    <mergeCell ref="E1:F1"/>
    <mergeCell ref="G1:H1"/>
    <mergeCell ref="I1:J1"/>
    <mergeCell ref="A2:A11"/>
    <mergeCell ref="A12:A21"/>
    <mergeCell ref="I12:J1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50.88"/>
    <col customWidth="1" min="2" max="26" width="12.5"/>
  </cols>
  <sheetData>
    <row r="1" ht="15.75" customHeight="1">
      <c r="A1" s="217" t="s">
        <v>15</v>
      </c>
      <c r="B1" s="218" t="s">
        <v>3162</v>
      </c>
      <c r="C1" s="218"/>
      <c r="D1" s="218"/>
      <c r="E1" s="218"/>
      <c r="F1" s="218"/>
      <c r="G1" s="218"/>
      <c r="H1" s="218"/>
      <c r="I1" s="218"/>
      <c r="J1" s="218"/>
      <c r="K1" s="218"/>
      <c r="L1" s="218"/>
      <c r="M1" s="218"/>
      <c r="N1" s="218"/>
      <c r="O1" s="218"/>
      <c r="P1" s="218"/>
      <c r="Q1" s="218"/>
      <c r="R1" s="218"/>
      <c r="S1" s="218"/>
      <c r="T1" s="218"/>
      <c r="U1" s="218"/>
      <c r="V1" s="218"/>
      <c r="W1" s="218"/>
      <c r="X1" s="218"/>
      <c r="Y1" s="218"/>
      <c r="Z1" s="218"/>
    </row>
    <row r="2" ht="15.75" customHeight="1">
      <c r="A2" s="219" t="str">
        <f>UPPER("GEOMETRIA")</f>
        <v>GEOMETRIA</v>
      </c>
      <c r="B2" s="218" t="str">
        <f>COUNTIF('Matemática 2025'!C:C,A2)</f>
        <v>#REF!</v>
      </c>
      <c r="C2" s="218"/>
      <c r="D2" s="218"/>
      <c r="E2" s="218"/>
      <c r="F2" s="218"/>
      <c r="G2" s="218"/>
      <c r="H2" s="218"/>
      <c r="I2" s="218"/>
      <c r="J2" s="218"/>
      <c r="K2" s="218"/>
      <c r="L2" s="218"/>
      <c r="M2" s="218"/>
      <c r="N2" s="218"/>
      <c r="O2" s="218"/>
      <c r="P2" s="218"/>
      <c r="Q2" s="218"/>
      <c r="R2" s="218"/>
      <c r="S2" s="218"/>
      <c r="T2" s="218"/>
      <c r="U2" s="218"/>
      <c r="V2" s="218"/>
      <c r="W2" s="218"/>
      <c r="X2" s="218"/>
      <c r="Y2" s="218"/>
      <c r="Z2" s="218"/>
    </row>
    <row r="3" ht="15.75" customHeight="1">
      <c r="A3" s="220" t="s">
        <v>3163</v>
      </c>
      <c r="B3" s="218" t="str">
        <f t="shared" ref="B3:B15" si="1">COUNTIF('Matemática 2025'!F:F,A3)</f>
        <v>#REF!</v>
      </c>
      <c r="C3" s="218"/>
      <c r="D3" s="218"/>
      <c r="E3" s="218"/>
      <c r="F3" s="218"/>
      <c r="G3" s="218"/>
      <c r="H3" s="218"/>
      <c r="I3" s="218"/>
      <c r="J3" s="218"/>
      <c r="K3" s="218"/>
      <c r="L3" s="218"/>
      <c r="M3" s="218"/>
      <c r="N3" s="218"/>
      <c r="O3" s="218"/>
      <c r="P3" s="218"/>
      <c r="Q3" s="218"/>
      <c r="R3" s="218"/>
      <c r="S3" s="218"/>
      <c r="T3" s="218"/>
      <c r="U3" s="218"/>
      <c r="V3" s="218"/>
      <c r="W3" s="218"/>
      <c r="X3" s="218"/>
      <c r="Y3" s="218"/>
      <c r="Z3" s="218"/>
    </row>
    <row r="4" ht="15.75" customHeight="1">
      <c r="A4" s="220" t="s">
        <v>3164</v>
      </c>
      <c r="B4" s="218" t="str">
        <f t="shared" si="1"/>
        <v>#REF!</v>
      </c>
      <c r="C4" s="218"/>
      <c r="D4" s="218"/>
      <c r="E4" s="218"/>
      <c r="F4" s="218"/>
      <c r="G4" s="218"/>
      <c r="H4" s="218"/>
      <c r="I4" s="218"/>
      <c r="J4" s="218"/>
      <c r="K4" s="218"/>
      <c r="L4" s="218"/>
      <c r="M4" s="218"/>
      <c r="N4" s="218"/>
      <c r="O4" s="218"/>
      <c r="P4" s="218"/>
      <c r="Q4" s="218"/>
      <c r="R4" s="218"/>
      <c r="S4" s="218"/>
      <c r="T4" s="218"/>
      <c r="U4" s="218"/>
      <c r="V4" s="218"/>
      <c r="W4" s="218"/>
      <c r="X4" s="218"/>
      <c r="Y4" s="218"/>
      <c r="Z4" s="218"/>
    </row>
    <row r="5" ht="15.75" customHeight="1">
      <c r="A5" s="220" t="s">
        <v>3165</v>
      </c>
      <c r="B5" s="218" t="str">
        <f t="shared" si="1"/>
        <v>#REF!</v>
      </c>
      <c r="C5" s="218"/>
      <c r="D5" s="218"/>
      <c r="E5" s="218"/>
      <c r="F5" s="218"/>
      <c r="G5" s="218"/>
      <c r="H5" s="218"/>
      <c r="I5" s="218"/>
      <c r="J5" s="218"/>
      <c r="K5" s="218"/>
      <c r="L5" s="218"/>
      <c r="M5" s="218"/>
      <c r="N5" s="218"/>
      <c r="O5" s="218"/>
      <c r="P5" s="218"/>
      <c r="Q5" s="218"/>
      <c r="R5" s="218"/>
      <c r="S5" s="218"/>
      <c r="T5" s="218"/>
      <c r="U5" s="218"/>
      <c r="V5" s="218"/>
      <c r="W5" s="218"/>
      <c r="X5" s="218"/>
      <c r="Y5" s="218"/>
      <c r="Z5" s="218"/>
    </row>
    <row r="6" ht="15.75" customHeight="1">
      <c r="A6" s="220" t="s">
        <v>3166</v>
      </c>
      <c r="B6" s="218" t="str">
        <f t="shared" si="1"/>
        <v>#REF!</v>
      </c>
      <c r="C6" s="218"/>
      <c r="D6" s="218"/>
      <c r="E6" s="218"/>
      <c r="F6" s="218"/>
      <c r="G6" s="218"/>
      <c r="H6" s="218"/>
      <c r="I6" s="218"/>
      <c r="J6" s="218"/>
      <c r="K6" s="218"/>
      <c r="L6" s="218"/>
      <c r="M6" s="218"/>
      <c r="N6" s="218"/>
      <c r="O6" s="218"/>
      <c r="P6" s="218"/>
      <c r="Q6" s="218"/>
      <c r="R6" s="218"/>
      <c r="S6" s="218"/>
      <c r="T6" s="218"/>
      <c r="U6" s="218"/>
      <c r="V6" s="218"/>
      <c r="W6" s="218"/>
      <c r="X6" s="218"/>
      <c r="Y6" s="218"/>
      <c r="Z6" s="218"/>
    </row>
    <row r="7" ht="15.75" customHeight="1">
      <c r="A7" s="220" t="s">
        <v>3167</v>
      </c>
      <c r="B7" s="218" t="str">
        <f t="shared" si="1"/>
        <v>#REF!</v>
      </c>
      <c r="C7" s="218"/>
      <c r="D7" s="218"/>
      <c r="E7" s="218"/>
      <c r="F7" s="218"/>
      <c r="G7" s="218"/>
      <c r="H7" s="218"/>
      <c r="I7" s="218"/>
      <c r="J7" s="218"/>
      <c r="K7" s="218"/>
      <c r="L7" s="218"/>
      <c r="M7" s="218"/>
      <c r="N7" s="218"/>
      <c r="O7" s="218"/>
      <c r="P7" s="218"/>
      <c r="Q7" s="218"/>
      <c r="R7" s="218"/>
      <c r="S7" s="218"/>
      <c r="T7" s="218"/>
      <c r="U7" s="218"/>
      <c r="V7" s="218"/>
      <c r="W7" s="218"/>
      <c r="X7" s="218"/>
      <c r="Y7" s="218"/>
      <c r="Z7" s="218"/>
    </row>
    <row r="8" ht="15.75" customHeight="1">
      <c r="A8" s="220" t="s">
        <v>3168</v>
      </c>
      <c r="B8" s="218" t="str">
        <f t="shared" si="1"/>
        <v>#REF!</v>
      </c>
      <c r="C8" s="218"/>
      <c r="D8" s="218"/>
      <c r="E8" s="218"/>
      <c r="F8" s="218"/>
      <c r="G8" s="218"/>
      <c r="H8" s="218"/>
      <c r="I8" s="218"/>
      <c r="J8" s="218"/>
      <c r="K8" s="218"/>
      <c r="L8" s="218"/>
      <c r="M8" s="218"/>
      <c r="N8" s="218"/>
      <c r="O8" s="218"/>
      <c r="P8" s="218"/>
      <c r="Q8" s="218"/>
      <c r="R8" s="218"/>
      <c r="S8" s="218"/>
      <c r="T8" s="218"/>
      <c r="U8" s="218"/>
      <c r="V8" s="218"/>
      <c r="W8" s="218"/>
      <c r="X8" s="218"/>
      <c r="Y8" s="218"/>
      <c r="Z8" s="218"/>
    </row>
    <row r="9" ht="15.75" customHeight="1">
      <c r="A9" s="220" t="s">
        <v>3169</v>
      </c>
      <c r="B9" s="218" t="str">
        <f t="shared" si="1"/>
        <v>#REF!</v>
      </c>
      <c r="C9" s="218"/>
      <c r="D9" s="218"/>
      <c r="E9" s="218"/>
      <c r="F9" s="218"/>
      <c r="G9" s="218"/>
      <c r="H9" s="218"/>
      <c r="I9" s="218"/>
      <c r="J9" s="218"/>
      <c r="K9" s="218"/>
      <c r="L9" s="218"/>
      <c r="M9" s="218"/>
      <c r="N9" s="218"/>
      <c r="O9" s="218"/>
      <c r="P9" s="218"/>
      <c r="Q9" s="218"/>
      <c r="R9" s="218"/>
      <c r="S9" s="218"/>
      <c r="T9" s="218"/>
      <c r="U9" s="218"/>
      <c r="V9" s="218"/>
      <c r="W9" s="218"/>
      <c r="X9" s="218"/>
      <c r="Y9" s="218"/>
      <c r="Z9" s="218"/>
    </row>
    <row r="10" ht="15.75" customHeight="1">
      <c r="A10" s="220" t="s">
        <v>3170</v>
      </c>
      <c r="B10" s="218" t="str">
        <f t="shared" si="1"/>
        <v>#REF!</v>
      </c>
      <c r="C10" s="218"/>
      <c r="D10" s="218"/>
      <c r="E10" s="218"/>
      <c r="F10" s="218"/>
      <c r="G10" s="218"/>
      <c r="H10" s="218"/>
      <c r="I10" s="218"/>
      <c r="J10" s="218"/>
      <c r="K10" s="218"/>
      <c r="L10" s="218"/>
      <c r="M10" s="218"/>
      <c r="N10" s="218"/>
      <c r="O10" s="218"/>
      <c r="P10" s="218"/>
      <c r="Q10" s="218"/>
      <c r="R10" s="218"/>
      <c r="S10" s="218"/>
      <c r="T10" s="218"/>
      <c r="U10" s="218"/>
      <c r="V10" s="218"/>
      <c r="W10" s="218"/>
      <c r="X10" s="218"/>
      <c r="Y10" s="218"/>
      <c r="Z10" s="218"/>
    </row>
    <row r="11" ht="15.75" customHeight="1">
      <c r="A11" s="220" t="s">
        <v>3171</v>
      </c>
      <c r="B11" s="218" t="str">
        <f t="shared" si="1"/>
        <v>#REF!</v>
      </c>
      <c r="C11" s="218"/>
      <c r="D11" s="218"/>
      <c r="E11" s="218"/>
      <c r="F11" s="218"/>
      <c r="G11" s="218"/>
      <c r="H11" s="218"/>
      <c r="I11" s="218"/>
      <c r="J11" s="218"/>
      <c r="K11" s="218"/>
      <c r="L11" s="218"/>
      <c r="M11" s="218"/>
      <c r="N11" s="218"/>
      <c r="O11" s="218"/>
      <c r="P11" s="218"/>
      <c r="Q11" s="218"/>
      <c r="R11" s="218"/>
      <c r="S11" s="218"/>
      <c r="T11" s="218"/>
      <c r="U11" s="218"/>
      <c r="V11" s="218"/>
      <c r="W11" s="218"/>
      <c r="X11" s="218"/>
      <c r="Y11" s="218"/>
      <c r="Z11" s="218"/>
    </row>
    <row r="12" ht="15.75" customHeight="1">
      <c r="A12" s="220" t="s">
        <v>3172</v>
      </c>
      <c r="B12" s="218" t="str">
        <f t="shared" si="1"/>
        <v>#REF!</v>
      </c>
      <c r="C12" s="218"/>
      <c r="D12" s="218"/>
      <c r="E12" s="218"/>
      <c r="F12" s="218"/>
      <c r="G12" s="218"/>
      <c r="H12" s="218"/>
      <c r="I12" s="218"/>
      <c r="J12" s="218"/>
      <c r="K12" s="218"/>
      <c r="L12" s="218"/>
      <c r="M12" s="218"/>
      <c r="N12" s="218"/>
      <c r="O12" s="218"/>
      <c r="P12" s="218"/>
      <c r="Q12" s="218"/>
      <c r="R12" s="218"/>
      <c r="S12" s="218"/>
      <c r="T12" s="218"/>
      <c r="U12" s="218"/>
      <c r="V12" s="218"/>
      <c r="W12" s="218"/>
      <c r="X12" s="218"/>
      <c r="Y12" s="218"/>
      <c r="Z12" s="218"/>
    </row>
    <row r="13" ht="15.75" customHeight="1">
      <c r="A13" s="220" t="s">
        <v>3173</v>
      </c>
      <c r="B13" s="218" t="str">
        <f t="shared" si="1"/>
        <v>#REF!</v>
      </c>
      <c r="C13" s="218"/>
      <c r="D13" s="218"/>
      <c r="E13" s="218"/>
      <c r="F13" s="218"/>
      <c r="G13" s="218"/>
      <c r="H13" s="218"/>
      <c r="I13" s="218"/>
      <c r="J13" s="218"/>
      <c r="K13" s="218"/>
      <c r="L13" s="218"/>
      <c r="M13" s="218"/>
      <c r="N13" s="218"/>
      <c r="O13" s="218"/>
      <c r="P13" s="218"/>
      <c r="Q13" s="218"/>
      <c r="R13" s="218"/>
      <c r="S13" s="218"/>
      <c r="T13" s="218"/>
      <c r="U13" s="218"/>
      <c r="V13" s="218"/>
      <c r="W13" s="218"/>
      <c r="X13" s="218"/>
      <c r="Y13" s="218"/>
      <c r="Z13" s="218"/>
    </row>
    <row r="14" ht="15.75" customHeight="1">
      <c r="A14" s="220" t="s">
        <v>3174</v>
      </c>
      <c r="B14" s="218" t="str">
        <f t="shared" si="1"/>
        <v>#REF!</v>
      </c>
      <c r="C14" s="218"/>
      <c r="D14" s="218"/>
      <c r="E14" s="218"/>
      <c r="F14" s="218"/>
      <c r="G14" s="218"/>
      <c r="H14" s="218"/>
      <c r="I14" s="218"/>
      <c r="J14" s="218"/>
      <c r="K14" s="218"/>
      <c r="L14" s="218"/>
      <c r="M14" s="218"/>
      <c r="N14" s="218"/>
      <c r="O14" s="218"/>
      <c r="P14" s="218"/>
      <c r="Q14" s="218"/>
      <c r="R14" s="218"/>
      <c r="S14" s="218"/>
      <c r="T14" s="218"/>
      <c r="U14" s="218"/>
      <c r="V14" s="218"/>
      <c r="W14" s="218"/>
      <c r="X14" s="218"/>
      <c r="Y14" s="218"/>
      <c r="Z14" s="218"/>
    </row>
    <row r="15" ht="15.75" customHeight="1">
      <c r="A15" s="220" t="s">
        <v>3175</v>
      </c>
      <c r="B15" s="218" t="str">
        <f t="shared" si="1"/>
        <v>#REF!</v>
      </c>
      <c r="C15" s="218"/>
      <c r="D15" s="218"/>
      <c r="E15" s="218"/>
      <c r="F15" s="218"/>
      <c r="G15" s="218"/>
      <c r="H15" s="218"/>
      <c r="I15" s="218"/>
      <c r="J15" s="218"/>
      <c r="K15" s="218"/>
      <c r="L15" s="218"/>
      <c r="M15" s="218"/>
      <c r="N15" s="218"/>
      <c r="O15" s="218"/>
      <c r="P15" s="218"/>
      <c r="Q15" s="218"/>
      <c r="R15" s="218"/>
      <c r="S15" s="218"/>
      <c r="T15" s="218"/>
      <c r="U15" s="218"/>
      <c r="V15" s="218"/>
      <c r="W15" s="218"/>
      <c r="X15" s="218"/>
      <c r="Y15" s="218"/>
      <c r="Z15" s="218"/>
    </row>
    <row r="16" ht="16.5" customHeight="1">
      <c r="A16" s="221" t="str">
        <f>UPPER("Plataforma")</f>
        <v>PLATAFORMA</v>
      </c>
      <c r="B16" s="218" t="str">
        <f t="shared" ref="B16:B17" si="2">COUNTIF('Matemática 2025'!C:C,A16)</f>
        <v>#REF!</v>
      </c>
      <c r="C16" s="218"/>
      <c r="D16" s="218"/>
      <c r="E16" s="218"/>
      <c r="F16" s="218"/>
      <c r="G16" s="218"/>
      <c r="H16" s="218"/>
      <c r="I16" s="218"/>
      <c r="J16" s="218"/>
      <c r="K16" s="218"/>
      <c r="L16" s="218"/>
      <c r="M16" s="218"/>
      <c r="N16" s="218"/>
      <c r="O16" s="218"/>
      <c r="P16" s="218"/>
      <c r="Q16" s="218"/>
      <c r="R16" s="218"/>
      <c r="S16" s="218"/>
      <c r="T16" s="218"/>
      <c r="U16" s="218"/>
      <c r="V16" s="218"/>
      <c r="W16" s="218"/>
      <c r="X16" s="218"/>
      <c r="Y16" s="218"/>
      <c r="Z16" s="218"/>
    </row>
    <row r="17" ht="15.75" customHeight="1">
      <c r="A17" s="222" t="str">
        <f>UPPER("Álgebra")</f>
        <v>ÁLGEBRA</v>
      </c>
      <c r="B17" s="218" t="str">
        <f t="shared" si="2"/>
        <v>#REF!</v>
      </c>
      <c r="C17" s="218"/>
      <c r="D17" s="218"/>
      <c r="E17" s="218"/>
      <c r="F17" s="218"/>
      <c r="G17" s="218"/>
      <c r="H17" s="218"/>
      <c r="I17" s="218"/>
      <c r="J17" s="218"/>
      <c r="K17" s="218"/>
      <c r="L17" s="218"/>
      <c r="M17" s="218"/>
      <c r="N17" s="218"/>
      <c r="O17" s="218"/>
      <c r="P17" s="218"/>
      <c r="Q17" s="218"/>
      <c r="R17" s="218"/>
      <c r="S17" s="218"/>
      <c r="T17" s="218"/>
      <c r="U17" s="218"/>
      <c r="V17" s="218"/>
      <c r="W17" s="218"/>
      <c r="X17" s="218"/>
      <c r="Y17" s="218"/>
      <c r="Z17" s="218"/>
    </row>
    <row r="18" ht="15.75" customHeight="1">
      <c r="A18" s="223" t="s">
        <v>3176</v>
      </c>
      <c r="B18" s="218" t="str">
        <f t="shared" ref="B18:B26" si="3">COUNTIF('Matemática 2025'!F:F,A18)</f>
        <v>#REF!</v>
      </c>
      <c r="C18" s="218"/>
      <c r="D18" s="218"/>
      <c r="E18" s="218"/>
      <c r="F18" s="218"/>
      <c r="G18" s="218"/>
      <c r="H18" s="218"/>
      <c r="I18" s="218"/>
      <c r="J18" s="218"/>
      <c r="K18" s="218"/>
      <c r="L18" s="218"/>
      <c r="M18" s="218"/>
      <c r="N18" s="218"/>
      <c r="O18" s="218"/>
      <c r="P18" s="218"/>
      <c r="Q18" s="218"/>
      <c r="R18" s="218"/>
      <c r="S18" s="218"/>
      <c r="T18" s="218"/>
      <c r="U18" s="218"/>
      <c r="V18" s="218"/>
      <c r="W18" s="218"/>
      <c r="X18" s="218"/>
      <c r="Y18" s="218"/>
      <c r="Z18" s="218"/>
    </row>
    <row r="19" ht="15.75" customHeight="1">
      <c r="A19" s="223" t="s">
        <v>3177</v>
      </c>
      <c r="B19" s="218" t="str">
        <f t="shared" si="3"/>
        <v>#REF!</v>
      </c>
      <c r="C19" s="218"/>
      <c r="D19" s="218"/>
      <c r="E19" s="218"/>
      <c r="F19" s="218"/>
      <c r="G19" s="218"/>
      <c r="H19" s="218"/>
      <c r="I19" s="218"/>
      <c r="J19" s="218"/>
      <c r="K19" s="218"/>
      <c r="L19" s="218"/>
      <c r="M19" s="218"/>
      <c r="N19" s="218"/>
      <c r="O19" s="218"/>
      <c r="P19" s="218"/>
      <c r="Q19" s="218"/>
      <c r="R19" s="218"/>
      <c r="S19" s="218"/>
      <c r="T19" s="218"/>
      <c r="U19" s="218"/>
      <c r="V19" s="218"/>
      <c r="W19" s="218"/>
      <c r="X19" s="218"/>
      <c r="Y19" s="218"/>
      <c r="Z19" s="218"/>
    </row>
    <row r="20" ht="15.75" customHeight="1">
      <c r="A20" s="223" t="s">
        <v>3178</v>
      </c>
      <c r="B20" s="218" t="str">
        <f t="shared" si="3"/>
        <v>#REF!</v>
      </c>
      <c r="C20" s="218"/>
      <c r="D20" s="218"/>
      <c r="E20" s="218"/>
      <c r="F20" s="218"/>
      <c r="G20" s="218"/>
      <c r="H20" s="218"/>
      <c r="I20" s="218"/>
      <c r="J20" s="218"/>
      <c r="K20" s="218"/>
      <c r="L20" s="218"/>
      <c r="M20" s="218"/>
      <c r="N20" s="218"/>
      <c r="O20" s="218"/>
      <c r="P20" s="218"/>
      <c r="Q20" s="218"/>
      <c r="R20" s="218"/>
      <c r="S20" s="218"/>
      <c r="T20" s="218"/>
      <c r="U20" s="218"/>
      <c r="V20" s="218"/>
      <c r="W20" s="218"/>
      <c r="X20" s="218"/>
      <c r="Y20" s="218"/>
      <c r="Z20" s="218"/>
    </row>
    <row r="21" ht="15.75" customHeight="1">
      <c r="A21" s="223" t="s">
        <v>3179</v>
      </c>
      <c r="B21" s="218" t="str">
        <f t="shared" si="3"/>
        <v>#REF!</v>
      </c>
      <c r="C21" s="218"/>
      <c r="D21" s="218"/>
      <c r="E21" s="218"/>
      <c r="F21" s="218"/>
      <c r="G21" s="218"/>
      <c r="H21" s="218"/>
      <c r="I21" s="218"/>
      <c r="J21" s="218"/>
      <c r="K21" s="218"/>
      <c r="L21" s="218"/>
      <c r="M21" s="218"/>
      <c r="N21" s="218"/>
      <c r="O21" s="218"/>
      <c r="P21" s="218"/>
      <c r="Q21" s="218"/>
      <c r="R21" s="218"/>
      <c r="S21" s="218"/>
      <c r="T21" s="218"/>
      <c r="U21" s="218"/>
      <c r="V21" s="218"/>
      <c r="W21" s="218"/>
      <c r="X21" s="218"/>
      <c r="Y21" s="218"/>
      <c r="Z21" s="218"/>
    </row>
    <row r="22" ht="15.75" customHeight="1">
      <c r="A22" s="223" t="s">
        <v>3180</v>
      </c>
      <c r="B22" s="218" t="str">
        <f t="shared" si="3"/>
        <v>#REF!</v>
      </c>
      <c r="C22" s="218"/>
      <c r="D22" s="218"/>
      <c r="E22" s="218"/>
      <c r="F22" s="218"/>
      <c r="G22" s="218"/>
      <c r="H22" s="218"/>
      <c r="I22" s="218"/>
      <c r="J22" s="218"/>
      <c r="K22" s="218"/>
      <c r="L22" s="218"/>
      <c r="M22" s="218"/>
      <c r="N22" s="218"/>
      <c r="O22" s="218"/>
      <c r="P22" s="218"/>
      <c r="Q22" s="218"/>
      <c r="R22" s="218"/>
      <c r="S22" s="218"/>
      <c r="T22" s="218"/>
      <c r="U22" s="218"/>
      <c r="V22" s="218"/>
      <c r="W22" s="218"/>
      <c r="X22" s="218"/>
      <c r="Y22" s="218"/>
      <c r="Z22" s="218"/>
    </row>
    <row r="23" ht="15.75" customHeight="1">
      <c r="A23" s="223" t="s">
        <v>3181</v>
      </c>
      <c r="B23" s="218" t="str">
        <f t="shared" si="3"/>
        <v>#REF!</v>
      </c>
      <c r="C23" s="218"/>
      <c r="D23" s="218"/>
      <c r="E23" s="218"/>
      <c r="F23" s="218"/>
      <c r="G23" s="218"/>
      <c r="H23" s="218"/>
      <c r="I23" s="218"/>
      <c r="J23" s="218"/>
      <c r="K23" s="218"/>
      <c r="L23" s="218"/>
      <c r="M23" s="218"/>
      <c r="N23" s="218"/>
      <c r="O23" s="218"/>
      <c r="P23" s="218"/>
      <c r="Q23" s="218"/>
      <c r="R23" s="218"/>
      <c r="S23" s="218"/>
      <c r="T23" s="218"/>
      <c r="U23" s="218"/>
      <c r="V23" s="218"/>
      <c r="W23" s="218"/>
      <c r="X23" s="218"/>
      <c r="Y23" s="218"/>
      <c r="Z23" s="218"/>
    </row>
    <row r="24" ht="15.75" customHeight="1">
      <c r="A24" s="223" t="s">
        <v>3182</v>
      </c>
      <c r="B24" s="218" t="str">
        <f t="shared" si="3"/>
        <v>#REF!</v>
      </c>
      <c r="C24" s="218"/>
      <c r="D24" s="218"/>
      <c r="E24" s="218"/>
      <c r="F24" s="218"/>
      <c r="G24" s="218"/>
      <c r="H24" s="218"/>
      <c r="I24" s="218"/>
      <c r="J24" s="218"/>
      <c r="K24" s="218"/>
      <c r="L24" s="218"/>
      <c r="M24" s="218"/>
      <c r="N24" s="218"/>
      <c r="O24" s="218"/>
      <c r="P24" s="218"/>
      <c r="Q24" s="218"/>
      <c r="R24" s="218"/>
      <c r="S24" s="218"/>
      <c r="T24" s="218"/>
      <c r="U24" s="218"/>
      <c r="V24" s="218"/>
      <c r="W24" s="218"/>
      <c r="X24" s="218"/>
      <c r="Y24" s="218"/>
      <c r="Z24" s="218"/>
    </row>
    <row r="25" ht="15.75" customHeight="1">
      <c r="A25" s="223" t="s">
        <v>3183</v>
      </c>
      <c r="B25" s="218" t="str">
        <f t="shared" si="3"/>
        <v>#REF!</v>
      </c>
      <c r="C25" s="218"/>
      <c r="D25" s="218"/>
      <c r="E25" s="218"/>
      <c r="F25" s="218"/>
      <c r="G25" s="218"/>
      <c r="H25" s="218"/>
      <c r="I25" s="218"/>
      <c r="J25" s="218"/>
      <c r="K25" s="218"/>
      <c r="L25" s="218"/>
      <c r="M25" s="218"/>
      <c r="N25" s="218"/>
      <c r="O25" s="218"/>
      <c r="P25" s="218"/>
      <c r="Q25" s="218"/>
      <c r="R25" s="218"/>
      <c r="S25" s="218"/>
      <c r="T25" s="218"/>
      <c r="U25" s="218"/>
      <c r="V25" s="218"/>
      <c r="W25" s="218"/>
      <c r="X25" s="218"/>
      <c r="Y25" s="218"/>
      <c r="Z25" s="218"/>
    </row>
    <row r="26" ht="15.75" customHeight="1">
      <c r="A26" s="223" t="s">
        <v>3175</v>
      </c>
      <c r="B26" s="218" t="str">
        <f t="shared" si="3"/>
        <v>#REF!</v>
      </c>
      <c r="C26" s="218"/>
      <c r="D26" s="218"/>
      <c r="E26" s="218"/>
      <c r="F26" s="218"/>
      <c r="G26" s="218"/>
      <c r="H26" s="218"/>
      <c r="I26" s="218"/>
      <c r="J26" s="218"/>
      <c r="K26" s="218"/>
      <c r="L26" s="218"/>
      <c r="M26" s="218"/>
      <c r="N26" s="218"/>
      <c r="O26" s="218"/>
      <c r="P26" s="218"/>
      <c r="Q26" s="218"/>
      <c r="R26" s="218"/>
      <c r="S26" s="218"/>
      <c r="T26" s="218"/>
      <c r="U26" s="218"/>
      <c r="V26" s="218"/>
      <c r="W26" s="218"/>
      <c r="X26" s="218"/>
      <c r="Y26" s="218"/>
      <c r="Z26" s="218"/>
    </row>
    <row r="27" ht="15.75" customHeight="1">
      <c r="A27" s="224" t="str">
        <f>UPPER("Probab. e estatística")</f>
        <v>PROBAB. E ESTATÍSTICA</v>
      </c>
      <c r="B27" s="218" t="str">
        <f>COUNTIF('Matemática 2025'!C:C,A27)</f>
        <v>#REF!</v>
      </c>
      <c r="C27" s="218"/>
      <c r="D27" s="218"/>
      <c r="E27" s="218"/>
      <c r="F27" s="218"/>
      <c r="G27" s="218"/>
      <c r="H27" s="218"/>
      <c r="I27" s="218"/>
      <c r="J27" s="218"/>
      <c r="K27" s="218"/>
      <c r="L27" s="218"/>
      <c r="M27" s="218"/>
      <c r="N27" s="218"/>
      <c r="O27" s="218"/>
      <c r="P27" s="218"/>
      <c r="Q27" s="218"/>
      <c r="R27" s="218"/>
      <c r="S27" s="218"/>
      <c r="T27" s="218"/>
      <c r="U27" s="218"/>
      <c r="V27" s="218"/>
      <c r="W27" s="218"/>
      <c r="X27" s="218"/>
      <c r="Y27" s="218"/>
      <c r="Z27" s="218"/>
    </row>
    <row r="28" ht="15.75" customHeight="1">
      <c r="A28" s="223" t="s">
        <v>3184</v>
      </c>
      <c r="B28" s="218" t="str">
        <f t="shared" ref="B28:B36" si="4">COUNTIF('Matemática 2025'!F:F,A28)</f>
        <v>#REF!</v>
      </c>
      <c r="C28" s="218"/>
      <c r="D28" s="218"/>
      <c r="E28" s="218"/>
      <c r="F28" s="218"/>
      <c r="G28" s="218"/>
      <c r="H28" s="218"/>
      <c r="I28" s="218"/>
      <c r="J28" s="218"/>
      <c r="K28" s="218"/>
      <c r="L28" s="218"/>
      <c r="M28" s="218"/>
      <c r="N28" s="218"/>
      <c r="O28" s="218"/>
      <c r="P28" s="218"/>
      <c r="Q28" s="218"/>
      <c r="R28" s="218"/>
      <c r="S28" s="218"/>
      <c r="T28" s="218"/>
      <c r="U28" s="218"/>
      <c r="V28" s="218"/>
      <c r="W28" s="218"/>
      <c r="X28" s="218"/>
      <c r="Y28" s="218"/>
      <c r="Z28" s="218"/>
    </row>
    <row r="29" ht="15.75" customHeight="1">
      <c r="A29" s="223" t="s">
        <v>3185</v>
      </c>
      <c r="B29" s="218" t="str">
        <f t="shared" si="4"/>
        <v>#REF!</v>
      </c>
      <c r="C29" s="218"/>
      <c r="D29" s="218"/>
      <c r="E29" s="218"/>
      <c r="F29" s="218"/>
      <c r="G29" s="218"/>
      <c r="H29" s="218"/>
      <c r="I29" s="218"/>
      <c r="J29" s="218"/>
      <c r="K29" s="218"/>
      <c r="L29" s="218"/>
      <c r="M29" s="218"/>
      <c r="N29" s="218"/>
      <c r="O29" s="218"/>
      <c r="P29" s="218"/>
      <c r="Q29" s="218"/>
      <c r="R29" s="218"/>
      <c r="S29" s="218"/>
      <c r="T29" s="218"/>
      <c r="U29" s="218"/>
      <c r="V29" s="218"/>
      <c r="W29" s="218"/>
      <c r="X29" s="218"/>
      <c r="Y29" s="218"/>
      <c r="Z29" s="218"/>
    </row>
    <row r="30" ht="15.75" customHeight="1">
      <c r="A30" s="223" t="s">
        <v>3186</v>
      </c>
      <c r="B30" s="218" t="str">
        <f t="shared" si="4"/>
        <v>#REF!</v>
      </c>
      <c r="C30" s="218"/>
      <c r="D30" s="218"/>
      <c r="E30" s="218"/>
      <c r="F30" s="218"/>
      <c r="G30" s="218"/>
      <c r="H30" s="218"/>
      <c r="I30" s="218"/>
      <c r="J30" s="218"/>
      <c r="K30" s="218"/>
      <c r="L30" s="218"/>
      <c r="M30" s="218"/>
      <c r="N30" s="218"/>
      <c r="O30" s="218"/>
      <c r="P30" s="218"/>
      <c r="Q30" s="218"/>
      <c r="R30" s="218"/>
      <c r="S30" s="218"/>
      <c r="T30" s="218"/>
      <c r="U30" s="218"/>
      <c r="V30" s="218"/>
      <c r="W30" s="218"/>
      <c r="X30" s="218"/>
      <c r="Y30" s="218"/>
      <c r="Z30" s="218"/>
    </row>
    <row r="31" ht="15.75" customHeight="1">
      <c r="A31" s="223" t="s">
        <v>3187</v>
      </c>
      <c r="B31" s="218" t="str">
        <f t="shared" si="4"/>
        <v>#REF!</v>
      </c>
      <c r="C31" s="218"/>
      <c r="D31" s="218"/>
      <c r="E31" s="218"/>
      <c r="F31" s="218"/>
      <c r="G31" s="218"/>
      <c r="H31" s="218"/>
      <c r="I31" s="218"/>
      <c r="J31" s="218"/>
      <c r="K31" s="218"/>
      <c r="L31" s="218"/>
      <c r="M31" s="218"/>
      <c r="N31" s="218"/>
      <c r="O31" s="218"/>
      <c r="P31" s="218"/>
      <c r="Q31" s="218"/>
      <c r="R31" s="218"/>
      <c r="S31" s="218"/>
      <c r="T31" s="218"/>
      <c r="U31" s="218"/>
      <c r="V31" s="218"/>
      <c r="W31" s="218"/>
      <c r="X31" s="218"/>
      <c r="Y31" s="218"/>
      <c r="Z31" s="218"/>
    </row>
    <row r="32" ht="15.75" customHeight="1">
      <c r="A32" s="223" t="s">
        <v>3188</v>
      </c>
      <c r="B32" s="218" t="str">
        <f t="shared" si="4"/>
        <v>#REF!</v>
      </c>
      <c r="C32" s="218"/>
      <c r="D32" s="218"/>
      <c r="E32" s="218"/>
      <c r="F32" s="218"/>
      <c r="G32" s="218"/>
      <c r="H32" s="218"/>
      <c r="I32" s="218"/>
      <c r="J32" s="218"/>
      <c r="K32" s="218"/>
      <c r="L32" s="218"/>
      <c r="M32" s="218"/>
      <c r="N32" s="218"/>
      <c r="O32" s="218"/>
      <c r="P32" s="218"/>
      <c r="Q32" s="218"/>
      <c r="R32" s="218"/>
      <c r="S32" s="218"/>
      <c r="T32" s="218"/>
      <c r="U32" s="218"/>
      <c r="V32" s="218"/>
      <c r="W32" s="218"/>
      <c r="X32" s="218"/>
      <c r="Y32" s="218"/>
      <c r="Z32" s="218"/>
    </row>
    <row r="33" ht="15.75" customHeight="1">
      <c r="A33" s="223" t="s">
        <v>3189</v>
      </c>
      <c r="B33" s="218" t="str">
        <f t="shared" si="4"/>
        <v>#REF!</v>
      </c>
      <c r="C33" s="218"/>
      <c r="D33" s="218"/>
      <c r="E33" s="218"/>
      <c r="F33" s="218"/>
      <c r="G33" s="218"/>
      <c r="H33" s="218"/>
      <c r="I33" s="218"/>
      <c r="J33" s="218"/>
      <c r="K33" s="218"/>
      <c r="L33" s="218"/>
      <c r="M33" s="218"/>
      <c r="N33" s="218"/>
      <c r="O33" s="218"/>
      <c r="P33" s="218"/>
      <c r="Q33" s="218"/>
      <c r="R33" s="218"/>
      <c r="S33" s="218"/>
      <c r="T33" s="218"/>
      <c r="U33" s="218"/>
      <c r="V33" s="218"/>
      <c r="W33" s="218"/>
      <c r="X33" s="218"/>
      <c r="Y33" s="218"/>
      <c r="Z33" s="218"/>
    </row>
    <row r="34" ht="15.75" customHeight="1">
      <c r="A34" s="223" t="s">
        <v>3190</v>
      </c>
      <c r="B34" s="218" t="str">
        <f t="shared" si="4"/>
        <v>#REF!</v>
      </c>
      <c r="C34" s="218"/>
      <c r="D34" s="218"/>
      <c r="E34" s="218"/>
      <c r="F34" s="218"/>
      <c r="G34" s="218"/>
      <c r="H34" s="218"/>
      <c r="I34" s="218"/>
      <c r="J34" s="218"/>
      <c r="K34" s="218"/>
      <c r="L34" s="218"/>
      <c r="M34" s="218"/>
      <c r="N34" s="218"/>
      <c r="O34" s="218"/>
      <c r="P34" s="218"/>
      <c r="Q34" s="218"/>
      <c r="R34" s="218"/>
      <c r="S34" s="218"/>
      <c r="T34" s="218"/>
      <c r="U34" s="218"/>
      <c r="V34" s="218"/>
      <c r="W34" s="218"/>
      <c r="X34" s="218"/>
      <c r="Y34" s="218"/>
      <c r="Z34" s="218"/>
    </row>
    <row r="35" ht="15.75" customHeight="1">
      <c r="A35" s="223" t="s">
        <v>3191</v>
      </c>
      <c r="B35" s="218" t="str">
        <f t="shared" si="4"/>
        <v>#REF!</v>
      </c>
      <c r="C35" s="218"/>
      <c r="D35" s="218"/>
      <c r="E35" s="218"/>
      <c r="F35" s="218"/>
      <c r="G35" s="218"/>
      <c r="H35" s="218"/>
      <c r="I35" s="218"/>
      <c r="J35" s="218"/>
      <c r="K35" s="218"/>
      <c r="L35" s="218"/>
      <c r="M35" s="218"/>
      <c r="N35" s="218"/>
      <c r="O35" s="218"/>
      <c r="P35" s="218"/>
      <c r="Q35" s="218"/>
      <c r="R35" s="218"/>
      <c r="S35" s="218"/>
      <c r="T35" s="218"/>
      <c r="U35" s="218"/>
      <c r="V35" s="218"/>
      <c r="W35" s="218"/>
      <c r="X35" s="218"/>
      <c r="Y35" s="218"/>
      <c r="Z35" s="218"/>
    </row>
    <row r="36" ht="15.75" customHeight="1">
      <c r="A36" s="223" t="s">
        <v>3175</v>
      </c>
      <c r="B36" s="218" t="str">
        <f t="shared" si="4"/>
        <v>#REF!</v>
      </c>
      <c r="C36" s="218"/>
      <c r="D36" s="218"/>
      <c r="E36" s="218"/>
      <c r="F36" s="218"/>
      <c r="G36" s="218"/>
      <c r="H36" s="218"/>
      <c r="I36" s="218"/>
      <c r="J36" s="218"/>
      <c r="K36" s="218"/>
      <c r="L36" s="218"/>
      <c r="M36" s="218"/>
      <c r="N36" s="218"/>
      <c r="O36" s="218"/>
      <c r="P36" s="218"/>
      <c r="Q36" s="218"/>
      <c r="R36" s="218"/>
      <c r="S36" s="218"/>
      <c r="T36" s="218"/>
      <c r="U36" s="218"/>
      <c r="V36" s="218"/>
      <c r="W36" s="218"/>
      <c r="X36" s="218"/>
      <c r="Y36" s="218"/>
      <c r="Z36" s="218"/>
    </row>
    <row r="37" ht="15.75" customHeight="1">
      <c r="A37" s="222" t="s">
        <v>3192</v>
      </c>
      <c r="B37" s="218" t="str">
        <f>COUNTIF('Matemática 2025'!C:C,A37)</f>
        <v>#REF!</v>
      </c>
      <c r="C37" s="218"/>
      <c r="D37" s="218"/>
      <c r="E37" s="218"/>
      <c r="F37" s="218"/>
      <c r="G37" s="218"/>
      <c r="H37" s="218"/>
      <c r="I37" s="218"/>
      <c r="J37" s="218"/>
      <c r="K37" s="218"/>
      <c r="L37" s="218"/>
      <c r="M37" s="218"/>
      <c r="N37" s="218"/>
      <c r="O37" s="218"/>
      <c r="P37" s="218"/>
      <c r="Q37" s="218"/>
      <c r="R37" s="218"/>
      <c r="S37" s="218"/>
      <c r="T37" s="218"/>
      <c r="U37" s="218"/>
      <c r="V37" s="218"/>
      <c r="W37" s="218"/>
      <c r="X37" s="218"/>
      <c r="Y37" s="218"/>
      <c r="Z37" s="218"/>
    </row>
    <row r="38" ht="15.75" customHeight="1">
      <c r="A38" s="225" t="s">
        <v>3193</v>
      </c>
      <c r="B38" s="218" t="str">
        <f t="shared" ref="B38:B48" si="5">COUNTIF('Matemática 2025'!F:F,A38)</f>
        <v>#REF!</v>
      </c>
      <c r="C38" s="218"/>
      <c r="D38" s="218"/>
      <c r="E38" s="218"/>
      <c r="F38" s="218"/>
      <c r="G38" s="218"/>
      <c r="H38" s="218"/>
      <c r="I38" s="218"/>
      <c r="J38" s="218"/>
      <c r="K38" s="218"/>
      <c r="L38" s="218"/>
      <c r="M38" s="218"/>
      <c r="N38" s="218"/>
      <c r="O38" s="218"/>
      <c r="P38" s="218"/>
      <c r="Q38" s="218"/>
      <c r="R38" s="218"/>
      <c r="S38" s="218"/>
      <c r="T38" s="218"/>
      <c r="U38" s="218"/>
      <c r="V38" s="218"/>
      <c r="W38" s="218"/>
      <c r="X38" s="218"/>
      <c r="Y38" s="218"/>
      <c r="Z38" s="218"/>
    </row>
    <row r="39" ht="15.75" customHeight="1">
      <c r="A39" s="223" t="s">
        <v>3194</v>
      </c>
      <c r="B39" s="218" t="str">
        <f t="shared" si="5"/>
        <v>#REF!</v>
      </c>
      <c r="C39" s="218"/>
      <c r="D39" s="218"/>
      <c r="E39" s="218"/>
      <c r="F39" s="218"/>
      <c r="G39" s="218"/>
      <c r="H39" s="218"/>
      <c r="I39" s="218"/>
      <c r="J39" s="218"/>
      <c r="K39" s="218"/>
      <c r="L39" s="218"/>
      <c r="M39" s="218"/>
      <c r="N39" s="218"/>
      <c r="O39" s="218"/>
      <c r="P39" s="218"/>
      <c r="Q39" s="218"/>
      <c r="R39" s="218"/>
      <c r="S39" s="218"/>
      <c r="T39" s="218"/>
      <c r="U39" s="218"/>
      <c r="V39" s="218"/>
      <c r="W39" s="218"/>
      <c r="X39" s="218"/>
      <c r="Y39" s="218"/>
      <c r="Z39" s="218"/>
    </row>
    <row r="40" ht="15.75" customHeight="1">
      <c r="A40" s="223" t="s">
        <v>3195</v>
      </c>
      <c r="B40" s="218" t="str">
        <f t="shared" si="5"/>
        <v>#REF!</v>
      </c>
      <c r="C40" s="218"/>
      <c r="D40" s="218"/>
      <c r="E40" s="218"/>
      <c r="F40" s="218"/>
      <c r="G40" s="218"/>
      <c r="H40" s="218"/>
      <c r="I40" s="218"/>
      <c r="J40" s="218"/>
      <c r="K40" s="218"/>
      <c r="L40" s="218"/>
      <c r="M40" s="218"/>
      <c r="N40" s="218"/>
      <c r="O40" s="218"/>
      <c r="P40" s="218"/>
      <c r="Q40" s="218"/>
      <c r="R40" s="218"/>
      <c r="S40" s="218"/>
      <c r="T40" s="218"/>
      <c r="U40" s="218"/>
      <c r="V40" s="218"/>
      <c r="W40" s="218"/>
      <c r="X40" s="218"/>
      <c r="Y40" s="218"/>
      <c r="Z40" s="218"/>
    </row>
    <row r="41" ht="15.75" customHeight="1">
      <c r="A41" s="223" t="s">
        <v>3196</v>
      </c>
      <c r="B41" s="218" t="str">
        <f t="shared" si="5"/>
        <v>#REF!</v>
      </c>
      <c r="C41" s="218"/>
      <c r="D41" s="218"/>
      <c r="E41" s="218"/>
      <c r="F41" s="218"/>
      <c r="G41" s="218"/>
      <c r="H41" s="218"/>
      <c r="I41" s="218"/>
      <c r="J41" s="218"/>
      <c r="K41" s="218"/>
      <c r="L41" s="218"/>
      <c r="M41" s="218"/>
      <c r="N41" s="218"/>
      <c r="O41" s="218"/>
      <c r="P41" s="218"/>
      <c r="Q41" s="218"/>
      <c r="R41" s="218"/>
      <c r="S41" s="218"/>
      <c r="T41" s="218"/>
      <c r="U41" s="218"/>
      <c r="V41" s="218"/>
      <c r="W41" s="218"/>
      <c r="X41" s="218"/>
      <c r="Y41" s="218"/>
      <c r="Z41" s="218"/>
    </row>
    <row r="42" ht="15.75" customHeight="1">
      <c r="A42" s="223" t="s">
        <v>3197</v>
      </c>
      <c r="B42" s="218" t="str">
        <f t="shared" si="5"/>
        <v>#REF!</v>
      </c>
      <c r="C42" s="218"/>
      <c r="D42" s="218"/>
      <c r="E42" s="218"/>
      <c r="F42" s="218"/>
      <c r="G42" s="218"/>
      <c r="H42" s="218"/>
      <c r="I42" s="218"/>
      <c r="J42" s="218"/>
      <c r="K42" s="218"/>
      <c r="L42" s="218"/>
      <c r="M42" s="218"/>
      <c r="N42" s="218"/>
      <c r="O42" s="218"/>
      <c r="P42" s="218"/>
      <c r="Q42" s="218"/>
      <c r="R42" s="218"/>
      <c r="S42" s="218"/>
      <c r="T42" s="218"/>
      <c r="U42" s="218"/>
      <c r="V42" s="218"/>
      <c r="W42" s="218"/>
      <c r="X42" s="218"/>
      <c r="Y42" s="218"/>
      <c r="Z42" s="218"/>
    </row>
    <row r="43" ht="15.75" customHeight="1">
      <c r="A43" s="223" t="s">
        <v>3198</v>
      </c>
      <c r="B43" s="218" t="str">
        <f t="shared" si="5"/>
        <v>#REF!</v>
      </c>
      <c r="C43" s="218"/>
      <c r="D43" s="218"/>
      <c r="E43" s="218"/>
      <c r="F43" s="218"/>
      <c r="G43" s="218"/>
      <c r="H43" s="218"/>
      <c r="I43" s="218"/>
      <c r="J43" s="218"/>
      <c r="K43" s="218"/>
      <c r="L43" s="218"/>
      <c r="M43" s="218"/>
      <c r="N43" s="218"/>
      <c r="O43" s="218"/>
      <c r="P43" s="218"/>
      <c r="Q43" s="218"/>
      <c r="R43" s="218"/>
      <c r="S43" s="218"/>
      <c r="T43" s="218"/>
      <c r="U43" s="218"/>
      <c r="V43" s="218"/>
      <c r="W43" s="218"/>
      <c r="X43" s="218"/>
      <c r="Y43" s="218"/>
      <c r="Z43" s="218"/>
    </row>
    <row r="44" ht="15.75" customHeight="1">
      <c r="A44" s="223" t="s">
        <v>3199</v>
      </c>
      <c r="B44" s="218" t="str">
        <f t="shared" si="5"/>
        <v>#REF!</v>
      </c>
      <c r="C44" s="218"/>
      <c r="D44" s="218"/>
      <c r="E44" s="218"/>
      <c r="F44" s="218"/>
      <c r="G44" s="218"/>
      <c r="H44" s="218"/>
      <c r="I44" s="218"/>
      <c r="J44" s="218"/>
      <c r="K44" s="218"/>
      <c r="L44" s="218"/>
      <c r="M44" s="218"/>
      <c r="N44" s="218"/>
      <c r="O44" s="218"/>
      <c r="P44" s="218"/>
      <c r="Q44" s="218"/>
      <c r="R44" s="218"/>
      <c r="S44" s="218"/>
      <c r="T44" s="218"/>
      <c r="U44" s="218"/>
      <c r="V44" s="218"/>
      <c r="W44" s="218"/>
      <c r="X44" s="218"/>
      <c r="Y44" s="218"/>
      <c r="Z44" s="218"/>
    </row>
    <row r="45" ht="15.75" customHeight="1">
      <c r="A45" s="223" t="s">
        <v>3200</v>
      </c>
      <c r="B45" s="218" t="str">
        <f t="shared" si="5"/>
        <v>#REF!</v>
      </c>
      <c r="C45" s="218"/>
      <c r="D45" s="218"/>
      <c r="E45" s="218"/>
      <c r="F45" s="218"/>
      <c r="G45" s="218"/>
      <c r="H45" s="218"/>
      <c r="I45" s="218"/>
      <c r="J45" s="218"/>
      <c r="K45" s="218"/>
      <c r="L45" s="218"/>
      <c r="M45" s="218"/>
      <c r="N45" s="218"/>
      <c r="O45" s="218"/>
      <c r="P45" s="218"/>
      <c r="Q45" s="218"/>
      <c r="R45" s="218"/>
      <c r="S45" s="218"/>
      <c r="T45" s="218"/>
      <c r="U45" s="218"/>
      <c r="V45" s="218"/>
      <c r="W45" s="218"/>
      <c r="X45" s="218"/>
      <c r="Y45" s="218"/>
      <c r="Z45" s="218"/>
    </row>
    <row r="46" ht="15.75" customHeight="1">
      <c r="A46" s="223" t="s">
        <v>3201</v>
      </c>
      <c r="B46" s="218" t="str">
        <f t="shared" si="5"/>
        <v>#REF!</v>
      </c>
      <c r="C46" s="218"/>
      <c r="D46" s="218"/>
      <c r="E46" s="218"/>
      <c r="F46" s="218"/>
      <c r="G46" s="218"/>
      <c r="H46" s="218"/>
      <c r="I46" s="218"/>
      <c r="J46" s="218"/>
      <c r="K46" s="218"/>
      <c r="L46" s="218"/>
      <c r="M46" s="218"/>
      <c r="N46" s="218"/>
      <c r="O46" s="218"/>
      <c r="P46" s="218"/>
      <c r="Q46" s="218"/>
      <c r="R46" s="218"/>
      <c r="S46" s="218"/>
      <c r="T46" s="218"/>
      <c r="U46" s="218"/>
      <c r="V46" s="218"/>
      <c r="W46" s="218"/>
      <c r="X46" s="218"/>
      <c r="Y46" s="218"/>
      <c r="Z46" s="218"/>
    </row>
    <row r="47" ht="15.75" customHeight="1">
      <c r="A47" s="223" t="s">
        <v>3202</v>
      </c>
      <c r="B47" s="218" t="str">
        <f t="shared" si="5"/>
        <v>#REF!</v>
      </c>
      <c r="C47" s="218"/>
      <c r="D47" s="218"/>
      <c r="E47" s="218"/>
      <c r="F47" s="218"/>
      <c r="G47" s="218"/>
      <c r="H47" s="218"/>
      <c r="I47" s="218"/>
      <c r="J47" s="218"/>
      <c r="K47" s="218"/>
      <c r="L47" s="218"/>
      <c r="M47" s="218"/>
      <c r="N47" s="218"/>
      <c r="O47" s="218"/>
      <c r="P47" s="218"/>
      <c r="Q47" s="218"/>
      <c r="R47" s="218"/>
      <c r="S47" s="218"/>
      <c r="T47" s="218"/>
      <c r="U47" s="218"/>
      <c r="V47" s="218"/>
      <c r="W47" s="218"/>
      <c r="X47" s="218"/>
      <c r="Y47" s="218"/>
      <c r="Z47" s="218"/>
    </row>
    <row r="48" ht="15.75" customHeight="1">
      <c r="A48" s="225" t="s">
        <v>3175</v>
      </c>
      <c r="B48" s="218" t="str">
        <f t="shared" si="5"/>
        <v>#REF!</v>
      </c>
      <c r="C48" s="218"/>
      <c r="D48" s="218"/>
      <c r="E48" s="218"/>
      <c r="F48" s="218"/>
      <c r="G48" s="218"/>
      <c r="H48" s="218"/>
      <c r="I48" s="218"/>
      <c r="J48" s="218"/>
      <c r="K48" s="218"/>
      <c r="L48" s="218"/>
      <c r="M48" s="218"/>
      <c r="N48" s="218"/>
      <c r="O48" s="218"/>
      <c r="P48" s="218"/>
      <c r="Q48" s="218"/>
      <c r="R48" s="218"/>
      <c r="S48" s="218"/>
      <c r="T48" s="218"/>
      <c r="U48" s="218"/>
      <c r="V48" s="218"/>
      <c r="W48" s="218"/>
      <c r="X48" s="218"/>
      <c r="Y48" s="218"/>
      <c r="Z48" s="218"/>
    </row>
    <row r="49" ht="15.75" customHeight="1">
      <c r="A49" s="222" t="s">
        <v>3203</v>
      </c>
      <c r="B49" s="226" t="str">
        <f>COUNTIF('Matemática 2025'!C:C,A49)</f>
        <v>#REF!</v>
      </c>
      <c r="C49" s="226"/>
      <c r="D49" s="226"/>
      <c r="E49" s="226"/>
      <c r="F49" s="226"/>
      <c r="G49" s="226"/>
      <c r="H49" s="226"/>
      <c r="I49" s="226"/>
      <c r="J49" s="226"/>
      <c r="K49" s="226"/>
      <c r="L49" s="226"/>
      <c r="M49" s="226"/>
      <c r="N49" s="226"/>
      <c r="O49" s="226"/>
      <c r="P49" s="226"/>
      <c r="Q49" s="226"/>
      <c r="R49" s="226"/>
      <c r="S49" s="226"/>
      <c r="T49" s="226"/>
      <c r="U49" s="226"/>
      <c r="V49" s="226"/>
      <c r="W49" s="226"/>
      <c r="X49" s="226"/>
      <c r="Y49" s="226"/>
      <c r="Z49" s="226"/>
    </row>
    <row r="50" ht="15.75" customHeight="1">
      <c r="A50" s="223" t="s">
        <v>3204</v>
      </c>
      <c r="B50" s="218" t="str">
        <f>COUNTIF('Matemática 2025'!F:F,A50)</f>
        <v>#REF!</v>
      </c>
      <c r="C50" s="218"/>
      <c r="D50" s="218"/>
      <c r="E50" s="218"/>
      <c r="F50" s="218"/>
      <c r="G50" s="218"/>
      <c r="H50" s="218"/>
      <c r="I50" s="218"/>
      <c r="J50" s="218"/>
      <c r="K50" s="218"/>
      <c r="L50" s="218"/>
      <c r="M50" s="218"/>
      <c r="N50" s="218"/>
      <c r="O50" s="218"/>
      <c r="P50" s="218"/>
      <c r="Q50" s="218"/>
      <c r="R50" s="218"/>
      <c r="S50" s="218"/>
      <c r="T50" s="218"/>
      <c r="U50" s="218"/>
      <c r="V50" s="218"/>
      <c r="W50" s="218"/>
      <c r="X50" s="218"/>
      <c r="Y50" s="218"/>
      <c r="Z50" s="218"/>
    </row>
    <row r="51" ht="15.75" customHeight="1">
      <c r="A51" s="223"/>
      <c r="B51" s="218"/>
      <c r="C51" s="218"/>
      <c r="D51" s="218"/>
      <c r="E51" s="218"/>
      <c r="F51" s="218"/>
      <c r="G51" s="218"/>
      <c r="H51" s="218"/>
      <c r="I51" s="218"/>
      <c r="J51" s="218"/>
      <c r="K51" s="218"/>
      <c r="L51" s="218"/>
      <c r="M51" s="218"/>
      <c r="N51" s="218"/>
      <c r="O51" s="218"/>
      <c r="P51" s="218"/>
      <c r="Q51" s="218"/>
      <c r="R51" s="218"/>
      <c r="S51" s="218"/>
      <c r="T51" s="218"/>
      <c r="U51" s="218"/>
      <c r="V51" s="218"/>
      <c r="W51" s="218"/>
      <c r="X51" s="218"/>
      <c r="Y51" s="218"/>
      <c r="Z51" s="218"/>
    </row>
    <row r="52" ht="15.75" customHeight="1">
      <c r="A52" s="223"/>
      <c r="B52" s="227"/>
      <c r="C52" s="227"/>
      <c r="D52" s="227"/>
      <c r="E52" s="227"/>
      <c r="F52" s="227"/>
      <c r="G52" s="227"/>
      <c r="H52" s="227"/>
      <c r="I52" s="227"/>
      <c r="J52" s="227"/>
      <c r="K52" s="227"/>
      <c r="L52" s="227"/>
      <c r="M52" s="227"/>
      <c r="N52" s="227"/>
      <c r="O52" s="227"/>
      <c r="P52" s="227"/>
      <c r="Q52" s="227"/>
      <c r="R52" s="227"/>
      <c r="S52" s="227"/>
      <c r="T52" s="227"/>
      <c r="U52" s="227"/>
      <c r="V52" s="227"/>
      <c r="W52" s="227"/>
      <c r="X52" s="227"/>
      <c r="Y52" s="227"/>
      <c r="Z52" s="227"/>
    </row>
    <row r="53" ht="15.75" customHeight="1">
      <c r="A53" s="223"/>
      <c r="B53" s="227"/>
      <c r="C53" s="227"/>
      <c r="D53" s="227"/>
      <c r="E53" s="227"/>
      <c r="F53" s="227"/>
      <c r="G53" s="227"/>
      <c r="H53" s="227"/>
      <c r="I53" s="227"/>
      <c r="J53" s="227"/>
      <c r="K53" s="227"/>
      <c r="L53" s="227"/>
      <c r="M53" s="227"/>
      <c r="N53" s="227"/>
      <c r="O53" s="227"/>
      <c r="P53" s="227"/>
      <c r="Q53" s="227"/>
      <c r="R53" s="227"/>
      <c r="S53" s="227"/>
      <c r="T53" s="227"/>
      <c r="U53" s="227"/>
      <c r="V53" s="227"/>
      <c r="W53" s="227"/>
      <c r="X53" s="227"/>
      <c r="Y53" s="227"/>
      <c r="Z53" s="227"/>
    </row>
    <row r="54" ht="15.75" customHeight="1">
      <c r="A54" s="225"/>
      <c r="B54" s="225"/>
      <c r="C54" s="227"/>
      <c r="D54" s="227"/>
      <c r="E54" s="227"/>
      <c r="F54" s="227"/>
      <c r="G54" s="227"/>
      <c r="H54" s="227"/>
      <c r="I54" s="227"/>
      <c r="J54" s="227"/>
      <c r="K54" s="227"/>
      <c r="L54" s="227"/>
      <c r="M54" s="227"/>
      <c r="N54" s="227"/>
      <c r="O54" s="227"/>
      <c r="P54" s="227"/>
      <c r="Q54" s="227"/>
      <c r="R54" s="227"/>
      <c r="S54" s="227"/>
      <c r="T54" s="227"/>
      <c r="U54" s="227"/>
      <c r="V54" s="227"/>
      <c r="W54" s="227"/>
      <c r="X54" s="227"/>
      <c r="Y54" s="227"/>
      <c r="Z54" s="227"/>
    </row>
    <row r="55" ht="15.75" customHeight="1">
      <c r="A55" s="228"/>
      <c r="B55" s="227"/>
      <c r="C55" s="227"/>
      <c r="D55" s="227"/>
      <c r="E55" s="227"/>
      <c r="F55" s="227"/>
      <c r="G55" s="227"/>
      <c r="H55" s="227"/>
      <c r="I55" s="227"/>
      <c r="J55" s="227"/>
      <c r="K55" s="227"/>
      <c r="L55" s="227"/>
      <c r="M55" s="227"/>
      <c r="N55" s="227"/>
      <c r="O55" s="227"/>
      <c r="P55" s="227"/>
      <c r="Q55" s="227"/>
      <c r="R55" s="227"/>
      <c r="S55" s="227"/>
      <c r="T55" s="227"/>
      <c r="U55" s="227"/>
      <c r="V55" s="227"/>
      <c r="W55" s="227"/>
      <c r="X55" s="227"/>
      <c r="Y55" s="227"/>
      <c r="Z55" s="227"/>
    </row>
    <row r="56" ht="15.75" customHeight="1">
      <c r="A56" s="225"/>
      <c r="B56" s="225"/>
      <c r="C56" s="227"/>
      <c r="D56" s="227"/>
      <c r="E56" s="227"/>
      <c r="F56" s="227"/>
      <c r="G56" s="227"/>
      <c r="H56" s="227"/>
      <c r="I56" s="227"/>
      <c r="J56" s="227"/>
      <c r="K56" s="227"/>
      <c r="L56" s="227"/>
      <c r="M56" s="227"/>
      <c r="N56" s="227"/>
      <c r="O56" s="227"/>
      <c r="P56" s="227"/>
      <c r="Q56" s="227"/>
      <c r="R56" s="227"/>
      <c r="S56" s="227"/>
      <c r="T56" s="227"/>
      <c r="U56" s="227"/>
      <c r="V56" s="227"/>
      <c r="W56" s="227"/>
      <c r="X56" s="227"/>
      <c r="Y56" s="227"/>
      <c r="Z56" s="227"/>
    </row>
    <row r="57" ht="15.75" customHeight="1">
      <c r="A57" s="229"/>
      <c r="B57" s="225"/>
      <c r="C57" s="227"/>
      <c r="D57" s="227"/>
      <c r="E57" s="227"/>
      <c r="F57" s="227"/>
      <c r="G57" s="227"/>
      <c r="H57" s="227"/>
      <c r="I57" s="227"/>
      <c r="J57" s="227"/>
      <c r="K57" s="227"/>
      <c r="L57" s="227"/>
      <c r="M57" s="227"/>
      <c r="N57" s="227"/>
      <c r="O57" s="227"/>
      <c r="P57" s="227"/>
      <c r="Q57" s="227"/>
      <c r="R57" s="227"/>
      <c r="S57" s="227"/>
      <c r="T57" s="227"/>
      <c r="U57" s="227"/>
      <c r="V57" s="227"/>
      <c r="W57" s="227"/>
      <c r="X57" s="227"/>
      <c r="Y57" s="227"/>
      <c r="Z57" s="227"/>
    </row>
    <row r="58" ht="15.75" customHeight="1">
      <c r="A58" s="230"/>
      <c r="B58" s="227"/>
      <c r="C58" s="227"/>
      <c r="D58" s="227"/>
      <c r="E58" s="227"/>
      <c r="F58" s="227"/>
      <c r="G58" s="227"/>
      <c r="H58" s="227"/>
      <c r="I58" s="227"/>
      <c r="J58" s="227"/>
      <c r="K58" s="227"/>
      <c r="L58" s="227"/>
      <c r="M58" s="227"/>
      <c r="N58" s="227"/>
      <c r="O58" s="227"/>
      <c r="P58" s="227"/>
      <c r="Q58" s="227"/>
      <c r="R58" s="227"/>
      <c r="S58" s="227"/>
      <c r="T58" s="227"/>
      <c r="U58" s="227"/>
      <c r="V58" s="227"/>
      <c r="W58" s="227"/>
      <c r="X58" s="227"/>
      <c r="Y58" s="227"/>
      <c r="Z58" s="227"/>
    </row>
    <row r="59" ht="15.75" customHeight="1">
      <c r="A59" s="230"/>
      <c r="B59" s="227"/>
      <c r="C59" s="227"/>
      <c r="D59" s="227"/>
      <c r="E59" s="227"/>
      <c r="F59" s="227"/>
      <c r="G59" s="227"/>
      <c r="H59" s="227"/>
      <c r="I59" s="227"/>
      <c r="J59" s="227"/>
      <c r="K59" s="227"/>
      <c r="L59" s="227"/>
      <c r="M59" s="227"/>
      <c r="N59" s="227"/>
      <c r="O59" s="227"/>
      <c r="P59" s="227"/>
      <c r="Q59" s="227"/>
      <c r="R59" s="227"/>
      <c r="S59" s="227"/>
      <c r="T59" s="227"/>
      <c r="U59" s="227"/>
      <c r="V59" s="227"/>
      <c r="W59" s="227"/>
      <c r="X59" s="227"/>
      <c r="Y59" s="227"/>
      <c r="Z59" s="227"/>
    </row>
    <row r="60" ht="15.75" customHeight="1">
      <c r="A60" s="231"/>
      <c r="B60" s="227"/>
      <c r="C60" s="227"/>
      <c r="D60" s="227"/>
      <c r="E60" s="227"/>
      <c r="F60" s="227"/>
      <c r="G60" s="227"/>
      <c r="H60" s="227"/>
      <c r="I60" s="227"/>
      <c r="J60" s="227"/>
      <c r="K60" s="227"/>
      <c r="L60" s="227"/>
      <c r="M60" s="227"/>
      <c r="N60" s="227"/>
      <c r="O60" s="227"/>
      <c r="P60" s="227"/>
      <c r="Q60" s="227"/>
      <c r="R60" s="227"/>
      <c r="S60" s="227"/>
      <c r="T60" s="227"/>
      <c r="U60" s="227"/>
      <c r="V60" s="227"/>
      <c r="W60" s="227"/>
      <c r="X60" s="227"/>
      <c r="Y60" s="227"/>
      <c r="Z60" s="227"/>
    </row>
    <row r="61" ht="15.75" customHeight="1">
      <c r="A61" s="232"/>
      <c r="B61" s="227"/>
      <c r="C61" s="227"/>
      <c r="D61" s="227"/>
      <c r="E61" s="227"/>
      <c r="F61" s="227"/>
      <c r="G61" s="227"/>
      <c r="H61" s="227"/>
      <c r="I61" s="227"/>
      <c r="J61" s="227"/>
      <c r="K61" s="227"/>
      <c r="L61" s="227"/>
      <c r="M61" s="227"/>
      <c r="N61" s="227"/>
      <c r="O61" s="227"/>
      <c r="P61" s="227"/>
      <c r="Q61" s="227"/>
      <c r="R61" s="227"/>
      <c r="S61" s="227"/>
      <c r="T61" s="227"/>
      <c r="U61" s="227"/>
      <c r="V61" s="227"/>
      <c r="W61" s="227"/>
      <c r="X61" s="227"/>
      <c r="Y61" s="227"/>
      <c r="Z61" s="227"/>
    </row>
    <row r="62" ht="15.75" customHeight="1">
      <c r="A62" s="230"/>
      <c r="B62" s="227"/>
      <c r="C62" s="227"/>
      <c r="D62" s="227"/>
      <c r="E62" s="227"/>
      <c r="F62" s="227"/>
      <c r="G62" s="227"/>
      <c r="H62" s="227"/>
      <c r="I62" s="227"/>
      <c r="J62" s="227"/>
      <c r="K62" s="227"/>
      <c r="L62" s="227"/>
      <c r="M62" s="227"/>
      <c r="N62" s="227"/>
      <c r="O62" s="227"/>
      <c r="P62" s="227"/>
      <c r="Q62" s="227"/>
      <c r="R62" s="227"/>
      <c r="S62" s="227"/>
      <c r="T62" s="227"/>
      <c r="U62" s="227"/>
      <c r="V62" s="227"/>
      <c r="W62" s="227"/>
      <c r="X62" s="227"/>
      <c r="Y62" s="227"/>
      <c r="Z62" s="227"/>
    </row>
    <row r="63" ht="15.75" customHeight="1">
      <c r="A63" s="233"/>
      <c r="B63" s="227"/>
      <c r="C63" s="227"/>
      <c r="D63" s="227"/>
      <c r="E63" s="227"/>
      <c r="F63" s="227"/>
      <c r="G63" s="227"/>
      <c r="H63" s="227"/>
      <c r="I63" s="227"/>
      <c r="J63" s="227"/>
      <c r="K63" s="227"/>
      <c r="L63" s="227"/>
      <c r="M63" s="227"/>
      <c r="N63" s="227"/>
      <c r="O63" s="227"/>
      <c r="P63" s="227"/>
      <c r="Q63" s="227"/>
      <c r="R63" s="227"/>
      <c r="S63" s="227"/>
      <c r="T63" s="227"/>
      <c r="U63" s="227"/>
      <c r="V63" s="227"/>
      <c r="W63" s="227"/>
      <c r="X63" s="227"/>
      <c r="Y63" s="227"/>
      <c r="Z63" s="227"/>
    </row>
    <row r="64" ht="15.75" customHeight="1">
      <c r="A64" s="233"/>
      <c r="B64" s="227"/>
      <c r="C64" s="227"/>
      <c r="D64" s="227"/>
      <c r="E64" s="227"/>
      <c r="F64" s="227"/>
      <c r="G64" s="227"/>
      <c r="H64" s="227"/>
      <c r="I64" s="227"/>
      <c r="J64" s="227"/>
      <c r="K64" s="227"/>
      <c r="L64" s="227"/>
      <c r="M64" s="227"/>
      <c r="N64" s="227"/>
      <c r="O64" s="227"/>
      <c r="P64" s="227"/>
      <c r="Q64" s="227"/>
      <c r="R64" s="227"/>
      <c r="S64" s="227"/>
      <c r="T64" s="227"/>
      <c r="U64" s="227"/>
      <c r="V64" s="227"/>
      <c r="W64" s="227"/>
      <c r="X64" s="227"/>
      <c r="Y64" s="227"/>
      <c r="Z64" s="227"/>
    </row>
    <row r="65" ht="15.75" customHeight="1">
      <c r="A65" s="231"/>
      <c r="B65" s="227"/>
      <c r="C65" s="227"/>
      <c r="D65" s="227"/>
      <c r="E65" s="227"/>
      <c r="F65" s="227"/>
      <c r="G65" s="227"/>
      <c r="H65" s="227"/>
      <c r="I65" s="227"/>
      <c r="J65" s="227"/>
      <c r="K65" s="227"/>
      <c r="L65" s="227"/>
      <c r="M65" s="227"/>
      <c r="N65" s="227"/>
      <c r="O65" s="227"/>
      <c r="P65" s="227"/>
      <c r="Q65" s="227"/>
      <c r="R65" s="227"/>
      <c r="S65" s="227"/>
      <c r="T65" s="227"/>
      <c r="U65" s="227"/>
      <c r="V65" s="227"/>
      <c r="W65" s="227"/>
      <c r="X65" s="227"/>
      <c r="Y65" s="227"/>
      <c r="Z65" s="227"/>
    </row>
    <row r="66" ht="15.75" customHeight="1">
      <c r="A66" s="233"/>
      <c r="B66" s="227"/>
      <c r="C66" s="227"/>
      <c r="D66" s="227"/>
      <c r="E66" s="227"/>
      <c r="F66" s="227"/>
      <c r="G66" s="227"/>
      <c r="H66" s="227"/>
      <c r="I66" s="227"/>
      <c r="J66" s="227"/>
      <c r="K66" s="227"/>
      <c r="L66" s="227"/>
      <c r="M66" s="227"/>
      <c r="N66" s="227"/>
      <c r="O66" s="227"/>
      <c r="P66" s="227"/>
      <c r="Q66" s="227"/>
      <c r="R66" s="227"/>
      <c r="S66" s="227"/>
      <c r="T66" s="227"/>
      <c r="U66" s="227"/>
      <c r="V66" s="227"/>
      <c r="W66" s="227"/>
      <c r="X66" s="227"/>
      <c r="Y66" s="227"/>
      <c r="Z66" s="227"/>
    </row>
    <row r="67" ht="15.75" customHeight="1">
      <c r="A67" s="231"/>
      <c r="B67" s="227"/>
      <c r="C67" s="227"/>
      <c r="D67" s="227"/>
      <c r="E67" s="227"/>
      <c r="F67" s="227"/>
      <c r="G67" s="227"/>
      <c r="H67" s="227"/>
      <c r="I67" s="227"/>
      <c r="J67" s="227"/>
      <c r="K67" s="227"/>
      <c r="L67" s="227"/>
      <c r="M67" s="227"/>
      <c r="N67" s="227"/>
      <c r="O67" s="227"/>
      <c r="P67" s="227"/>
      <c r="Q67" s="227"/>
      <c r="R67" s="227"/>
      <c r="S67" s="227"/>
      <c r="T67" s="227"/>
      <c r="U67" s="227"/>
      <c r="V67" s="227"/>
      <c r="W67" s="227"/>
      <c r="X67" s="227"/>
      <c r="Y67" s="227"/>
      <c r="Z67" s="227"/>
    </row>
    <row r="68" ht="15.75" customHeight="1">
      <c r="A68" s="225"/>
      <c r="B68" s="227"/>
      <c r="C68" s="227"/>
      <c r="D68" s="227"/>
      <c r="E68" s="227"/>
      <c r="F68" s="227"/>
      <c r="G68" s="227"/>
      <c r="H68" s="227"/>
      <c r="I68" s="227"/>
      <c r="J68" s="227"/>
      <c r="K68" s="227"/>
      <c r="L68" s="227"/>
      <c r="M68" s="227"/>
      <c r="N68" s="227"/>
      <c r="O68" s="227"/>
      <c r="P68" s="227"/>
      <c r="Q68" s="227"/>
      <c r="R68" s="227"/>
      <c r="S68" s="227"/>
      <c r="T68" s="227"/>
      <c r="U68" s="227"/>
      <c r="V68" s="227"/>
      <c r="W68" s="227"/>
      <c r="X68" s="227"/>
      <c r="Y68" s="227"/>
      <c r="Z68" s="227"/>
    </row>
    <row r="69" ht="15.75" customHeight="1">
      <c r="A69" s="225"/>
      <c r="B69" s="227"/>
      <c r="C69" s="227"/>
      <c r="D69" s="227"/>
      <c r="E69" s="227"/>
      <c r="F69" s="227"/>
      <c r="G69" s="227"/>
      <c r="H69" s="227"/>
      <c r="I69" s="227"/>
      <c r="J69" s="227"/>
      <c r="K69" s="227"/>
      <c r="L69" s="227"/>
      <c r="M69" s="227"/>
      <c r="N69" s="227"/>
      <c r="O69" s="227"/>
      <c r="P69" s="227"/>
      <c r="Q69" s="227"/>
      <c r="R69" s="227"/>
      <c r="S69" s="227"/>
      <c r="T69" s="227"/>
      <c r="U69" s="227"/>
      <c r="V69" s="227"/>
      <c r="W69" s="227"/>
      <c r="X69" s="227"/>
      <c r="Y69" s="227"/>
      <c r="Z69" s="227"/>
    </row>
    <row r="70" ht="15.75" customHeight="1">
      <c r="A70" s="225"/>
      <c r="B70" s="227"/>
      <c r="C70" s="227"/>
      <c r="D70" s="227"/>
      <c r="E70" s="227"/>
      <c r="F70" s="227"/>
      <c r="G70" s="227"/>
      <c r="H70" s="227"/>
      <c r="I70" s="227"/>
      <c r="J70" s="227"/>
      <c r="K70" s="227"/>
      <c r="L70" s="227"/>
      <c r="M70" s="227"/>
      <c r="N70" s="227"/>
      <c r="O70" s="227"/>
      <c r="P70" s="227"/>
      <c r="Q70" s="227"/>
      <c r="R70" s="227"/>
      <c r="S70" s="227"/>
      <c r="T70" s="227"/>
      <c r="U70" s="227"/>
      <c r="V70" s="227"/>
      <c r="W70" s="227"/>
      <c r="X70" s="227"/>
      <c r="Y70" s="227"/>
      <c r="Z70" s="227"/>
    </row>
    <row r="71" ht="15.75" customHeight="1">
      <c r="A71" s="225"/>
      <c r="B71" s="227"/>
      <c r="C71" s="227"/>
      <c r="D71" s="227"/>
      <c r="E71" s="227"/>
      <c r="F71" s="227"/>
      <c r="G71" s="227"/>
      <c r="H71" s="227"/>
      <c r="I71" s="227"/>
      <c r="J71" s="227"/>
      <c r="K71" s="227"/>
      <c r="L71" s="227"/>
      <c r="M71" s="227"/>
      <c r="N71" s="227"/>
      <c r="O71" s="227"/>
      <c r="P71" s="227"/>
      <c r="Q71" s="227"/>
      <c r="R71" s="227"/>
      <c r="S71" s="227"/>
      <c r="T71" s="227"/>
      <c r="U71" s="227"/>
      <c r="V71" s="227"/>
      <c r="W71" s="227"/>
      <c r="X71" s="227"/>
      <c r="Y71" s="227"/>
      <c r="Z71" s="227"/>
    </row>
    <row r="72" ht="15.75" customHeight="1">
      <c r="A72" s="225"/>
      <c r="B72" s="227"/>
      <c r="C72" s="227"/>
      <c r="D72" s="227"/>
      <c r="E72" s="227"/>
      <c r="F72" s="227"/>
      <c r="G72" s="227"/>
      <c r="H72" s="227"/>
      <c r="I72" s="227"/>
      <c r="J72" s="227"/>
      <c r="K72" s="227"/>
      <c r="L72" s="227"/>
      <c r="M72" s="227"/>
      <c r="N72" s="227"/>
      <c r="O72" s="227"/>
      <c r="P72" s="227"/>
      <c r="Q72" s="227"/>
      <c r="R72" s="227"/>
      <c r="S72" s="227"/>
      <c r="T72" s="227"/>
      <c r="U72" s="227"/>
      <c r="V72" s="227"/>
      <c r="W72" s="227"/>
      <c r="X72" s="227"/>
      <c r="Y72" s="227"/>
      <c r="Z72" s="227"/>
    </row>
    <row r="73" ht="15.75" customHeight="1">
      <c r="A73" s="225"/>
      <c r="B73" s="218"/>
      <c r="C73" s="218"/>
      <c r="D73" s="218"/>
      <c r="E73" s="218"/>
      <c r="F73" s="218"/>
      <c r="G73" s="218"/>
      <c r="H73" s="218"/>
      <c r="I73" s="218"/>
      <c r="J73" s="218"/>
      <c r="K73" s="218"/>
      <c r="L73" s="218"/>
      <c r="M73" s="218"/>
      <c r="N73" s="218"/>
      <c r="O73" s="218"/>
      <c r="P73" s="218"/>
      <c r="Q73" s="218"/>
      <c r="R73" s="218"/>
      <c r="S73" s="218"/>
      <c r="T73" s="218"/>
      <c r="U73" s="218"/>
      <c r="V73" s="218"/>
      <c r="W73" s="218"/>
      <c r="X73" s="218"/>
      <c r="Y73" s="218"/>
      <c r="Z73" s="218"/>
    </row>
    <row r="74" ht="15.75" customHeight="1">
      <c r="A74" s="225"/>
      <c r="B74" s="218"/>
      <c r="C74" s="218"/>
      <c r="D74" s="218"/>
      <c r="E74" s="218"/>
      <c r="F74" s="218"/>
      <c r="G74" s="218"/>
      <c r="H74" s="218"/>
      <c r="I74" s="218"/>
      <c r="J74" s="218"/>
      <c r="K74" s="218"/>
      <c r="L74" s="218"/>
      <c r="M74" s="218"/>
      <c r="N74" s="218"/>
      <c r="O74" s="218"/>
      <c r="P74" s="218"/>
      <c r="Q74" s="218"/>
      <c r="R74" s="218"/>
      <c r="S74" s="218"/>
      <c r="T74" s="218"/>
      <c r="U74" s="218"/>
      <c r="V74" s="218"/>
      <c r="W74" s="218"/>
      <c r="X74" s="218"/>
      <c r="Y74" s="218"/>
      <c r="Z74" s="218"/>
    </row>
    <row r="75" ht="15.75" customHeight="1">
      <c r="A75" s="225"/>
      <c r="B75" s="218"/>
      <c r="C75" s="218"/>
      <c r="D75" s="218"/>
      <c r="E75" s="218"/>
      <c r="F75" s="218"/>
      <c r="G75" s="218"/>
      <c r="H75" s="218"/>
      <c r="I75" s="218"/>
      <c r="J75" s="218"/>
      <c r="K75" s="218"/>
      <c r="L75" s="218"/>
      <c r="M75" s="218"/>
      <c r="N75" s="218"/>
      <c r="O75" s="218"/>
      <c r="P75" s="218"/>
      <c r="Q75" s="218"/>
      <c r="R75" s="218"/>
      <c r="S75" s="218"/>
      <c r="T75" s="218"/>
      <c r="U75" s="218"/>
      <c r="V75" s="218"/>
      <c r="W75" s="218"/>
      <c r="X75" s="218"/>
      <c r="Y75" s="218"/>
      <c r="Z75" s="218"/>
    </row>
    <row r="76" ht="15.75" customHeight="1">
      <c r="A76" s="225"/>
      <c r="B76" s="218"/>
      <c r="C76" s="218"/>
      <c r="D76" s="218"/>
      <c r="E76" s="218"/>
      <c r="F76" s="218"/>
      <c r="G76" s="218"/>
      <c r="H76" s="218"/>
      <c r="I76" s="218"/>
      <c r="J76" s="218"/>
      <c r="K76" s="218"/>
      <c r="L76" s="218"/>
      <c r="M76" s="218"/>
      <c r="N76" s="218"/>
      <c r="O76" s="218"/>
      <c r="P76" s="218"/>
      <c r="Q76" s="218"/>
      <c r="R76" s="218"/>
      <c r="S76" s="218"/>
      <c r="T76" s="218"/>
      <c r="U76" s="218"/>
      <c r="V76" s="218"/>
      <c r="W76" s="218"/>
      <c r="X76" s="218"/>
      <c r="Y76" s="218"/>
      <c r="Z76" s="218"/>
    </row>
    <row r="77" ht="15.75" customHeight="1">
      <c r="A77" s="225"/>
      <c r="B77" s="218"/>
      <c r="C77" s="218"/>
      <c r="D77" s="218"/>
      <c r="E77" s="218"/>
      <c r="F77" s="218"/>
      <c r="G77" s="218"/>
      <c r="H77" s="218"/>
      <c r="I77" s="218"/>
      <c r="J77" s="218"/>
      <c r="K77" s="218"/>
      <c r="L77" s="218"/>
      <c r="M77" s="218"/>
      <c r="N77" s="218"/>
      <c r="O77" s="218"/>
      <c r="P77" s="218"/>
      <c r="Q77" s="218"/>
      <c r="R77" s="218"/>
      <c r="S77" s="218"/>
      <c r="T77" s="218"/>
      <c r="U77" s="218"/>
      <c r="V77" s="218"/>
      <c r="W77" s="218"/>
      <c r="X77" s="218"/>
      <c r="Y77" s="218"/>
      <c r="Z77" s="218"/>
    </row>
    <row r="78" ht="15.75" customHeight="1">
      <c r="A78" s="225"/>
      <c r="B78" s="218"/>
      <c r="C78" s="218"/>
      <c r="D78" s="218"/>
      <c r="E78" s="218"/>
      <c r="F78" s="218"/>
      <c r="G78" s="218"/>
      <c r="H78" s="218"/>
      <c r="I78" s="218"/>
      <c r="J78" s="218"/>
      <c r="K78" s="218"/>
      <c r="L78" s="218"/>
      <c r="M78" s="218"/>
      <c r="N78" s="218"/>
      <c r="O78" s="218"/>
      <c r="P78" s="218"/>
      <c r="Q78" s="218"/>
      <c r="R78" s="218"/>
      <c r="S78" s="218"/>
      <c r="T78" s="218"/>
      <c r="U78" s="218"/>
      <c r="V78" s="218"/>
      <c r="W78" s="218"/>
      <c r="X78" s="218"/>
      <c r="Y78" s="218"/>
      <c r="Z78" s="218"/>
    </row>
    <row r="79" ht="15.75" customHeight="1">
      <c r="A79" s="225"/>
      <c r="B79" s="218"/>
      <c r="C79" s="218"/>
      <c r="D79" s="218"/>
      <c r="E79" s="218"/>
      <c r="F79" s="218"/>
      <c r="G79" s="218"/>
      <c r="H79" s="218"/>
      <c r="I79" s="218"/>
      <c r="J79" s="218"/>
      <c r="K79" s="218"/>
      <c r="L79" s="218"/>
      <c r="M79" s="218"/>
      <c r="N79" s="218"/>
      <c r="O79" s="218"/>
      <c r="P79" s="218"/>
      <c r="Q79" s="218"/>
      <c r="R79" s="218"/>
      <c r="S79" s="218"/>
      <c r="T79" s="218"/>
      <c r="U79" s="218"/>
      <c r="V79" s="218"/>
      <c r="W79" s="218"/>
      <c r="X79" s="218"/>
      <c r="Y79" s="218"/>
      <c r="Z79" s="218"/>
    </row>
    <row r="80" ht="15.75" customHeight="1">
      <c r="A80" s="225"/>
      <c r="B80" s="218"/>
      <c r="C80" s="218"/>
      <c r="D80" s="218"/>
      <c r="E80" s="218"/>
      <c r="F80" s="218"/>
      <c r="G80" s="218"/>
      <c r="H80" s="218"/>
      <c r="I80" s="218"/>
      <c r="J80" s="218"/>
      <c r="K80" s="218"/>
      <c r="L80" s="218"/>
      <c r="M80" s="218"/>
      <c r="N80" s="218"/>
      <c r="O80" s="218"/>
      <c r="P80" s="218"/>
      <c r="Q80" s="218"/>
      <c r="R80" s="218"/>
      <c r="S80" s="218"/>
      <c r="T80" s="218"/>
      <c r="U80" s="218"/>
      <c r="V80" s="218"/>
      <c r="W80" s="218"/>
      <c r="X80" s="218"/>
      <c r="Y80" s="218"/>
      <c r="Z80" s="218"/>
    </row>
    <row r="81" ht="15.75" customHeight="1">
      <c r="A81" s="225"/>
      <c r="B81" s="218"/>
      <c r="C81" s="218"/>
      <c r="D81" s="218"/>
      <c r="E81" s="218"/>
      <c r="F81" s="218"/>
      <c r="G81" s="218"/>
      <c r="H81" s="218"/>
      <c r="I81" s="218"/>
      <c r="J81" s="218"/>
      <c r="K81" s="218"/>
      <c r="L81" s="218"/>
      <c r="M81" s="218"/>
      <c r="N81" s="218"/>
      <c r="O81" s="218"/>
      <c r="P81" s="218"/>
      <c r="Q81" s="218"/>
      <c r="R81" s="218"/>
      <c r="S81" s="218"/>
      <c r="T81" s="218"/>
      <c r="U81" s="218"/>
      <c r="V81" s="218"/>
      <c r="W81" s="218"/>
      <c r="X81" s="218"/>
      <c r="Y81" s="218"/>
      <c r="Z81" s="218"/>
    </row>
    <row r="82" ht="15.75" customHeight="1">
      <c r="A82" s="225"/>
      <c r="B82" s="218"/>
      <c r="C82" s="218"/>
      <c r="D82" s="218"/>
      <c r="E82" s="218"/>
      <c r="F82" s="218"/>
      <c r="G82" s="218"/>
      <c r="H82" s="218"/>
      <c r="I82" s="218"/>
      <c r="J82" s="218"/>
      <c r="K82" s="218"/>
      <c r="L82" s="218"/>
      <c r="M82" s="218"/>
      <c r="N82" s="218"/>
      <c r="O82" s="218"/>
      <c r="P82" s="218"/>
      <c r="Q82" s="218"/>
      <c r="R82" s="218"/>
      <c r="S82" s="218"/>
      <c r="T82" s="218"/>
      <c r="U82" s="218"/>
      <c r="V82" s="218"/>
      <c r="W82" s="218"/>
      <c r="X82" s="218"/>
      <c r="Y82" s="218"/>
      <c r="Z82" s="218"/>
    </row>
    <row r="83" ht="15.75" customHeight="1">
      <c r="A83" s="225"/>
      <c r="B83" s="218"/>
      <c r="C83" s="218"/>
      <c r="D83" s="218"/>
      <c r="E83" s="218"/>
      <c r="F83" s="218"/>
      <c r="G83" s="218"/>
      <c r="H83" s="218"/>
      <c r="I83" s="218"/>
      <c r="J83" s="218"/>
      <c r="K83" s="218"/>
      <c r="L83" s="218"/>
      <c r="M83" s="218"/>
      <c r="N83" s="218"/>
      <c r="O83" s="218"/>
      <c r="P83" s="218"/>
      <c r="Q83" s="218"/>
      <c r="R83" s="218"/>
      <c r="S83" s="218"/>
      <c r="T83" s="218"/>
      <c r="U83" s="218"/>
      <c r="V83" s="218"/>
      <c r="W83" s="218"/>
      <c r="X83" s="218"/>
      <c r="Y83" s="218"/>
      <c r="Z83" s="218"/>
    </row>
    <row r="84" ht="15.75" customHeight="1">
      <c r="A84" s="225"/>
      <c r="B84" s="218"/>
      <c r="C84" s="218"/>
      <c r="D84" s="218"/>
      <c r="E84" s="218"/>
      <c r="F84" s="218"/>
      <c r="G84" s="218"/>
      <c r="H84" s="218"/>
      <c r="I84" s="218"/>
      <c r="J84" s="218"/>
      <c r="K84" s="218"/>
      <c r="L84" s="218"/>
      <c r="M84" s="218"/>
      <c r="N84" s="218"/>
      <c r="O84" s="218"/>
      <c r="P84" s="218"/>
      <c r="Q84" s="218"/>
      <c r="R84" s="218"/>
      <c r="S84" s="218"/>
      <c r="T84" s="218"/>
      <c r="U84" s="218"/>
      <c r="V84" s="218"/>
      <c r="W84" s="218"/>
      <c r="X84" s="218"/>
      <c r="Y84" s="218"/>
      <c r="Z84" s="218"/>
    </row>
    <row r="85" ht="15.75" customHeight="1">
      <c r="A85" s="225"/>
      <c r="B85" s="218"/>
      <c r="C85" s="218"/>
      <c r="D85" s="218"/>
      <c r="E85" s="218"/>
      <c r="F85" s="218"/>
      <c r="G85" s="218"/>
      <c r="H85" s="218"/>
      <c r="I85" s="218"/>
      <c r="J85" s="218"/>
      <c r="K85" s="218"/>
      <c r="L85" s="218"/>
      <c r="M85" s="218"/>
      <c r="N85" s="218"/>
      <c r="O85" s="218"/>
      <c r="P85" s="218"/>
      <c r="Q85" s="218"/>
      <c r="R85" s="218"/>
      <c r="S85" s="218"/>
      <c r="T85" s="218"/>
      <c r="U85" s="218"/>
      <c r="V85" s="218"/>
      <c r="W85" s="218"/>
      <c r="X85" s="218"/>
      <c r="Y85" s="218"/>
      <c r="Z85" s="218"/>
    </row>
    <row r="86" ht="15.75" customHeight="1">
      <c r="A86" s="225"/>
      <c r="B86" s="218"/>
      <c r="C86" s="218"/>
      <c r="D86" s="218"/>
      <c r="E86" s="218"/>
      <c r="F86" s="218"/>
      <c r="G86" s="218"/>
      <c r="H86" s="218"/>
      <c r="I86" s="218"/>
      <c r="J86" s="218"/>
      <c r="K86" s="218"/>
      <c r="L86" s="218"/>
      <c r="M86" s="218"/>
      <c r="N86" s="218"/>
      <c r="O86" s="218"/>
      <c r="P86" s="218"/>
      <c r="Q86" s="218"/>
      <c r="R86" s="218"/>
      <c r="S86" s="218"/>
      <c r="T86" s="218"/>
      <c r="U86" s="218"/>
      <c r="V86" s="218"/>
      <c r="W86" s="218"/>
      <c r="X86" s="218"/>
      <c r="Y86" s="218"/>
      <c r="Z86" s="218"/>
    </row>
    <row r="87" ht="15.75" customHeight="1">
      <c r="A87" s="225"/>
      <c r="B87" s="218"/>
      <c r="C87" s="218"/>
      <c r="D87" s="218"/>
      <c r="E87" s="218"/>
      <c r="F87" s="218"/>
      <c r="G87" s="218"/>
      <c r="H87" s="218"/>
      <c r="I87" s="218"/>
      <c r="J87" s="218"/>
      <c r="K87" s="218"/>
      <c r="L87" s="218"/>
      <c r="M87" s="218"/>
      <c r="N87" s="218"/>
      <c r="O87" s="218"/>
      <c r="P87" s="218"/>
      <c r="Q87" s="218"/>
      <c r="R87" s="218"/>
      <c r="S87" s="218"/>
      <c r="T87" s="218"/>
      <c r="U87" s="218"/>
      <c r="V87" s="218"/>
      <c r="W87" s="218"/>
      <c r="X87" s="218"/>
      <c r="Y87" s="218"/>
      <c r="Z87" s="218"/>
    </row>
    <row r="88" ht="15.75" customHeight="1">
      <c r="A88" s="225"/>
      <c r="B88" s="218"/>
      <c r="C88" s="218"/>
      <c r="D88" s="218"/>
      <c r="E88" s="218"/>
      <c r="F88" s="218"/>
      <c r="G88" s="218"/>
      <c r="H88" s="218"/>
      <c r="I88" s="218"/>
      <c r="J88" s="218"/>
      <c r="K88" s="218"/>
      <c r="L88" s="218"/>
      <c r="M88" s="218"/>
      <c r="N88" s="218"/>
      <c r="O88" s="218"/>
      <c r="P88" s="218"/>
      <c r="Q88" s="218"/>
      <c r="R88" s="218"/>
      <c r="S88" s="218"/>
      <c r="T88" s="218"/>
      <c r="U88" s="218"/>
      <c r="V88" s="218"/>
      <c r="W88" s="218"/>
      <c r="X88" s="218"/>
      <c r="Y88" s="218"/>
      <c r="Z88" s="218"/>
    </row>
    <row r="89" ht="15.75" customHeight="1">
      <c r="A89" s="225"/>
      <c r="B89" s="218"/>
      <c r="C89" s="218"/>
      <c r="D89" s="218"/>
      <c r="E89" s="218"/>
      <c r="F89" s="218"/>
      <c r="G89" s="218"/>
      <c r="H89" s="218"/>
      <c r="I89" s="218"/>
      <c r="J89" s="218"/>
      <c r="K89" s="218"/>
      <c r="L89" s="218"/>
      <c r="M89" s="218"/>
      <c r="N89" s="218"/>
      <c r="O89" s="218"/>
      <c r="P89" s="218"/>
      <c r="Q89" s="218"/>
      <c r="R89" s="218"/>
      <c r="S89" s="218"/>
      <c r="T89" s="218"/>
      <c r="U89" s="218"/>
      <c r="V89" s="218"/>
      <c r="W89" s="218"/>
      <c r="X89" s="218"/>
      <c r="Y89" s="218"/>
      <c r="Z89" s="218"/>
    </row>
    <row r="90" ht="15.75" customHeight="1">
      <c r="A90" s="225"/>
      <c r="B90" s="218"/>
      <c r="C90" s="218"/>
      <c r="D90" s="218"/>
      <c r="E90" s="218"/>
      <c r="F90" s="218"/>
      <c r="G90" s="218"/>
      <c r="H90" s="218"/>
      <c r="I90" s="218"/>
      <c r="J90" s="218"/>
      <c r="K90" s="218"/>
      <c r="L90" s="218"/>
      <c r="M90" s="218"/>
      <c r="N90" s="218"/>
      <c r="O90" s="218"/>
      <c r="P90" s="218"/>
      <c r="Q90" s="218"/>
      <c r="R90" s="218"/>
      <c r="S90" s="218"/>
      <c r="T90" s="218"/>
      <c r="U90" s="218"/>
      <c r="V90" s="218"/>
      <c r="W90" s="218"/>
      <c r="X90" s="218"/>
      <c r="Y90" s="218"/>
      <c r="Z90" s="218"/>
    </row>
    <row r="91" ht="15.75" customHeight="1">
      <c r="A91" s="225"/>
      <c r="B91" s="218"/>
      <c r="C91" s="218"/>
      <c r="D91" s="218"/>
      <c r="E91" s="218"/>
      <c r="F91" s="218"/>
      <c r="G91" s="218"/>
      <c r="H91" s="218"/>
      <c r="I91" s="218"/>
      <c r="J91" s="218"/>
      <c r="K91" s="218"/>
      <c r="L91" s="218"/>
      <c r="M91" s="218"/>
      <c r="N91" s="218"/>
      <c r="O91" s="218"/>
      <c r="P91" s="218"/>
      <c r="Q91" s="218"/>
      <c r="R91" s="218"/>
      <c r="S91" s="218"/>
      <c r="T91" s="218"/>
      <c r="U91" s="218"/>
      <c r="V91" s="218"/>
      <c r="W91" s="218"/>
      <c r="X91" s="218"/>
      <c r="Y91" s="218"/>
      <c r="Z91" s="218"/>
    </row>
    <row r="92" ht="15.75" customHeight="1">
      <c r="A92" s="225"/>
      <c r="B92" s="218"/>
      <c r="C92" s="218"/>
      <c r="D92" s="218"/>
      <c r="E92" s="218"/>
      <c r="F92" s="218"/>
      <c r="G92" s="218"/>
      <c r="H92" s="218"/>
      <c r="I92" s="218"/>
      <c r="J92" s="218"/>
      <c r="K92" s="218"/>
      <c r="L92" s="218"/>
      <c r="M92" s="218"/>
      <c r="N92" s="218"/>
      <c r="O92" s="218"/>
      <c r="P92" s="218"/>
      <c r="Q92" s="218"/>
      <c r="R92" s="218"/>
      <c r="S92" s="218"/>
      <c r="T92" s="218"/>
      <c r="U92" s="218"/>
      <c r="V92" s="218"/>
      <c r="W92" s="218"/>
      <c r="X92" s="218"/>
      <c r="Y92" s="218"/>
      <c r="Z92" s="218"/>
    </row>
    <row r="93" ht="15.75" customHeight="1">
      <c r="A93" s="225"/>
      <c r="B93" s="218"/>
      <c r="C93" s="218"/>
      <c r="D93" s="218"/>
      <c r="E93" s="218"/>
      <c r="F93" s="218"/>
      <c r="G93" s="218"/>
      <c r="H93" s="218"/>
      <c r="I93" s="218"/>
      <c r="J93" s="218"/>
      <c r="K93" s="218"/>
      <c r="L93" s="218"/>
      <c r="M93" s="218"/>
      <c r="N93" s="218"/>
      <c r="O93" s="218"/>
      <c r="P93" s="218"/>
      <c r="Q93" s="218"/>
      <c r="R93" s="218"/>
      <c r="S93" s="218"/>
      <c r="T93" s="218"/>
      <c r="U93" s="218"/>
      <c r="V93" s="218"/>
      <c r="W93" s="218"/>
      <c r="X93" s="218"/>
      <c r="Y93" s="218"/>
      <c r="Z93" s="218"/>
    </row>
    <row r="94" ht="15.75" customHeight="1">
      <c r="A94" s="225"/>
      <c r="B94" s="218"/>
      <c r="C94" s="218"/>
      <c r="D94" s="218"/>
      <c r="E94" s="218"/>
      <c r="F94" s="218"/>
      <c r="G94" s="218"/>
      <c r="H94" s="218"/>
      <c r="I94" s="218"/>
      <c r="J94" s="218"/>
      <c r="K94" s="218"/>
      <c r="L94" s="218"/>
      <c r="M94" s="218"/>
      <c r="N94" s="218"/>
      <c r="O94" s="218"/>
      <c r="P94" s="218"/>
      <c r="Q94" s="218"/>
      <c r="R94" s="218"/>
      <c r="S94" s="218"/>
      <c r="T94" s="218"/>
      <c r="U94" s="218"/>
      <c r="V94" s="218"/>
      <c r="W94" s="218"/>
      <c r="X94" s="218"/>
      <c r="Y94" s="218"/>
      <c r="Z94" s="218"/>
    </row>
    <row r="95" ht="15.75" customHeight="1">
      <c r="A95" s="225"/>
      <c r="B95" s="218"/>
      <c r="C95" s="218"/>
      <c r="D95" s="218"/>
      <c r="E95" s="218"/>
      <c r="F95" s="218"/>
      <c r="G95" s="218"/>
      <c r="H95" s="218"/>
      <c r="I95" s="218"/>
      <c r="J95" s="218"/>
      <c r="K95" s="218"/>
      <c r="L95" s="218"/>
      <c r="M95" s="218"/>
      <c r="N95" s="218"/>
      <c r="O95" s="218"/>
      <c r="P95" s="218"/>
      <c r="Q95" s="218"/>
      <c r="R95" s="218"/>
      <c r="S95" s="218"/>
      <c r="T95" s="218"/>
      <c r="U95" s="218"/>
      <c r="V95" s="218"/>
      <c r="W95" s="218"/>
      <c r="X95" s="218"/>
      <c r="Y95" s="218"/>
      <c r="Z95" s="218"/>
    </row>
    <row r="96" ht="15.75" customHeight="1">
      <c r="A96" s="225"/>
      <c r="B96" s="218"/>
      <c r="C96" s="218"/>
      <c r="D96" s="218"/>
      <c r="E96" s="218"/>
      <c r="F96" s="218"/>
      <c r="G96" s="218"/>
      <c r="H96" s="218"/>
      <c r="I96" s="218"/>
      <c r="J96" s="218"/>
      <c r="K96" s="218"/>
      <c r="L96" s="218"/>
      <c r="M96" s="218"/>
      <c r="N96" s="218"/>
      <c r="O96" s="218"/>
      <c r="P96" s="218"/>
      <c r="Q96" s="218"/>
      <c r="R96" s="218"/>
      <c r="S96" s="218"/>
      <c r="T96" s="218"/>
      <c r="U96" s="218"/>
      <c r="V96" s="218"/>
      <c r="W96" s="218"/>
      <c r="X96" s="218"/>
      <c r="Y96" s="218"/>
      <c r="Z96" s="218"/>
    </row>
    <row r="97" ht="15.75" customHeight="1">
      <c r="A97" s="225"/>
      <c r="B97" s="218"/>
      <c r="C97" s="218"/>
      <c r="D97" s="218"/>
      <c r="E97" s="218"/>
      <c r="F97" s="218"/>
      <c r="G97" s="218"/>
      <c r="H97" s="218"/>
      <c r="I97" s="218"/>
      <c r="J97" s="218"/>
      <c r="K97" s="218"/>
      <c r="L97" s="218"/>
      <c r="M97" s="218"/>
      <c r="N97" s="218"/>
      <c r="O97" s="218"/>
      <c r="P97" s="218"/>
      <c r="Q97" s="218"/>
      <c r="R97" s="218"/>
      <c r="S97" s="218"/>
      <c r="T97" s="218"/>
      <c r="U97" s="218"/>
      <c r="V97" s="218"/>
      <c r="W97" s="218"/>
      <c r="X97" s="218"/>
      <c r="Y97" s="218"/>
      <c r="Z97" s="218"/>
    </row>
    <row r="98" ht="15.75" customHeight="1">
      <c r="A98" s="234"/>
      <c r="B98" s="218"/>
      <c r="C98" s="218"/>
      <c r="D98" s="218"/>
      <c r="E98" s="218"/>
      <c r="F98" s="218"/>
      <c r="G98" s="218"/>
      <c r="H98" s="218"/>
      <c r="I98" s="218"/>
      <c r="J98" s="218"/>
      <c r="K98" s="218"/>
      <c r="L98" s="218"/>
      <c r="M98" s="218"/>
      <c r="N98" s="218"/>
      <c r="O98" s="218"/>
      <c r="P98" s="218"/>
      <c r="Q98" s="218"/>
      <c r="R98" s="218"/>
      <c r="S98" s="218"/>
      <c r="T98" s="218"/>
      <c r="U98" s="218"/>
      <c r="V98" s="218"/>
      <c r="W98" s="218"/>
      <c r="X98" s="218"/>
      <c r="Y98" s="218"/>
      <c r="Z98" s="218"/>
    </row>
    <row r="99" ht="15.75" customHeight="1">
      <c r="A99" s="235"/>
      <c r="B99" s="218"/>
      <c r="C99" s="218"/>
      <c r="D99" s="218"/>
      <c r="E99" s="218"/>
      <c r="F99" s="218"/>
      <c r="G99" s="218"/>
      <c r="H99" s="218"/>
      <c r="I99" s="218"/>
      <c r="J99" s="218"/>
      <c r="K99" s="218"/>
      <c r="L99" s="218"/>
      <c r="M99" s="218"/>
      <c r="N99" s="218"/>
      <c r="O99" s="218"/>
      <c r="P99" s="218"/>
      <c r="Q99" s="218"/>
      <c r="R99" s="218"/>
      <c r="S99" s="218"/>
      <c r="T99" s="218"/>
      <c r="U99" s="218"/>
      <c r="V99" s="218"/>
      <c r="W99" s="218"/>
      <c r="X99" s="218"/>
      <c r="Y99" s="218"/>
      <c r="Z99" s="218"/>
    </row>
    <row r="100" ht="15.75" customHeight="1">
      <c r="A100" s="234"/>
      <c r="B100" s="218"/>
      <c r="C100" s="218"/>
      <c r="D100" s="218"/>
      <c r="E100" s="218"/>
      <c r="F100" s="218"/>
      <c r="G100" s="218"/>
      <c r="H100" s="218"/>
      <c r="I100" s="218"/>
      <c r="J100" s="218"/>
      <c r="K100" s="218"/>
      <c r="L100" s="218"/>
      <c r="M100" s="218"/>
      <c r="N100" s="218"/>
      <c r="O100" s="218"/>
      <c r="P100" s="218"/>
      <c r="Q100" s="218"/>
      <c r="R100" s="218"/>
      <c r="S100" s="218"/>
      <c r="T100" s="218"/>
      <c r="U100" s="218"/>
      <c r="V100" s="218"/>
      <c r="W100" s="218"/>
      <c r="X100" s="218"/>
      <c r="Y100" s="218"/>
      <c r="Z100" s="218"/>
    </row>
    <row r="101" ht="15.75" customHeight="1">
      <c r="A101" s="235"/>
      <c r="B101" s="218"/>
      <c r="C101" s="218"/>
      <c r="D101" s="218"/>
      <c r="E101" s="218"/>
      <c r="F101" s="218"/>
      <c r="G101" s="218"/>
      <c r="H101" s="218"/>
      <c r="I101" s="218"/>
      <c r="J101" s="218"/>
      <c r="K101" s="218"/>
      <c r="L101" s="218"/>
      <c r="M101" s="218"/>
      <c r="N101" s="218"/>
      <c r="O101" s="218"/>
      <c r="P101" s="218"/>
      <c r="Q101" s="218"/>
      <c r="R101" s="218"/>
      <c r="S101" s="218"/>
      <c r="T101" s="218"/>
      <c r="U101" s="218"/>
      <c r="V101" s="218"/>
      <c r="W101" s="218"/>
      <c r="X101" s="218"/>
      <c r="Y101" s="218"/>
      <c r="Z101" s="218"/>
    </row>
    <row r="102" ht="15.75" customHeight="1">
      <c r="A102" s="236"/>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8"/>
      <c r="X102" s="218"/>
      <c r="Y102" s="218"/>
      <c r="Z102" s="218"/>
    </row>
    <row r="103" ht="15.75" customHeight="1">
      <c r="A103" s="235"/>
      <c r="B103" s="218"/>
      <c r="C103" s="218"/>
      <c r="D103" s="218"/>
      <c r="E103" s="218"/>
      <c r="F103" s="218"/>
      <c r="G103" s="218"/>
      <c r="H103" s="218"/>
      <c r="I103" s="218"/>
      <c r="J103" s="218"/>
      <c r="K103" s="218"/>
      <c r="L103" s="218"/>
      <c r="M103" s="218"/>
      <c r="N103" s="218"/>
      <c r="O103" s="218"/>
      <c r="P103" s="218"/>
      <c r="Q103" s="218"/>
      <c r="R103" s="218"/>
      <c r="S103" s="218"/>
      <c r="T103" s="218"/>
      <c r="U103" s="218"/>
      <c r="V103" s="218"/>
      <c r="W103" s="218"/>
      <c r="X103" s="218"/>
      <c r="Y103" s="218"/>
      <c r="Z103" s="218"/>
    </row>
    <row r="104" ht="15.75" customHeight="1">
      <c r="A104" s="234"/>
      <c r="B104" s="218"/>
      <c r="C104" s="218"/>
      <c r="D104" s="218"/>
      <c r="E104" s="218"/>
      <c r="F104" s="218"/>
      <c r="G104" s="218"/>
      <c r="H104" s="218"/>
      <c r="I104" s="218"/>
      <c r="J104" s="218"/>
      <c r="K104" s="218"/>
      <c r="L104" s="218"/>
      <c r="M104" s="218"/>
      <c r="N104" s="218"/>
      <c r="O104" s="218"/>
      <c r="P104" s="218"/>
      <c r="Q104" s="218"/>
      <c r="R104" s="218"/>
      <c r="S104" s="218"/>
      <c r="T104" s="218"/>
      <c r="U104" s="218"/>
      <c r="V104" s="218"/>
      <c r="W104" s="218"/>
      <c r="X104" s="218"/>
      <c r="Y104" s="218"/>
      <c r="Z104" s="218"/>
    </row>
    <row r="105" ht="15.75" customHeight="1">
      <c r="A105" s="234"/>
      <c r="B105" s="218"/>
      <c r="C105" s="218"/>
      <c r="D105" s="218"/>
      <c r="E105" s="218"/>
      <c r="F105" s="218"/>
      <c r="G105" s="218"/>
      <c r="H105" s="218"/>
      <c r="I105" s="218"/>
      <c r="J105" s="218"/>
      <c r="K105" s="218"/>
      <c r="L105" s="218"/>
      <c r="M105" s="218"/>
      <c r="N105" s="218"/>
      <c r="O105" s="218"/>
      <c r="P105" s="218"/>
      <c r="Q105" s="218"/>
      <c r="R105" s="218"/>
      <c r="S105" s="218"/>
      <c r="T105" s="218"/>
      <c r="U105" s="218"/>
      <c r="V105" s="218"/>
      <c r="W105" s="218"/>
      <c r="X105" s="218"/>
      <c r="Y105" s="218"/>
      <c r="Z105" s="218"/>
    </row>
    <row r="106" ht="15.75" customHeight="1">
      <c r="A106" s="235"/>
      <c r="B106" s="218"/>
      <c r="C106" s="218"/>
      <c r="D106" s="218"/>
      <c r="E106" s="218"/>
      <c r="F106" s="218"/>
      <c r="G106" s="218"/>
      <c r="H106" s="218"/>
      <c r="I106" s="218"/>
      <c r="J106" s="218"/>
      <c r="K106" s="218"/>
      <c r="L106" s="218"/>
      <c r="M106" s="218"/>
      <c r="N106" s="218"/>
      <c r="O106" s="218"/>
      <c r="P106" s="218"/>
      <c r="Q106" s="218"/>
      <c r="R106" s="218"/>
      <c r="S106" s="218"/>
      <c r="T106" s="218"/>
      <c r="U106" s="218"/>
      <c r="V106" s="218"/>
      <c r="W106" s="218"/>
      <c r="X106" s="218"/>
      <c r="Y106" s="218"/>
      <c r="Z106" s="218"/>
    </row>
    <row r="107" ht="15.75" customHeight="1">
      <c r="A107" s="234"/>
      <c r="B107" s="218"/>
      <c r="C107" s="218"/>
      <c r="D107" s="218"/>
      <c r="E107" s="218"/>
      <c r="F107" s="218"/>
      <c r="G107" s="218"/>
      <c r="H107" s="218"/>
      <c r="I107" s="218"/>
      <c r="J107" s="218"/>
      <c r="K107" s="218"/>
      <c r="L107" s="218"/>
      <c r="M107" s="218"/>
      <c r="N107" s="218"/>
      <c r="O107" s="218"/>
      <c r="P107" s="218"/>
      <c r="Q107" s="218"/>
      <c r="R107" s="218"/>
      <c r="S107" s="218"/>
      <c r="T107" s="218"/>
      <c r="U107" s="218"/>
      <c r="V107" s="218"/>
      <c r="W107" s="218"/>
      <c r="X107" s="218"/>
      <c r="Y107" s="218"/>
      <c r="Z107" s="218"/>
    </row>
    <row r="108" ht="15.75" customHeight="1">
      <c r="A108" s="235"/>
      <c r="B108" s="218"/>
      <c r="C108" s="218"/>
      <c r="D108" s="218"/>
      <c r="E108" s="218"/>
      <c r="F108" s="218"/>
      <c r="G108" s="218"/>
      <c r="H108" s="218"/>
      <c r="I108" s="218"/>
      <c r="J108" s="218"/>
      <c r="K108" s="218"/>
      <c r="L108" s="218"/>
      <c r="M108" s="218"/>
      <c r="N108" s="218"/>
      <c r="O108" s="218"/>
      <c r="P108" s="218"/>
      <c r="Q108" s="218"/>
      <c r="R108" s="218"/>
      <c r="S108" s="218"/>
      <c r="T108" s="218"/>
      <c r="U108" s="218"/>
      <c r="V108" s="218"/>
      <c r="W108" s="218"/>
      <c r="X108" s="218"/>
      <c r="Y108" s="218"/>
      <c r="Z108" s="218"/>
    </row>
    <row r="109" ht="15.75" customHeight="1">
      <c r="A109" s="234"/>
      <c r="B109" s="218"/>
      <c r="C109" s="218"/>
      <c r="D109" s="218"/>
      <c r="E109" s="218"/>
      <c r="F109" s="218"/>
      <c r="G109" s="218"/>
      <c r="H109" s="218"/>
      <c r="I109" s="218"/>
      <c r="J109" s="218"/>
      <c r="K109" s="218"/>
      <c r="L109" s="218"/>
      <c r="M109" s="218"/>
      <c r="N109" s="218"/>
      <c r="O109" s="218"/>
      <c r="P109" s="218"/>
      <c r="Q109" s="218"/>
      <c r="R109" s="218"/>
      <c r="S109" s="218"/>
      <c r="T109" s="218"/>
      <c r="U109" s="218"/>
      <c r="V109" s="218"/>
      <c r="W109" s="218"/>
      <c r="X109" s="218"/>
      <c r="Y109" s="218"/>
      <c r="Z109" s="218"/>
    </row>
    <row r="110" ht="15.75" customHeight="1">
      <c r="A110" s="235"/>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8"/>
      <c r="X110" s="218"/>
      <c r="Y110" s="218"/>
      <c r="Z110" s="218"/>
    </row>
    <row r="111" ht="15.75" customHeight="1">
      <c r="A111" s="236"/>
      <c r="B111" s="218"/>
      <c r="C111" s="218"/>
      <c r="D111" s="218"/>
      <c r="E111" s="218"/>
      <c r="F111" s="218"/>
      <c r="G111" s="218"/>
      <c r="H111" s="218"/>
      <c r="I111" s="218"/>
      <c r="J111" s="218"/>
      <c r="K111" s="218"/>
      <c r="L111" s="218"/>
      <c r="M111" s="218"/>
      <c r="N111" s="218"/>
      <c r="O111" s="218"/>
      <c r="P111" s="218"/>
      <c r="Q111" s="218"/>
      <c r="R111" s="218"/>
      <c r="S111" s="218"/>
      <c r="T111" s="218"/>
      <c r="U111" s="218"/>
      <c r="V111" s="218"/>
      <c r="W111" s="218"/>
      <c r="X111" s="218"/>
      <c r="Y111" s="218"/>
      <c r="Z111" s="218"/>
    </row>
    <row r="112" ht="15.75" customHeight="1">
      <c r="A112" s="235"/>
      <c r="B112" s="218"/>
      <c r="C112" s="218"/>
      <c r="D112" s="218"/>
      <c r="E112" s="218"/>
      <c r="F112" s="218"/>
      <c r="G112" s="218"/>
      <c r="H112" s="218"/>
      <c r="I112" s="218"/>
      <c r="J112" s="218"/>
      <c r="K112" s="218"/>
      <c r="L112" s="218"/>
      <c r="M112" s="218"/>
      <c r="N112" s="218"/>
      <c r="O112" s="218"/>
      <c r="P112" s="218"/>
      <c r="Q112" s="218"/>
      <c r="R112" s="218"/>
      <c r="S112" s="218"/>
      <c r="T112" s="218"/>
      <c r="U112" s="218"/>
      <c r="V112" s="218"/>
      <c r="W112" s="218"/>
      <c r="X112" s="218"/>
      <c r="Y112" s="218"/>
      <c r="Z112" s="218"/>
    </row>
    <row r="113" ht="15.75" customHeight="1">
      <c r="A113" s="236"/>
      <c r="B113" s="218"/>
      <c r="C113" s="218"/>
      <c r="D113" s="218"/>
      <c r="E113" s="218"/>
      <c r="F113" s="218"/>
      <c r="G113" s="218"/>
      <c r="H113" s="218"/>
      <c r="I113" s="218"/>
      <c r="J113" s="218"/>
      <c r="K113" s="218"/>
      <c r="L113" s="218"/>
      <c r="M113" s="218"/>
      <c r="N113" s="218"/>
      <c r="O113" s="218"/>
      <c r="P113" s="218"/>
      <c r="Q113" s="218"/>
      <c r="R113" s="218"/>
      <c r="S113" s="218"/>
      <c r="T113" s="218"/>
      <c r="U113" s="218"/>
      <c r="V113" s="218"/>
      <c r="W113" s="218"/>
      <c r="X113" s="218"/>
      <c r="Y113" s="218"/>
      <c r="Z113" s="218"/>
    </row>
    <row r="114" ht="15.75" customHeight="1">
      <c r="A114" s="235"/>
      <c r="B114" s="218"/>
      <c r="C114" s="218"/>
      <c r="D114" s="218"/>
      <c r="E114" s="218"/>
      <c r="F114" s="218"/>
      <c r="G114" s="218"/>
      <c r="H114" s="218"/>
      <c r="I114" s="218"/>
      <c r="J114" s="218"/>
      <c r="K114" s="218"/>
      <c r="L114" s="218"/>
      <c r="M114" s="218"/>
      <c r="N114" s="218"/>
      <c r="O114" s="218"/>
      <c r="P114" s="218"/>
      <c r="Q114" s="218"/>
      <c r="R114" s="218"/>
      <c r="S114" s="218"/>
      <c r="T114" s="218"/>
      <c r="U114" s="218"/>
      <c r="V114" s="218"/>
      <c r="W114" s="218"/>
      <c r="X114" s="218"/>
      <c r="Y114" s="218"/>
      <c r="Z114" s="218"/>
    </row>
    <row r="115" ht="15.75" customHeight="1">
      <c r="A115" s="236"/>
      <c r="B115" s="218"/>
      <c r="C115" s="218"/>
      <c r="D115" s="218"/>
      <c r="E115" s="218"/>
      <c r="F115" s="218"/>
      <c r="G115" s="218"/>
      <c r="H115" s="218"/>
      <c r="I115" s="218"/>
      <c r="J115" s="218"/>
      <c r="K115" s="218"/>
      <c r="L115" s="218"/>
      <c r="M115" s="218"/>
      <c r="N115" s="218"/>
      <c r="O115" s="218"/>
      <c r="P115" s="218"/>
      <c r="Q115" s="218"/>
      <c r="R115" s="218"/>
      <c r="S115" s="218"/>
      <c r="T115" s="218"/>
      <c r="U115" s="218"/>
      <c r="V115" s="218"/>
      <c r="W115" s="218"/>
      <c r="X115" s="218"/>
      <c r="Y115" s="218"/>
      <c r="Z115" s="218"/>
    </row>
    <row r="116" ht="15.75" customHeight="1">
      <c r="A116" s="235"/>
      <c r="B116" s="218"/>
      <c r="C116" s="218"/>
      <c r="D116" s="218"/>
      <c r="E116" s="218"/>
      <c r="F116" s="218"/>
      <c r="G116" s="218"/>
      <c r="H116" s="218"/>
      <c r="I116" s="218"/>
      <c r="J116" s="218"/>
      <c r="K116" s="218"/>
      <c r="L116" s="218"/>
      <c r="M116" s="218"/>
      <c r="N116" s="218"/>
      <c r="O116" s="218"/>
      <c r="P116" s="218"/>
      <c r="Q116" s="218"/>
      <c r="R116" s="218"/>
      <c r="S116" s="218"/>
      <c r="T116" s="218"/>
      <c r="U116" s="218"/>
      <c r="V116" s="218"/>
      <c r="W116" s="218"/>
      <c r="X116" s="218"/>
      <c r="Y116" s="218"/>
      <c r="Z116" s="218"/>
    </row>
    <row r="117" ht="15.75" customHeight="1">
      <c r="A117" s="234"/>
      <c r="B117" s="218"/>
      <c r="C117" s="218"/>
      <c r="D117" s="218"/>
      <c r="E117" s="218"/>
      <c r="F117" s="218"/>
      <c r="G117" s="218"/>
      <c r="H117" s="218"/>
      <c r="I117" s="218"/>
      <c r="J117" s="218"/>
      <c r="K117" s="218"/>
      <c r="L117" s="218"/>
      <c r="M117" s="218"/>
      <c r="N117" s="218"/>
      <c r="O117" s="218"/>
      <c r="P117" s="218"/>
      <c r="Q117" s="218"/>
      <c r="R117" s="218"/>
      <c r="S117" s="218"/>
      <c r="T117" s="218"/>
      <c r="U117" s="218"/>
      <c r="V117" s="218"/>
      <c r="W117" s="218"/>
      <c r="X117" s="218"/>
      <c r="Y117" s="218"/>
      <c r="Z117" s="218"/>
    </row>
    <row r="118" ht="15.75" customHeight="1">
      <c r="A118" s="235"/>
      <c r="B118" s="218"/>
      <c r="C118" s="218"/>
      <c r="D118" s="218"/>
      <c r="E118" s="218"/>
      <c r="F118" s="218"/>
      <c r="G118" s="218"/>
      <c r="H118" s="218"/>
      <c r="I118" s="218"/>
      <c r="J118" s="218"/>
      <c r="K118" s="218"/>
      <c r="L118" s="218"/>
      <c r="M118" s="218"/>
      <c r="N118" s="218"/>
      <c r="O118" s="218"/>
      <c r="P118" s="218"/>
      <c r="Q118" s="218"/>
      <c r="R118" s="218"/>
      <c r="S118" s="218"/>
      <c r="T118" s="218"/>
      <c r="U118" s="218"/>
      <c r="V118" s="218"/>
      <c r="W118" s="218"/>
      <c r="X118" s="218"/>
      <c r="Y118" s="218"/>
      <c r="Z118" s="218"/>
    </row>
    <row r="119" ht="15.75" customHeight="1">
      <c r="A119" s="234"/>
      <c r="B119" s="218"/>
      <c r="C119" s="218"/>
      <c r="D119" s="218"/>
      <c r="E119" s="218"/>
      <c r="F119" s="218"/>
      <c r="G119" s="218"/>
      <c r="H119" s="218"/>
      <c r="I119" s="218"/>
      <c r="J119" s="218"/>
      <c r="K119" s="218"/>
      <c r="L119" s="218"/>
      <c r="M119" s="218"/>
      <c r="N119" s="218"/>
      <c r="O119" s="218"/>
      <c r="P119" s="218"/>
      <c r="Q119" s="218"/>
      <c r="R119" s="218"/>
      <c r="S119" s="218"/>
      <c r="T119" s="218"/>
      <c r="U119" s="218"/>
      <c r="V119" s="218"/>
      <c r="W119" s="218"/>
      <c r="X119" s="218"/>
      <c r="Y119" s="218"/>
      <c r="Z119" s="218"/>
    </row>
    <row r="120" ht="15.75" customHeight="1">
      <c r="A120" s="235"/>
      <c r="B120" s="218"/>
      <c r="C120" s="218"/>
      <c r="D120" s="218"/>
      <c r="E120" s="218"/>
      <c r="F120" s="218"/>
      <c r="G120" s="218"/>
      <c r="H120" s="218"/>
      <c r="I120" s="218"/>
      <c r="J120" s="218"/>
      <c r="K120" s="218"/>
      <c r="L120" s="218"/>
      <c r="M120" s="218"/>
      <c r="N120" s="218"/>
      <c r="O120" s="218"/>
      <c r="P120" s="218"/>
      <c r="Q120" s="218"/>
      <c r="R120" s="218"/>
      <c r="S120" s="218"/>
      <c r="T120" s="218"/>
      <c r="U120" s="218"/>
      <c r="V120" s="218"/>
      <c r="W120" s="218"/>
      <c r="X120" s="218"/>
      <c r="Y120" s="218"/>
      <c r="Z120" s="218"/>
    </row>
    <row r="121" ht="15.75" customHeight="1">
      <c r="A121" s="234"/>
      <c r="B121" s="218"/>
      <c r="C121" s="218"/>
      <c r="D121" s="218"/>
      <c r="E121" s="218"/>
      <c r="F121" s="218"/>
      <c r="G121" s="218"/>
      <c r="H121" s="218"/>
      <c r="I121" s="218"/>
      <c r="J121" s="218"/>
      <c r="K121" s="218"/>
      <c r="L121" s="218"/>
      <c r="M121" s="218"/>
      <c r="N121" s="218"/>
      <c r="O121" s="218"/>
      <c r="P121" s="218"/>
      <c r="Q121" s="218"/>
      <c r="R121" s="218"/>
      <c r="S121" s="218"/>
      <c r="T121" s="218"/>
      <c r="U121" s="218"/>
      <c r="V121" s="218"/>
      <c r="W121" s="218"/>
      <c r="X121" s="218"/>
      <c r="Y121" s="218"/>
      <c r="Z121" s="218"/>
    </row>
    <row r="122" ht="15.75" customHeight="1">
      <c r="A122" s="234"/>
      <c r="B122" s="218"/>
      <c r="C122" s="218"/>
      <c r="D122" s="218"/>
      <c r="E122" s="218"/>
      <c r="F122" s="218"/>
      <c r="G122" s="218"/>
      <c r="H122" s="218"/>
      <c r="I122" s="218"/>
      <c r="J122" s="218"/>
      <c r="K122" s="218"/>
      <c r="L122" s="218"/>
      <c r="M122" s="218"/>
      <c r="N122" s="218"/>
      <c r="O122" s="218"/>
      <c r="P122" s="218"/>
      <c r="Q122" s="218"/>
      <c r="R122" s="218"/>
      <c r="S122" s="218"/>
      <c r="T122" s="218"/>
      <c r="U122" s="218"/>
      <c r="V122" s="218"/>
      <c r="W122" s="218"/>
      <c r="X122" s="218"/>
      <c r="Y122" s="218"/>
      <c r="Z122" s="218"/>
    </row>
    <row r="123" ht="15.75" customHeight="1">
      <c r="A123" s="235"/>
      <c r="B123" s="218"/>
      <c r="C123" s="218"/>
      <c r="D123" s="218"/>
      <c r="E123" s="218"/>
      <c r="F123" s="218"/>
      <c r="G123" s="218"/>
      <c r="H123" s="218"/>
      <c r="I123" s="218"/>
      <c r="J123" s="218"/>
      <c r="K123" s="218"/>
      <c r="L123" s="218"/>
      <c r="M123" s="218"/>
      <c r="N123" s="218"/>
      <c r="O123" s="218"/>
      <c r="P123" s="218"/>
      <c r="Q123" s="218"/>
      <c r="R123" s="218"/>
      <c r="S123" s="218"/>
      <c r="T123" s="218"/>
      <c r="U123" s="218"/>
      <c r="V123" s="218"/>
      <c r="W123" s="218"/>
      <c r="X123" s="218"/>
      <c r="Y123" s="218"/>
      <c r="Z123" s="218"/>
    </row>
    <row r="124" ht="15.75" customHeight="1">
      <c r="A124" s="234"/>
      <c r="B124" s="218"/>
      <c r="C124" s="218"/>
      <c r="D124" s="218"/>
      <c r="E124" s="218"/>
      <c r="F124" s="218"/>
      <c r="G124" s="218"/>
      <c r="H124" s="218"/>
      <c r="I124" s="218"/>
      <c r="J124" s="218"/>
      <c r="K124" s="218"/>
      <c r="L124" s="218"/>
      <c r="M124" s="218"/>
      <c r="N124" s="218"/>
      <c r="O124" s="218"/>
      <c r="P124" s="218"/>
      <c r="Q124" s="218"/>
      <c r="R124" s="218"/>
      <c r="S124" s="218"/>
      <c r="T124" s="218"/>
      <c r="U124" s="218"/>
      <c r="V124" s="218"/>
      <c r="W124" s="218"/>
      <c r="X124" s="218"/>
      <c r="Y124" s="218"/>
      <c r="Z124" s="218"/>
    </row>
    <row r="125" ht="15.75" customHeight="1">
      <c r="A125" s="235"/>
      <c r="B125" s="218"/>
      <c r="C125" s="218"/>
      <c r="D125" s="218"/>
      <c r="E125" s="218"/>
      <c r="F125" s="218"/>
      <c r="G125" s="218"/>
      <c r="H125" s="218"/>
      <c r="I125" s="218"/>
      <c r="J125" s="218"/>
      <c r="K125" s="218"/>
      <c r="L125" s="218"/>
      <c r="M125" s="218"/>
      <c r="N125" s="218"/>
      <c r="O125" s="218"/>
      <c r="P125" s="218"/>
      <c r="Q125" s="218"/>
      <c r="R125" s="218"/>
      <c r="S125" s="218"/>
      <c r="T125" s="218"/>
      <c r="U125" s="218"/>
      <c r="V125" s="218"/>
      <c r="W125" s="218"/>
      <c r="X125" s="218"/>
      <c r="Y125" s="218"/>
      <c r="Z125" s="218"/>
    </row>
    <row r="126" ht="15.75" customHeight="1">
      <c r="A126" s="225"/>
      <c r="B126" s="218"/>
      <c r="C126" s="218"/>
      <c r="D126" s="218"/>
      <c r="E126" s="218"/>
      <c r="F126" s="218"/>
      <c r="G126" s="218"/>
      <c r="H126" s="218"/>
      <c r="I126" s="218"/>
      <c r="J126" s="218"/>
      <c r="K126" s="218"/>
      <c r="L126" s="218"/>
      <c r="M126" s="218"/>
      <c r="N126" s="218"/>
      <c r="O126" s="218"/>
      <c r="P126" s="218"/>
      <c r="Q126" s="218"/>
      <c r="R126" s="218"/>
      <c r="S126" s="218"/>
      <c r="T126" s="218"/>
      <c r="U126" s="218"/>
      <c r="V126" s="218"/>
      <c r="W126" s="218"/>
      <c r="X126" s="218"/>
      <c r="Y126" s="218"/>
      <c r="Z126" s="218"/>
    </row>
    <row r="127" ht="15.75" customHeight="1">
      <c r="A127" s="225"/>
      <c r="B127" s="218"/>
      <c r="C127" s="218"/>
      <c r="D127" s="218"/>
      <c r="E127" s="218"/>
      <c r="F127" s="218"/>
      <c r="G127" s="218"/>
      <c r="H127" s="218"/>
      <c r="I127" s="218"/>
      <c r="J127" s="218"/>
      <c r="K127" s="218"/>
      <c r="L127" s="218"/>
      <c r="M127" s="218"/>
      <c r="N127" s="218"/>
      <c r="O127" s="218"/>
      <c r="P127" s="218"/>
      <c r="Q127" s="218"/>
      <c r="R127" s="218"/>
      <c r="S127" s="218"/>
      <c r="T127" s="218"/>
      <c r="U127" s="218"/>
      <c r="V127" s="218"/>
      <c r="W127" s="218"/>
      <c r="X127" s="218"/>
      <c r="Y127" s="218"/>
      <c r="Z127" s="218"/>
    </row>
    <row r="128" ht="15.75" customHeight="1">
      <c r="A128" s="225"/>
      <c r="B128" s="218"/>
      <c r="C128" s="218"/>
      <c r="D128" s="218"/>
      <c r="E128" s="218"/>
      <c r="F128" s="218"/>
      <c r="G128" s="218"/>
      <c r="H128" s="218"/>
      <c r="I128" s="218"/>
      <c r="J128" s="218"/>
      <c r="K128" s="218"/>
      <c r="L128" s="218"/>
      <c r="M128" s="218"/>
      <c r="N128" s="218"/>
      <c r="O128" s="218"/>
      <c r="P128" s="218"/>
      <c r="Q128" s="218"/>
      <c r="R128" s="218"/>
      <c r="S128" s="218"/>
      <c r="T128" s="218"/>
      <c r="U128" s="218"/>
      <c r="V128" s="218"/>
      <c r="W128" s="218"/>
      <c r="X128" s="218"/>
      <c r="Y128" s="218"/>
      <c r="Z128" s="218"/>
    </row>
    <row r="129" ht="15.75" customHeight="1">
      <c r="A129" s="225"/>
      <c r="B129" s="218"/>
      <c r="C129" s="218"/>
      <c r="D129" s="218"/>
      <c r="E129" s="218"/>
      <c r="F129" s="218"/>
      <c r="G129" s="218"/>
      <c r="H129" s="218"/>
      <c r="I129" s="218"/>
      <c r="J129" s="218"/>
      <c r="K129" s="218"/>
      <c r="L129" s="218"/>
      <c r="M129" s="218"/>
      <c r="N129" s="218"/>
      <c r="O129" s="218"/>
      <c r="P129" s="218"/>
      <c r="Q129" s="218"/>
      <c r="R129" s="218"/>
      <c r="S129" s="218"/>
      <c r="T129" s="218"/>
      <c r="U129" s="218"/>
      <c r="V129" s="218"/>
      <c r="W129" s="218"/>
      <c r="X129" s="218"/>
      <c r="Y129" s="218"/>
      <c r="Z129" s="218"/>
    </row>
    <row r="130" ht="15.75" customHeight="1">
      <c r="A130" s="225"/>
      <c r="B130" s="218"/>
      <c r="C130" s="218"/>
      <c r="D130" s="218"/>
      <c r="E130" s="218"/>
      <c r="F130" s="218"/>
      <c r="G130" s="218"/>
      <c r="H130" s="218"/>
      <c r="I130" s="218"/>
      <c r="J130" s="218"/>
      <c r="K130" s="218"/>
      <c r="L130" s="218"/>
      <c r="M130" s="218"/>
      <c r="N130" s="218"/>
      <c r="O130" s="218"/>
      <c r="P130" s="218"/>
      <c r="Q130" s="218"/>
      <c r="R130" s="218"/>
      <c r="S130" s="218"/>
      <c r="T130" s="218"/>
      <c r="U130" s="218"/>
      <c r="V130" s="218"/>
      <c r="W130" s="218"/>
      <c r="X130" s="218"/>
      <c r="Y130" s="218"/>
      <c r="Z130" s="218"/>
    </row>
    <row r="131" ht="15.75" customHeight="1">
      <c r="A131" s="225"/>
      <c r="B131" s="218"/>
      <c r="C131" s="218"/>
      <c r="D131" s="218"/>
      <c r="E131" s="218"/>
      <c r="F131" s="218"/>
      <c r="G131" s="218"/>
      <c r="H131" s="218"/>
      <c r="I131" s="218"/>
      <c r="J131" s="218"/>
      <c r="K131" s="218"/>
      <c r="L131" s="218"/>
      <c r="M131" s="218"/>
      <c r="N131" s="218"/>
      <c r="O131" s="218"/>
      <c r="P131" s="218"/>
      <c r="Q131" s="218"/>
      <c r="R131" s="218"/>
      <c r="S131" s="218"/>
      <c r="T131" s="218"/>
      <c r="U131" s="218"/>
      <c r="V131" s="218"/>
      <c r="W131" s="218"/>
      <c r="X131" s="218"/>
      <c r="Y131" s="218"/>
      <c r="Z131" s="218"/>
    </row>
    <row r="132" ht="15.75" customHeight="1">
      <c r="A132" s="225"/>
      <c r="B132" s="218"/>
      <c r="C132" s="218"/>
      <c r="D132" s="218"/>
      <c r="E132" s="218"/>
      <c r="F132" s="218"/>
      <c r="G132" s="218"/>
      <c r="H132" s="218"/>
      <c r="I132" s="218"/>
      <c r="J132" s="218"/>
      <c r="K132" s="218"/>
      <c r="L132" s="218"/>
      <c r="M132" s="218"/>
      <c r="N132" s="218"/>
      <c r="O132" s="218"/>
      <c r="P132" s="218"/>
      <c r="Q132" s="218"/>
      <c r="R132" s="218"/>
      <c r="S132" s="218"/>
      <c r="T132" s="218"/>
      <c r="U132" s="218"/>
      <c r="V132" s="218"/>
      <c r="W132" s="218"/>
      <c r="X132" s="218"/>
      <c r="Y132" s="218"/>
      <c r="Z132" s="218"/>
    </row>
    <row r="133" ht="15.75" customHeight="1">
      <c r="A133" s="225"/>
      <c r="B133" s="218"/>
      <c r="C133" s="218"/>
      <c r="D133" s="218"/>
      <c r="E133" s="218"/>
      <c r="F133" s="218"/>
      <c r="G133" s="218"/>
      <c r="H133" s="218"/>
      <c r="I133" s="218"/>
      <c r="J133" s="218"/>
      <c r="K133" s="218"/>
      <c r="L133" s="218"/>
      <c r="M133" s="218"/>
      <c r="N133" s="218"/>
      <c r="O133" s="218"/>
      <c r="P133" s="218"/>
      <c r="Q133" s="218"/>
      <c r="R133" s="218"/>
      <c r="S133" s="218"/>
      <c r="T133" s="218"/>
      <c r="U133" s="218"/>
      <c r="V133" s="218"/>
      <c r="W133" s="218"/>
      <c r="X133" s="218"/>
      <c r="Y133" s="218"/>
      <c r="Z133" s="218"/>
    </row>
    <row r="134" ht="15.75" customHeight="1">
      <c r="A134" s="225"/>
      <c r="B134" s="218"/>
      <c r="C134" s="218"/>
      <c r="D134" s="218"/>
      <c r="E134" s="218"/>
      <c r="F134" s="218"/>
      <c r="G134" s="218"/>
      <c r="H134" s="218"/>
      <c r="I134" s="218"/>
      <c r="J134" s="218"/>
      <c r="K134" s="218"/>
      <c r="L134" s="218"/>
      <c r="M134" s="218"/>
      <c r="N134" s="218"/>
      <c r="O134" s="218"/>
      <c r="P134" s="218"/>
      <c r="Q134" s="218"/>
      <c r="R134" s="218"/>
      <c r="S134" s="218"/>
      <c r="T134" s="218"/>
      <c r="U134" s="218"/>
      <c r="V134" s="218"/>
      <c r="W134" s="218"/>
      <c r="X134" s="218"/>
      <c r="Y134" s="218"/>
      <c r="Z134" s="218"/>
    </row>
    <row r="135" ht="15.75" customHeight="1">
      <c r="A135" s="225"/>
      <c r="B135" s="218"/>
      <c r="C135" s="218"/>
      <c r="D135" s="218"/>
      <c r="E135" s="218"/>
      <c r="F135" s="218"/>
      <c r="G135" s="218"/>
      <c r="H135" s="218"/>
      <c r="I135" s="218"/>
      <c r="J135" s="218"/>
      <c r="K135" s="218"/>
      <c r="L135" s="218"/>
      <c r="M135" s="218"/>
      <c r="N135" s="218"/>
      <c r="O135" s="218"/>
      <c r="P135" s="218"/>
      <c r="Q135" s="218"/>
      <c r="R135" s="218"/>
      <c r="S135" s="218"/>
      <c r="T135" s="218"/>
      <c r="U135" s="218"/>
      <c r="V135" s="218"/>
      <c r="W135" s="218"/>
      <c r="X135" s="218"/>
      <c r="Y135" s="218"/>
      <c r="Z135" s="218"/>
    </row>
    <row r="136" ht="15.75" customHeight="1">
      <c r="A136" s="225"/>
      <c r="B136" s="218"/>
      <c r="C136" s="218"/>
      <c r="D136" s="218"/>
      <c r="E136" s="218"/>
      <c r="F136" s="218"/>
      <c r="G136" s="218"/>
      <c r="H136" s="218"/>
      <c r="I136" s="218"/>
      <c r="J136" s="218"/>
      <c r="K136" s="218"/>
      <c r="L136" s="218"/>
      <c r="M136" s="218"/>
      <c r="N136" s="218"/>
      <c r="O136" s="218"/>
      <c r="P136" s="218"/>
      <c r="Q136" s="218"/>
      <c r="R136" s="218"/>
      <c r="S136" s="218"/>
      <c r="T136" s="218"/>
      <c r="U136" s="218"/>
      <c r="V136" s="218"/>
      <c r="W136" s="218"/>
      <c r="X136" s="218"/>
      <c r="Y136" s="218"/>
      <c r="Z136" s="218"/>
    </row>
    <row r="137" ht="15.75" customHeight="1">
      <c r="A137" s="225"/>
      <c r="B137" s="218"/>
      <c r="C137" s="218"/>
      <c r="D137" s="218"/>
      <c r="E137" s="218"/>
      <c r="F137" s="218"/>
      <c r="G137" s="218"/>
      <c r="H137" s="218"/>
      <c r="I137" s="218"/>
      <c r="J137" s="218"/>
      <c r="K137" s="218"/>
      <c r="L137" s="218"/>
      <c r="M137" s="218"/>
      <c r="N137" s="218"/>
      <c r="O137" s="218"/>
      <c r="P137" s="218"/>
      <c r="Q137" s="218"/>
      <c r="R137" s="218"/>
      <c r="S137" s="218"/>
      <c r="T137" s="218"/>
      <c r="U137" s="218"/>
      <c r="V137" s="218"/>
      <c r="W137" s="218"/>
      <c r="X137" s="218"/>
      <c r="Y137" s="218"/>
      <c r="Z137" s="218"/>
    </row>
    <row r="138" ht="15.75" customHeight="1">
      <c r="A138" s="225"/>
      <c r="B138" s="218"/>
      <c r="C138" s="218"/>
      <c r="D138" s="218"/>
      <c r="E138" s="218"/>
      <c r="F138" s="218"/>
      <c r="G138" s="218"/>
      <c r="H138" s="218"/>
      <c r="I138" s="218"/>
      <c r="J138" s="218"/>
      <c r="K138" s="218"/>
      <c r="L138" s="218"/>
      <c r="M138" s="218"/>
      <c r="N138" s="218"/>
      <c r="O138" s="218"/>
      <c r="P138" s="218"/>
      <c r="Q138" s="218"/>
      <c r="R138" s="218"/>
      <c r="S138" s="218"/>
      <c r="T138" s="218"/>
      <c r="U138" s="218"/>
      <c r="V138" s="218"/>
      <c r="W138" s="218"/>
      <c r="X138" s="218"/>
      <c r="Y138" s="218"/>
      <c r="Z138" s="218"/>
    </row>
    <row r="139" ht="15.75" customHeight="1">
      <c r="A139" s="225"/>
      <c r="B139" s="218"/>
      <c r="C139" s="218"/>
      <c r="D139" s="218"/>
      <c r="E139" s="218"/>
      <c r="F139" s="218"/>
      <c r="G139" s="218"/>
      <c r="H139" s="218"/>
      <c r="I139" s="218"/>
      <c r="J139" s="218"/>
      <c r="K139" s="218"/>
      <c r="L139" s="218"/>
      <c r="M139" s="218"/>
      <c r="N139" s="218"/>
      <c r="O139" s="218"/>
      <c r="P139" s="218"/>
      <c r="Q139" s="218"/>
      <c r="R139" s="218"/>
      <c r="S139" s="218"/>
      <c r="T139" s="218"/>
      <c r="U139" s="218"/>
      <c r="V139" s="218"/>
      <c r="W139" s="218"/>
      <c r="X139" s="218"/>
      <c r="Y139" s="218"/>
      <c r="Z139" s="218"/>
    </row>
    <row r="140" ht="15.75" customHeight="1">
      <c r="A140" s="225"/>
      <c r="B140" s="218"/>
      <c r="C140" s="218"/>
      <c r="D140" s="218"/>
      <c r="E140" s="218"/>
      <c r="F140" s="218"/>
      <c r="G140" s="218"/>
      <c r="H140" s="218"/>
      <c r="I140" s="218"/>
      <c r="J140" s="218"/>
      <c r="K140" s="218"/>
      <c r="L140" s="218"/>
      <c r="M140" s="218"/>
      <c r="N140" s="218"/>
      <c r="O140" s="218"/>
      <c r="P140" s="218"/>
      <c r="Q140" s="218"/>
      <c r="R140" s="218"/>
      <c r="S140" s="218"/>
      <c r="T140" s="218"/>
      <c r="U140" s="218"/>
      <c r="V140" s="218"/>
      <c r="W140" s="218"/>
      <c r="X140" s="218"/>
      <c r="Y140" s="218"/>
      <c r="Z140" s="218"/>
    </row>
    <row r="141" ht="15.75" customHeight="1">
      <c r="A141" s="225"/>
      <c r="B141" s="218"/>
      <c r="C141" s="218"/>
      <c r="D141" s="218"/>
      <c r="E141" s="218"/>
      <c r="F141" s="218"/>
      <c r="G141" s="218"/>
      <c r="H141" s="218"/>
      <c r="I141" s="218"/>
      <c r="J141" s="218"/>
      <c r="K141" s="218"/>
      <c r="L141" s="218"/>
      <c r="M141" s="218"/>
      <c r="N141" s="218"/>
      <c r="O141" s="218"/>
      <c r="P141" s="218"/>
      <c r="Q141" s="218"/>
      <c r="R141" s="218"/>
      <c r="S141" s="218"/>
      <c r="T141" s="218"/>
      <c r="U141" s="218"/>
      <c r="V141" s="218"/>
      <c r="W141" s="218"/>
      <c r="X141" s="218"/>
      <c r="Y141" s="218"/>
      <c r="Z141" s="218"/>
    </row>
    <row r="142" ht="15.75" customHeight="1">
      <c r="A142" s="225"/>
      <c r="B142" s="218"/>
      <c r="C142" s="218"/>
      <c r="D142" s="218"/>
      <c r="E142" s="218"/>
      <c r="F142" s="218"/>
      <c r="G142" s="218"/>
      <c r="H142" s="218"/>
      <c r="I142" s="218"/>
      <c r="J142" s="218"/>
      <c r="K142" s="218"/>
      <c r="L142" s="218"/>
      <c r="M142" s="218"/>
      <c r="N142" s="218"/>
      <c r="O142" s="218"/>
      <c r="P142" s="218"/>
      <c r="Q142" s="218"/>
      <c r="R142" s="218"/>
      <c r="S142" s="218"/>
      <c r="T142" s="218"/>
      <c r="U142" s="218"/>
      <c r="V142" s="218"/>
      <c r="W142" s="218"/>
      <c r="X142" s="218"/>
      <c r="Y142" s="218"/>
      <c r="Z142" s="218"/>
    </row>
    <row r="143" ht="15.75" customHeight="1">
      <c r="A143" s="225"/>
      <c r="B143" s="218"/>
      <c r="C143" s="218"/>
      <c r="D143" s="218"/>
      <c r="E143" s="218"/>
      <c r="F143" s="218"/>
      <c r="G143" s="218"/>
      <c r="H143" s="218"/>
      <c r="I143" s="218"/>
      <c r="J143" s="218"/>
      <c r="K143" s="218"/>
      <c r="L143" s="218"/>
      <c r="M143" s="218"/>
      <c r="N143" s="218"/>
      <c r="O143" s="218"/>
      <c r="P143" s="218"/>
      <c r="Q143" s="218"/>
      <c r="R143" s="218"/>
      <c r="S143" s="218"/>
      <c r="T143" s="218"/>
      <c r="U143" s="218"/>
      <c r="V143" s="218"/>
      <c r="W143" s="218"/>
      <c r="X143" s="218"/>
      <c r="Y143" s="218"/>
      <c r="Z143" s="218"/>
    </row>
    <row r="144" ht="15.75" customHeight="1">
      <c r="A144" s="225"/>
      <c r="B144" s="218"/>
      <c r="C144" s="218"/>
      <c r="D144" s="218"/>
      <c r="E144" s="218"/>
      <c r="F144" s="218"/>
      <c r="G144" s="218"/>
      <c r="H144" s="218"/>
      <c r="I144" s="218"/>
      <c r="J144" s="218"/>
      <c r="K144" s="218"/>
      <c r="L144" s="218"/>
      <c r="M144" s="218"/>
      <c r="N144" s="218"/>
      <c r="O144" s="218"/>
      <c r="P144" s="218"/>
      <c r="Q144" s="218"/>
      <c r="R144" s="218"/>
      <c r="S144" s="218"/>
      <c r="T144" s="218"/>
      <c r="U144" s="218"/>
      <c r="V144" s="218"/>
      <c r="W144" s="218"/>
      <c r="X144" s="218"/>
      <c r="Y144" s="218"/>
      <c r="Z144" s="218"/>
    </row>
    <row r="145" ht="15.75" customHeight="1">
      <c r="A145" s="225"/>
      <c r="B145" s="218"/>
      <c r="C145" s="218"/>
      <c r="D145" s="218"/>
      <c r="E145" s="218"/>
      <c r="F145" s="218"/>
      <c r="G145" s="218"/>
      <c r="H145" s="218"/>
      <c r="I145" s="218"/>
      <c r="J145" s="218"/>
      <c r="K145" s="218"/>
      <c r="L145" s="218"/>
      <c r="M145" s="218"/>
      <c r="N145" s="218"/>
      <c r="O145" s="218"/>
      <c r="P145" s="218"/>
      <c r="Q145" s="218"/>
      <c r="R145" s="218"/>
      <c r="S145" s="218"/>
      <c r="T145" s="218"/>
      <c r="U145" s="218"/>
      <c r="V145" s="218"/>
      <c r="W145" s="218"/>
      <c r="X145" s="218"/>
      <c r="Y145" s="218"/>
      <c r="Z145" s="218"/>
    </row>
    <row r="146" ht="15.75" customHeight="1">
      <c r="A146" s="225"/>
      <c r="B146" s="218"/>
      <c r="C146" s="218"/>
      <c r="D146" s="218"/>
      <c r="E146" s="218"/>
      <c r="F146" s="218"/>
      <c r="G146" s="218"/>
      <c r="H146" s="218"/>
      <c r="I146" s="218"/>
      <c r="J146" s="218"/>
      <c r="K146" s="218"/>
      <c r="L146" s="218"/>
      <c r="M146" s="218"/>
      <c r="N146" s="218"/>
      <c r="O146" s="218"/>
      <c r="P146" s="218"/>
      <c r="Q146" s="218"/>
      <c r="R146" s="218"/>
      <c r="S146" s="218"/>
      <c r="T146" s="218"/>
      <c r="U146" s="218"/>
      <c r="V146" s="218"/>
      <c r="W146" s="218"/>
      <c r="X146" s="218"/>
      <c r="Y146" s="218"/>
      <c r="Z146" s="218"/>
    </row>
    <row r="147" ht="15.75" customHeight="1">
      <c r="A147" s="225"/>
      <c r="B147" s="218"/>
      <c r="C147" s="218"/>
      <c r="D147" s="218"/>
      <c r="E147" s="218"/>
      <c r="F147" s="218"/>
      <c r="G147" s="218"/>
      <c r="H147" s="218"/>
      <c r="I147" s="218"/>
      <c r="J147" s="218"/>
      <c r="K147" s="218"/>
      <c r="L147" s="218"/>
      <c r="M147" s="218"/>
      <c r="N147" s="218"/>
      <c r="O147" s="218"/>
      <c r="P147" s="218"/>
      <c r="Q147" s="218"/>
      <c r="R147" s="218"/>
      <c r="S147" s="218"/>
      <c r="T147" s="218"/>
      <c r="U147" s="218"/>
      <c r="V147" s="218"/>
      <c r="W147" s="218"/>
      <c r="X147" s="218"/>
      <c r="Y147" s="218"/>
      <c r="Z147" s="218"/>
    </row>
    <row r="148" ht="15.75" customHeight="1">
      <c r="A148" s="225"/>
      <c r="B148" s="218"/>
      <c r="C148" s="218"/>
      <c r="D148" s="218"/>
      <c r="E148" s="218"/>
      <c r="F148" s="218"/>
      <c r="G148" s="218"/>
      <c r="H148" s="218"/>
      <c r="I148" s="218"/>
      <c r="J148" s="218"/>
      <c r="K148" s="218"/>
      <c r="L148" s="218"/>
      <c r="M148" s="218"/>
      <c r="N148" s="218"/>
      <c r="O148" s="218"/>
      <c r="P148" s="218"/>
      <c r="Q148" s="218"/>
      <c r="R148" s="218"/>
      <c r="S148" s="218"/>
      <c r="T148" s="218"/>
      <c r="U148" s="218"/>
      <c r="V148" s="218"/>
      <c r="W148" s="218"/>
      <c r="X148" s="218"/>
      <c r="Y148" s="218"/>
      <c r="Z148" s="218"/>
    </row>
    <row r="149" ht="15.75" customHeight="1">
      <c r="A149" s="225"/>
      <c r="B149" s="218"/>
      <c r="C149" s="218"/>
      <c r="D149" s="218"/>
      <c r="E149" s="218"/>
      <c r="F149" s="218"/>
      <c r="G149" s="218"/>
      <c r="H149" s="218"/>
      <c r="I149" s="218"/>
      <c r="J149" s="218"/>
      <c r="K149" s="218"/>
      <c r="L149" s="218"/>
      <c r="M149" s="218"/>
      <c r="N149" s="218"/>
      <c r="O149" s="218"/>
      <c r="P149" s="218"/>
      <c r="Q149" s="218"/>
      <c r="R149" s="218"/>
      <c r="S149" s="218"/>
      <c r="T149" s="218"/>
      <c r="U149" s="218"/>
      <c r="V149" s="218"/>
      <c r="W149" s="218"/>
      <c r="X149" s="218"/>
      <c r="Y149" s="218"/>
      <c r="Z149" s="218"/>
    </row>
    <row r="150" ht="15.75" customHeight="1">
      <c r="A150" s="225"/>
      <c r="B150" s="218"/>
      <c r="C150" s="218"/>
      <c r="D150" s="218"/>
      <c r="E150" s="218"/>
      <c r="F150" s="218"/>
      <c r="G150" s="218"/>
      <c r="H150" s="218"/>
      <c r="I150" s="218"/>
      <c r="J150" s="218"/>
      <c r="K150" s="218"/>
      <c r="L150" s="218"/>
      <c r="M150" s="218"/>
      <c r="N150" s="218"/>
      <c r="O150" s="218"/>
      <c r="P150" s="218"/>
      <c r="Q150" s="218"/>
      <c r="R150" s="218"/>
      <c r="S150" s="218"/>
      <c r="T150" s="218"/>
      <c r="U150" s="218"/>
      <c r="V150" s="218"/>
      <c r="W150" s="218"/>
      <c r="X150" s="218"/>
      <c r="Y150" s="218"/>
      <c r="Z150" s="218"/>
    </row>
    <row r="151" ht="15.75" customHeight="1">
      <c r="A151" s="225"/>
      <c r="B151" s="218"/>
      <c r="C151" s="218"/>
      <c r="D151" s="218"/>
      <c r="E151" s="218"/>
      <c r="F151" s="218"/>
      <c r="G151" s="218"/>
      <c r="H151" s="218"/>
      <c r="I151" s="218"/>
      <c r="J151" s="218"/>
      <c r="K151" s="218"/>
      <c r="L151" s="218"/>
      <c r="M151" s="218"/>
      <c r="N151" s="218"/>
      <c r="O151" s="218"/>
      <c r="P151" s="218"/>
      <c r="Q151" s="218"/>
      <c r="R151" s="218"/>
      <c r="S151" s="218"/>
      <c r="T151" s="218"/>
      <c r="U151" s="218"/>
      <c r="V151" s="218"/>
      <c r="W151" s="218"/>
      <c r="X151" s="218"/>
      <c r="Y151" s="218"/>
      <c r="Z151" s="218"/>
    </row>
    <row r="152" ht="15.75" customHeight="1">
      <c r="A152" s="225"/>
      <c r="B152" s="218"/>
      <c r="C152" s="218"/>
      <c r="D152" s="218"/>
      <c r="E152" s="218"/>
      <c r="F152" s="218"/>
      <c r="G152" s="218"/>
      <c r="H152" s="218"/>
      <c r="I152" s="218"/>
      <c r="J152" s="218"/>
      <c r="K152" s="218"/>
      <c r="L152" s="218"/>
      <c r="M152" s="218"/>
      <c r="N152" s="218"/>
      <c r="O152" s="218"/>
      <c r="P152" s="218"/>
      <c r="Q152" s="218"/>
      <c r="R152" s="218"/>
      <c r="S152" s="218"/>
      <c r="T152" s="218"/>
      <c r="U152" s="218"/>
      <c r="V152" s="218"/>
      <c r="W152" s="218"/>
      <c r="X152" s="218"/>
      <c r="Y152" s="218"/>
      <c r="Z152" s="218"/>
    </row>
    <row r="153" ht="15.75" customHeight="1">
      <c r="A153" s="225"/>
      <c r="B153" s="218"/>
      <c r="C153" s="218"/>
      <c r="D153" s="218"/>
      <c r="E153" s="218"/>
      <c r="F153" s="218"/>
      <c r="G153" s="218"/>
      <c r="H153" s="218"/>
      <c r="I153" s="218"/>
      <c r="J153" s="218"/>
      <c r="K153" s="218"/>
      <c r="L153" s="218"/>
      <c r="M153" s="218"/>
      <c r="N153" s="218"/>
      <c r="O153" s="218"/>
      <c r="P153" s="218"/>
      <c r="Q153" s="218"/>
      <c r="R153" s="218"/>
      <c r="S153" s="218"/>
      <c r="T153" s="218"/>
      <c r="U153" s="218"/>
      <c r="V153" s="218"/>
      <c r="W153" s="218"/>
      <c r="X153" s="218"/>
      <c r="Y153" s="218"/>
      <c r="Z153" s="218"/>
    </row>
    <row r="154" ht="15.75" customHeight="1">
      <c r="A154" s="225"/>
      <c r="B154" s="218"/>
      <c r="C154" s="218"/>
      <c r="D154" s="218"/>
      <c r="E154" s="218"/>
      <c r="F154" s="218"/>
      <c r="G154" s="218"/>
      <c r="H154" s="218"/>
      <c r="I154" s="218"/>
      <c r="J154" s="218"/>
      <c r="K154" s="218"/>
      <c r="L154" s="218"/>
      <c r="M154" s="218"/>
      <c r="N154" s="218"/>
      <c r="O154" s="218"/>
      <c r="P154" s="218"/>
      <c r="Q154" s="218"/>
      <c r="R154" s="218"/>
      <c r="S154" s="218"/>
      <c r="T154" s="218"/>
      <c r="U154" s="218"/>
      <c r="V154" s="218"/>
      <c r="W154" s="218"/>
      <c r="X154" s="218"/>
      <c r="Y154" s="218"/>
      <c r="Z154" s="218"/>
    </row>
    <row r="155" ht="15.75" customHeight="1">
      <c r="A155" s="225"/>
      <c r="B155" s="218"/>
      <c r="C155" s="218"/>
      <c r="D155" s="218"/>
      <c r="E155" s="218"/>
      <c r="F155" s="218"/>
      <c r="G155" s="218"/>
      <c r="H155" s="218"/>
      <c r="I155" s="218"/>
      <c r="J155" s="218"/>
      <c r="K155" s="218"/>
      <c r="L155" s="218"/>
      <c r="M155" s="218"/>
      <c r="N155" s="218"/>
      <c r="O155" s="218"/>
      <c r="P155" s="218"/>
      <c r="Q155" s="218"/>
      <c r="R155" s="218"/>
      <c r="S155" s="218"/>
      <c r="T155" s="218"/>
      <c r="U155" s="218"/>
      <c r="V155" s="218"/>
      <c r="W155" s="218"/>
      <c r="X155" s="218"/>
      <c r="Y155" s="218"/>
      <c r="Z155" s="218"/>
    </row>
    <row r="156" ht="15.75" customHeight="1">
      <c r="A156" s="225"/>
      <c r="B156" s="218"/>
      <c r="C156" s="218"/>
      <c r="D156" s="218"/>
      <c r="E156" s="218"/>
      <c r="F156" s="218"/>
      <c r="G156" s="218"/>
      <c r="H156" s="218"/>
      <c r="I156" s="218"/>
      <c r="J156" s="218"/>
      <c r="K156" s="218"/>
      <c r="L156" s="218"/>
      <c r="M156" s="218"/>
      <c r="N156" s="218"/>
      <c r="O156" s="218"/>
      <c r="P156" s="218"/>
      <c r="Q156" s="218"/>
      <c r="R156" s="218"/>
      <c r="S156" s="218"/>
      <c r="T156" s="218"/>
      <c r="U156" s="218"/>
      <c r="V156" s="218"/>
      <c r="W156" s="218"/>
      <c r="X156" s="218"/>
      <c r="Y156" s="218"/>
      <c r="Z156" s="218"/>
    </row>
    <row r="157" ht="15.75" customHeight="1">
      <c r="A157" s="225"/>
      <c r="B157" s="218"/>
      <c r="C157" s="218"/>
      <c r="D157" s="218"/>
      <c r="E157" s="218"/>
      <c r="F157" s="218"/>
      <c r="G157" s="218"/>
      <c r="H157" s="218"/>
      <c r="I157" s="218"/>
      <c r="J157" s="218"/>
      <c r="K157" s="218"/>
      <c r="L157" s="218"/>
      <c r="M157" s="218"/>
      <c r="N157" s="218"/>
      <c r="O157" s="218"/>
      <c r="P157" s="218"/>
      <c r="Q157" s="218"/>
      <c r="R157" s="218"/>
      <c r="S157" s="218"/>
      <c r="T157" s="218"/>
      <c r="U157" s="218"/>
      <c r="V157" s="218"/>
      <c r="W157" s="218"/>
      <c r="X157" s="218"/>
      <c r="Y157" s="218"/>
      <c r="Z157" s="218"/>
    </row>
    <row r="158" ht="15.75" customHeight="1">
      <c r="A158" s="225"/>
      <c r="B158" s="218"/>
      <c r="C158" s="218"/>
      <c r="D158" s="218"/>
      <c r="E158" s="218"/>
      <c r="F158" s="218"/>
      <c r="G158" s="218"/>
      <c r="H158" s="218"/>
      <c r="I158" s="218"/>
      <c r="J158" s="218"/>
      <c r="K158" s="218"/>
      <c r="L158" s="218"/>
      <c r="M158" s="218"/>
      <c r="N158" s="218"/>
      <c r="O158" s="218"/>
      <c r="P158" s="218"/>
      <c r="Q158" s="218"/>
      <c r="R158" s="218"/>
      <c r="S158" s="218"/>
      <c r="T158" s="218"/>
      <c r="U158" s="218"/>
      <c r="V158" s="218"/>
      <c r="W158" s="218"/>
      <c r="X158" s="218"/>
      <c r="Y158" s="218"/>
      <c r="Z158" s="218"/>
    </row>
    <row r="159" ht="15.75" customHeight="1">
      <c r="A159" s="225"/>
      <c r="B159" s="218"/>
      <c r="C159" s="218"/>
      <c r="D159" s="218"/>
      <c r="E159" s="218"/>
      <c r="F159" s="218"/>
      <c r="G159" s="218"/>
      <c r="H159" s="218"/>
      <c r="I159" s="218"/>
      <c r="J159" s="218"/>
      <c r="K159" s="218"/>
      <c r="L159" s="218"/>
      <c r="M159" s="218"/>
      <c r="N159" s="218"/>
      <c r="O159" s="218"/>
      <c r="P159" s="218"/>
      <c r="Q159" s="218"/>
      <c r="R159" s="218"/>
      <c r="S159" s="218"/>
      <c r="T159" s="218"/>
      <c r="U159" s="218"/>
      <c r="V159" s="218"/>
      <c r="W159" s="218"/>
      <c r="X159" s="218"/>
      <c r="Y159" s="218"/>
      <c r="Z159" s="218"/>
    </row>
    <row r="160" ht="15.75" customHeight="1">
      <c r="A160" s="225"/>
      <c r="B160" s="218"/>
      <c r="C160" s="218"/>
      <c r="D160" s="218"/>
      <c r="E160" s="218"/>
      <c r="F160" s="218"/>
      <c r="G160" s="218"/>
      <c r="H160" s="218"/>
      <c r="I160" s="218"/>
      <c r="J160" s="218"/>
      <c r="K160" s="218"/>
      <c r="L160" s="218"/>
      <c r="M160" s="218"/>
      <c r="N160" s="218"/>
      <c r="O160" s="218"/>
      <c r="P160" s="218"/>
      <c r="Q160" s="218"/>
      <c r="R160" s="218"/>
      <c r="S160" s="218"/>
      <c r="T160" s="218"/>
      <c r="U160" s="218"/>
      <c r="V160" s="218"/>
      <c r="W160" s="218"/>
      <c r="X160" s="218"/>
      <c r="Y160" s="218"/>
      <c r="Z160" s="218"/>
    </row>
    <row r="161" ht="15.75" customHeight="1">
      <c r="A161" s="225"/>
      <c r="B161" s="218"/>
      <c r="C161" s="218"/>
      <c r="D161" s="218"/>
      <c r="E161" s="218"/>
      <c r="F161" s="218"/>
      <c r="G161" s="218"/>
      <c r="H161" s="218"/>
      <c r="I161" s="218"/>
      <c r="J161" s="218"/>
      <c r="K161" s="218"/>
      <c r="L161" s="218"/>
      <c r="M161" s="218"/>
      <c r="N161" s="218"/>
      <c r="O161" s="218"/>
      <c r="P161" s="218"/>
      <c r="Q161" s="218"/>
      <c r="R161" s="218"/>
      <c r="S161" s="218"/>
      <c r="T161" s="218"/>
      <c r="U161" s="218"/>
      <c r="V161" s="218"/>
      <c r="W161" s="218"/>
      <c r="X161" s="218"/>
      <c r="Y161" s="218"/>
      <c r="Z161" s="218"/>
    </row>
    <row r="162" ht="15.75" customHeight="1">
      <c r="A162" s="225"/>
      <c r="B162" s="218"/>
      <c r="C162" s="218"/>
      <c r="D162" s="218"/>
      <c r="E162" s="218"/>
      <c r="F162" s="218"/>
      <c r="G162" s="218"/>
      <c r="H162" s="218"/>
      <c r="I162" s="218"/>
      <c r="J162" s="218"/>
      <c r="K162" s="218"/>
      <c r="L162" s="218"/>
      <c r="M162" s="218"/>
      <c r="N162" s="218"/>
      <c r="O162" s="218"/>
      <c r="P162" s="218"/>
      <c r="Q162" s="218"/>
      <c r="R162" s="218"/>
      <c r="S162" s="218"/>
      <c r="T162" s="218"/>
      <c r="U162" s="218"/>
      <c r="V162" s="218"/>
      <c r="W162" s="218"/>
      <c r="X162" s="218"/>
      <c r="Y162" s="218"/>
      <c r="Z162" s="218"/>
    </row>
    <row r="163" ht="15.75" customHeight="1">
      <c r="A163" s="225"/>
      <c r="B163" s="218"/>
      <c r="C163" s="218"/>
      <c r="D163" s="218"/>
      <c r="E163" s="218"/>
      <c r="F163" s="218"/>
      <c r="G163" s="218"/>
      <c r="H163" s="218"/>
      <c r="I163" s="218"/>
      <c r="J163" s="218"/>
      <c r="K163" s="218"/>
      <c r="L163" s="218"/>
      <c r="M163" s="218"/>
      <c r="N163" s="218"/>
      <c r="O163" s="218"/>
      <c r="P163" s="218"/>
      <c r="Q163" s="218"/>
      <c r="R163" s="218"/>
      <c r="S163" s="218"/>
      <c r="T163" s="218"/>
      <c r="U163" s="218"/>
      <c r="V163" s="218"/>
      <c r="W163" s="218"/>
      <c r="X163" s="218"/>
      <c r="Y163" s="218"/>
      <c r="Z163" s="218"/>
    </row>
    <row r="164" ht="15.75" customHeight="1">
      <c r="A164" s="225"/>
      <c r="B164" s="218"/>
      <c r="C164" s="218"/>
      <c r="D164" s="218"/>
      <c r="E164" s="218"/>
      <c r="F164" s="218"/>
      <c r="G164" s="218"/>
      <c r="H164" s="218"/>
      <c r="I164" s="218"/>
      <c r="J164" s="218"/>
      <c r="K164" s="218"/>
      <c r="L164" s="218"/>
      <c r="M164" s="218"/>
      <c r="N164" s="218"/>
      <c r="O164" s="218"/>
      <c r="P164" s="218"/>
      <c r="Q164" s="218"/>
      <c r="R164" s="218"/>
      <c r="S164" s="218"/>
      <c r="T164" s="218"/>
      <c r="U164" s="218"/>
      <c r="V164" s="218"/>
      <c r="W164" s="218"/>
      <c r="X164" s="218"/>
      <c r="Y164" s="218"/>
      <c r="Z164" s="218"/>
    </row>
    <row r="165" ht="15.75" customHeight="1">
      <c r="A165" s="225"/>
      <c r="B165" s="218"/>
      <c r="C165" s="218"/>
      <c r="D165" s="218"/>
      <c r="E165" s="218"/>
      <c r="F165" s="218"/>
      <c r="G165" s="218"/>
      <c r="H165" s="218"/>
      <c r="I165" s="218"/>
      <c r="J165" s="218"/>
      <c r="K165" s="218"/>
      <c r="L165" s="218"/>
      <c r="M165" s="218"/>
      <c r="N165" s="218"/>
      <c r="O165" s="218"/>
      <c r="P165" s="218"/>
      <c r="Q165" s="218"/>
      <c r="R165" s="218"/>
      <c r="S165" s="218"/>
      <c r="T165" s="218"/>
      <c r="U165" s="218"/>
      <c r="V165" s="218"/>
      <c r="W165" s="218"/>
      <c r="X165" s="218"/>
      <c r="Y165" s="218"/>
      <c r="Z165" s="218"/>
    </row>
    <row r="166" ht="15.75" customHeight="1">
      <c r="A166" s="225"/>
      <c r="B166" s="218"/>
      <c r="C166" s="218"/>
      <c r="D166" s="218"/>
      <c r="E166" s="218"/>
      <c r="F166" s="218"/>
      <c r="G166" s="218"/>
      <c r="H166" s="218"/>
      <c r="I166" s="218"/>
      <c r="J166" s="218"/>
      <c r="K166" s="218"/>
      <c r="L166" s="218"/>
      <c r="M166" s="218"/>
      <c r="N166" s="218"/>
      <c r="O166" s="218"/>
      <c r="P166" s="218"/>
      <c r="Q166" s="218"/>
      <c r="R166" s="218"/>
      <c r="S166" s="218"/>
      <c r="T166" s="218"/>
      <c r="U166" s="218"/>
      <c r="V166" s="218"/>
      <c r="W166" s="218"/>
      <c r="X166" s="218"/>
      <c r="Y166" s="218"/>
      <c r="Z166" s="218"/>
    </row>
    <row r="167" ht="15.75" customHeight="1">
      <c r="A167" s="225"/>
      <c r="B167" s="218"/>
      <c r="C167" s="218"/>
      <c r="D167" s="218"/>
      <c r="E167" s="218"/>
      <c r="F167" s="218"/>
      <c r="G167" s="218"/>
      <c r="H167" s="218"/>
      <c r="I167" s="218"/>
      <c r="J167" s="218"/>
      <c r="K167" s="218"/>
      <c r="L167" s="218"/>
      <c r="M167" s="218"/>
      <c r="N167" s="218"/>
      <c r="O167" s="218"/>
      <c r="P167" s="218"/>
      <c r="Q167" s="218"/>
      <c r="R167" s="218"/>
      <c r="S167" s="218"/>
      <c r="T167" s="218"/>
      <c r="U167" s="218"/>
      <c r="V167" s="218"/>
      <c r="W167" s="218"/>
      <c r="X167" s="218"/>
      <c r="Y167" s="218"/>
      <c r="Z167" s="218"/>
    </row>
    <row r="168" ht="15.75" customHeight="1">
      <c r="A168" s="225"/>
      <c r="B168" s="218"/>
      <c r="C168" s="218"/>
      <c r="D168" s="218"/>
      <c r="E168" s="218"/>
      <c r="F168" s="218"/>
      <c r="G168" s="218"/>
      <c r="H168" s="218"/>
      <c r="I168" s="218"/>
      <c r="J168" s="218"/>
      <c r="K168" s="218"/>
      <c r="L168" s="218"/>
      <c r="M168" s="218"/>
      <c r="N168" s="218"/>
      <c r="O168" s="218"/>
      <c r="P168" s="218"/>
      <c r="Q168" s="218"/>
      <c r="R168" s="218"/>
      <c r="S168" s="218"/>
      <c r="T168" s="218"/>
      <c r="U168" s="218"/>
      <c r="V168" s="218"/>
      <c r="W168" s="218"/>
      <c r="X168" s="218"/>
      <c r="Y168" s="218"/>
      <c r="Z168" s="218"/>
    </row>
    <row r="169" ht="15.75" customHeight="1">
      <c r="A169" s="225"/>
      <c r="B169" s="218"/>
      <c r="C169" s="218"/>
      <c r="D169" s="218"/>
      <c r="E169" s="218"/>
      <c r="F169" s="218"/>
      <c r="G169" s="218"/>
      <c r="H169" s="218"/>
      <c r="I169" s="218"/>
      <c r="J169" s="218"/>
      <c r="K169" s="218"/>
      <c r="L169" s="218"/>
      <c r="M169" s="218"/>
      <c r="N169" s="218"/>
      <c r="O169" s="218"/>
      <c r="P169" s="218"/>
      <c r="Q169" s="218"/>
      <c r="R169" s="218"/>
      <c r="S169" s="218"/>
      <c r="T169" s="218"/>
      <c r="U169" s="218"/>
      <c r="V169" s="218"/>
      <c r="W169" s="218"/>
      <c r="X169" s="218"/>
      <c r="Y169" s="218"/>
      <c r="Z169" s="218"/>
    </row>
    <row r="170" ht="15.75" customHeight="1">
      <c r="A170" s="225"/>
      <c r="B170" s="218"/>
      <c r="C170" s="218"/>
      <c r="D170" s="218"/>
      <c r="E170" s="218"/>
      <c r="F170" s="218"/>
      <c r="G170" s="218"/>
      <c r="H170" s="218"/>
      <c r="I170" s="218"/>
      <c r="J170" s="218"/>
      <c r="K170" s="218"/>
      <c r="L170" s="218"/>
      <c r="M170" s="218"/>
      <c r="N170" s="218"/>
      <c r="O170" s="218"/>
      <c r="P170" s="218"/>
      <c r="Q170" s="218"/>
      <c r="R170" s="218"/>
      <c r="S170" s="218"/>
      <c r="T170" s="218"/>
      <c r="U170" s="218"/>
      <c r="V170" s="218"/>
      <c r="W170" s="218"/>
      <c r="X170" s="218"/>
      <c r="Y170" s="218"/>
      <c r="Z170" s="218"/>
    </row>
    <row r="171" ht="15.75" customHeight="1">
      <c r="A171" s="225"/>
      <c r="B171" s="218"/>
      <c r="C171" s="218"/>
      <c r="D171" s="218"/>
      <c r="E171" s="218"/>
      <c r="F171" s="218"/>
      <c r="G171" s="218"/>
      <c r="H171" s="218"/>
      <c r="I171" s="218"/>
      <c r="J171" s="218"/>
      <c r="K171" s="218"/>
      <c r="L171" s="218"/>
      <c r="M171" s="218"/>
      <c r="N171" s="218"/>
      <c r="O171" s="218"/>
      <c r="P171" s="218"/>
      <c r="Q171" s="218"/>
      <c r="R171" s="218"/>
      <c r="S171" s="218"/>
      <c r="T171" s="218"/>
      <c r="U171" s="218"/>
      <c r="V171" s="218"/>
      <c r="W171" s="218"/>
      <c r="X171" s="218"/>
      <c r="Y171" s="218"/>
      <c r="Z171" s="218"/>
    </row>
    <row r="172" ht="15.75" customHeight="1">
      <c r="A172" s="225"/>
      <c r="B172" s="218"/>
      <c r="C172" s="218"/>
      <c r="D172" s="218"/>
      <c r="E172" s="218"/>
      <c r="F172" s="218"/>
      <c r="G172" s="218"/>
      <c r="H172" s="218"/>
      <c r="I172" s="218"/>
      <c r="J172" s="218"/>
      <c r="K172" s="218"/>
      <c r="L172" s="218"/>
      <c r="M172" s="218"/>
      <c r="N172" s="218"/>
      <c r="O172" s="218"/>
      <c r="P172" s="218"/>
      <c r="Q172" s="218"/>
      <c r="R172" s="218"/>
      <c r="S172" s="218"/>
      <c r="T172" s="218"/>
      <c r="U172" s="218"/>
      <c r="V172" s="218"/>
      <c r="W172" s="218"/>
      <c r="X172" s="218"/>
      <c r="Y172" s="218"/>
      <c r="Z172" s="218"/>
    </row>
    <row r="173" ht="15.75" customHeight="1">
      <c r="A173" s="225"/>
      <c r="B173" s="218"/>
      <c r="C173" s="218"/>
      <c r="D173" s="218"/>
      <c r="E173" s="218"/>
      <c r="F173" s="218"/>
      <c r="G173" s="218"/>
      <c r="H173" s="218"/>
      <c r="I173" s="218"/>
      <c r="J173" s="218"/>
      <c r="K173" s="218"/>
      <c r="L173" s="218"/>
      <c r="M173" s="218"/>
      <c r="N173" s="218"/>
      <c r="O173" s="218"/>
      <c r="P173" s="218"/>
      <c r="Q173" s="218"/>
      <c r="R173" s="218"/>
      <c r="S173" s="218"/>
      <c r="T173" s="218"/>
      <c r="U173" s="218"/>
      <c r="V173" s="218"/>
      <c r="W173" s="218"/>
      <c r="X173" s="218"/>
      <c r="Y173" s="218"/>
      <c r="Z173" s="218"/>
    </row>
    <row r="174" ht="15.75" customHeight="1">
      <c r="A174" s="225"/>
      <c r="B174" s="218"/>
      <c r="C174" s="218"/>
      <c r="D174" s="218"/>
      <c r="E174" s="218"/>
      <c r="F174" s="218"/>
      <c r="G174" s="218"/>
      <c r="H174" s="218"/>
      <c r="I174" s="218"/>
      <c r="J174" s="218"/>
      <c r="K174" s="218"/>
      <c r="L174" s="218"/>
      <c r="M174" s="218"/>
      <c r="N174" s="218"/>
      <c r="O174" s="218"/>
      <c r="P174" s="218"/>
      <c r="Q174" s="218"/>
      <c r="R174" s="218"/>
      <c r="S174" s="218"/>
      <c r="T174" s="218"/>
      <c r="U174" s="218"/>
      <c r="V174" s="218"/>
      <c r="W174" s="218"/>
      <c r="X174" s="218"/>
      <c r="Y174" s="218"/>
      <c r="Z174" s="218"/>
    </row>
    <row r="175" ht="15.75" customHeight="1">
      <c r="A175" s="225"/>
      <c r="B175" s="218"/>
      <c r="C175" s="218"/>
      <c r="D175" s="218"/>
      <c r="E175" s="218"/>
      <c r="F175" s="218"/>
      <c r="G175" s="218"/>
      <c r="H175" s="218"/>
      <c r="I175" s="218"/>
      <c r="J175" s="218"/>
      <c r="K175" s="218"/>
      <c r="L175" s="218"/>
      <c r="M175" s="218"/>
      <c r="N175" s="218"/>
      <c r="O175" s="218"/>
      <c r="P175" s="218"/>
      <c r="Q175" s="218"/>
      <c r="R175" s="218"/>
      <c r="S175" s="218"/>
      <c r="T175" s="218"/>
      <c r="U175" s="218"/>
      <c r="V175" s="218"/>
      <c r="W175" s="218"/>
      <c r="X175" s="218"/>
      <c r="Y175" s="218"/>
      <c r="Z175" s="218"/>
    </row>
    <row r="176" ht="15.75" customHeight="1">
      <c r="A176" s="225"/>
      <c r="B176" s="218"/>
      <c r="C176" s="218"/>
      <c r="D176" s="218"/>
      <c r="E176" s="218"/>
      <c r="F176" s="218"/>
      <c r="G176" s="218"/>
      <c r="H176" s="218"/>
      <c r="I176" s="218"/>
      <c r="J176" s="218"/>
      <c r="K176" s="218"/>
      <c r="L176" s="218"/>
      <c r="M176" s="218"/>
      <c r="N176" s="218"/>
      <c r="O176" s="218"/>
      <c r="P176" s="218"/>
      <c r="Q176" s="218"/>
      <c r="R176" s="218"/>
      <c r="S176" s="218"/>
      <c r="T176" s="218"/>
      <c r="U176" s="218"/>
      <c r="V176" s="218"/>
      <c r="W176" s="218"/>
      <c r="X176" s="218"/>
      <c r="Y176" s="218"/>
      <c r="Z176" s="218"/>
    </row>
    <row r="177" ht="15.75" customHeight="1">
      <c r="A177" s="225"/>
      <c r="B177" s="218"/>
      <c r="C177" s="218"/>
      <c r="D177" s="218"/>
      <c r="E177" s="218"/>
      <c r="F177" s="218"/>
      <c r="G177" s="218"/>
      <c r="H177" s="218"/>
      <c r="I177" s="218"/>
      <c r="J177" s="218"/>
      <c r="K177" s="218"/>
      <c r="L177" s="218"/>
      <c r="M177" s="218"/>
      <c r="N177" s="218"/>
      <c r="O177" s="218"/>
      <c r="P177" s="218"/>
      <c r="Q177" s="218"/>
      <c r="R177" s="218"/>
      <c r="S177" s="218"/>
      <c r="T177" s="218"/>
      <c r="U177" s="218"/>
      <c r="V177" s="218"/>
      <c r="W177" s="218"/>
      <c r="X177" s="218"/>
      <c r="Y177" s="218"/>
      <c r="Z177" s="218"/>
    </row>
    <row r="178" ht="15.75" customHeight="1">
      <c r="A178" s="225"/>
      <c r="B178" s="218"/>
      <c r="C178" s="218"/>
      <c r="D178" s="218"/>
      <c r="E178" s="218"/>
      <c r="F178" s="218"/>
      <c r="G178" s="218"/>
      <c r="H178" s="218"/>
      <c r="I178" s="218"/>
      <c r="J178" s="218"/>
      <c r="K178" s="218"/>
      <c r="L178" s="218"/>
      <c r="M178" s="218"/>
      <c r="N178" s="218"/>
      <c r="O178" s="218"/>
      <c r="P178" s="218"/>
      <c r="Q178" s="218"/>
      <c r="R178" s="218"/>
      <c r="S178" s="218"/>
      <c r="T178" s="218"/>
      <c r="U178" s="218"/>
      <c r="V178" s="218"/>
      <c r="W178" s="218"/>
      <c r="X178" s="218"/>
      <c r="Y178" s="218"/>
      <c r="Z178" s="218"/>
    </row>
    <row r="179" ht="15.75" customHeight="1">
      <c r="A179" s="225"/>
      <c r="B179" s="218"/>
      <c r="C179" s="218"/>
      <c r="D179" s="218"/>
      <c r="E179" s="218"/>
      <c r="F179" s="218"/>
      <c r="G179" s="218"/>
      <c r="H179" s="218"/>
      <c r="I179" s="218"/>
      <c r="J179" s="218"/>
      <c r="K179" s="218"/>
      <c r="L179" s="218"/>
      <c r="M179" s="218"/>
      <c r="N179" s="218"/>
      <c r="O179" s="218"/>
      <c r="P179" s="218"/>
      <c r="Q179" s="218"/>
      <c r="R179" s="218"/>
      <c r="S179" s="218"/>
      <c r="T179" s="218"/>
      <c r="U179" s="218"/>
      <c r="V179" s="218"/>
      <c r="W179" s="218"/>
      <c r="X179" s="218"/>
      <c r="Y179" s="218"/>
      <c r="Z179" s="218"/>
    </row>
    <row r="180" ht="15.75" customHeight="1">
      <c r="A180" s="225"/>
      <c r="B180" s="218"/>
      <c r="C180" s="218"/>
      <c r="D180" s="218"/>
      <c r="E180" s="218"/>
      <c r="F180" s="218"/>
      <c r="G180" s="218"/>
      <c r="H180" s="218"/>
      <c r="I180" s="218"/>
      <c r="J180" s="218"/>
      <c r="K180" s="218"/>
      <c r="L180" s="218"/>
      <c r="M180" s="218"/>
      <c r="N180" s="218"/>
      <c r="O180" s="218"/>
      <c r="P180" s="218"/>
      <c r="Q180" s="218"/>
      <c r="R180" s="218"/>
      <c r="S180" s="218"/>
      <c r="T180" s="218"/>
      <c r="U180" s="218"/>
      <c r="V180" s="218"/>
      <c r="W180" s="218"/>
      <c r="X180" s="218"/>
      <c r="Y180" s="218"/>
      <c r="Z180" s="218"/>
    </row>
    <row r="181" ht="15.75" customHeight="1">
      <c r="A181" s="225"/>
      <c r="B181" s="218"/>
      <c r="C181" s="218"/>
      <c r="D181" s="218"/>
      <c r="E181" s="218"/>
      <c r="F181" s="218"/>
      <c r="G181" s="218"/>
      <c r="H181" s="218"/>
      <c r="I181" s="218"/>
      <c r="J181" s="218"/>
      <c r="K181" s="218"/>
      <c r="L181" s="218"/>
      <c r="M181" s="218"/>
      <c r="N181" s="218"/>
      <c r="O181" s="218"/>
      <c r="P181" s="218"/>
      <c r="Q181" s="218"/>
      <c r="R181" s="218"/>
      <c r="S181" s="218"/>
      <c r="T181" s="218"/>
      <c r="U181" s="218"/>
      <c r="V181" s="218"/>
      <c r="W181" s="218"/>
      <c r="X181" s="218"/>
      <c r="Y181" s="218"/>
      <c r="Z181" s="218"/>
    </row>
    <row r="182" ht="15.75" customHeight="1">
      <c r="A182" s="225"/>
      <c r="B182" s="218"/>
      <c r="C182" s="218"/>
      <c r="D182" s="218"/>
      <c r="E182" s="218"/>
      <c r="F182" s="218"/>
      <c r="G182" s="218"/>
      <c r="H182" s="218"/>
      <c r="I182" s="218"/>
      <c r="J182" s="218"/>
      <c r="K182" s="218"/>
      <c r="L182" s="218"/>
      <c r="M182" s="218"/>
      <c r="N182" s="218"/>
      <c r="O182" s="218"/>
      <c r="P182" s="218"/>
      <c r="Q182" s="218"/>
      <c r="R182" s="218"/>
      <c r="S182" s="218"/>
      <c r="T182" s="218"/>
      <c r="U182" s="218"/>
      <c r="V182" s="218"/>
      <c r="W182" s="218"/>
      <c r="X182" s="218"/>
      <c r="Y182" s="218"/>
      <c r="Z182" s="218"/>
    </row>
    <row r="183" ht="15.75" customHeight="1">
      <c r="A183" s="225"/>
      <c r="B183" s="218"/>
      <c r="C183" s="218"/>
      <c r="D183" s="218"/>
      <c r="E183" s="218"/>
      <c r="F183" s="218"/>
      <c r="G183" s="218"/>
      <c r="H183" s="218"/>
      <c r="I183" s="218"/>
      <c r="J183" s="218"/>
      <c r="K183" s="218"/>
      <c r="L183" s="218"/>
      <c r="M183" s="218"/>
      <c r="N183" s="218"/>
      <c r="O183" s="218"/>
      <c r="P183" s="218"/>
      <c r="Q183" s="218"/>
      <c r="R183" s="218"/>
      <c r="S183" s="218"/>
      <c r="T183" s="218"/>
      <c r="U183" s="218"/>
      <c r="V183" s="218"/>
      <c r="W183" s="218"/>
      <c r="X183" s="218"/>
      <c r="Y183" s="218"/>
      <c r="Z183" s="218"/>
    </row>
    <row r="184" ht="15.75" customHeight="1">
      <c r="A184" s="225"/>
      <c r="B184" s="218"/>
      <c r="C184" s="218"/>
      <c r="D184" s="218"/>
      <c r="E184" s="218"/>
      <c r="F184" s="218"/>
      <c r="G184" s="218"/>
      <c r="H184" s="218"/>
      <c r="I184" s="218"/>
      <c r="J184" s="218"/>
      <c r="K184" s="218"/>
      <c r="L184" s="218"/>
      <c r="M184" s="218"/>
      <c r="N184" s="218"/>
      <c r="O184" s="218"/>
      <c r="P184" s="218"/>
      <c r="Q184" s="218"/>
      <c r="R184" s="218"/>
      <c r="S184" s="218"/>
      <c r="T184" s="218"/>
      <c r="U184" s="218"/>
      <c r="V184" s="218"/>
      <c r="W184" s="218"/>
      <c r="X184" s="218"/>
      <c r="Y184" s="218"/>
      <c r="Z184" s="218"/>
    </row>
    <row r="185" ht="15.75" customHeight="1">
      <c r="A185" s="225"/>
      <c r="B185" s="218"/>
      <c r="C185" s="218"/>
      <c r="D185" s="218"/>
      <c r="E185" s="218"/>
      <c r="F185" s="218"/>
      <c r="G185" s="218"/>
      <c r="H185" s="218"/>
      <c r="I185" s="218"/>
      <c r="J185" s="218"/>
      <c r="K185" s="218"/>
      <c r="L185" s="218"/>
      <c r="M185" s="218"/>
      <c r="N185" s="218"/>
      <c r="O185" s="218"/>
      <c r="P185" s="218"/>
      <c r="Q185" s="218"/>
      <c r="R185" s="218"/>
      <c r="S185" s="218"/>
      <c r="T185" s="218"/>
      <c r="U185" s="218"/>
      <c r="V185" s="218"/>
      <c r="W185" s="218"/>
      <c r="X185" s="218"/>
      <c r="Y185" s="218"/>
      <c r="Z185" s="218"/>
    </row>
    <row r="186" ht="15.75" customHeight="1">
      <c r="A186" s="225"/>
      <c r="B186" s="218"/>
      <c r="C186" s="218"/>
      <c r="D186" s="218"/>
      <c r="E186" s="218"/>
      <c r="F186" s="218"/>
      <c r="G186" s="218"/>
      <c r="H186" s="218"/>
      <c r="I186" s="218"/>
      <c r="J186" s="218"/>
      <c r="K186" s="218"/>
      <c r="L186" s="218"/>
      <c r="M186" s="218"/>
      <c r="N186" s="218"/>
      <c r="O186" s="218"/>
      <c r="P186" s="218"/>
      <c r="Q186" s="218"/>
      <c r="R186" s="218"/>
      <c r="S186" s="218"/>
      <c r="T186" s="218"/>
      <c r="U186" s="218"/>
      <c r="V186" s="218"/>
      <c r="W186" s="218"/>
      <c r="X186" s="218"/>
      <c r="Y186" s="218"/>
      <c r="Z186" s="218"/>
    </row>
    <row r="187" ht="15.75" customHeight="1">
      <c r="A187" s="225"/>
      <c r="B187" s="218"/>
      <c r="C187" s="218"/>
      <c r="D187" s="218"/>
      <c r="E187" s="218"/>
      <c r="F187" s="218"/>
      <c r="G187" s="218"/>
      <c r="H187" s="218"/>
      <c r="I187" s="218"/>
      <c r="J187" s="218"/>
      <c r="K187" s="218"/>
      <c r="L187" s="218"/>
      <c r="M187" s="218"/>
      <c r="N187" s="218"/>
      <c r="O187" s="218"/>
      <c r="P187" s="218"/>
      <c r="Q187" s="218"/>
      <c r="R187" s="218"/>
      <c r="S187" s="218"/>
      <c r="T187" s="218"/>
      <c r="U187" s="218"/>
      <c r="V187" s="218"/>
      <c r="W187" s="218"/>
      <c r="X187" s="218"/>
      <c r="Y187" s="218"/>
      <c r="Z187" s="218"/>
    </row>
    <row r="188" ht="15.75" customHeight="1">
      <c r="A188" s="225"/>
      <c r="B188" s="218"/>
      <c r="C188" s="218"/>
      <c r="D188" s="218"/>
      <c r="E188" s="218"/>
      <c r="F188" s="218"/>
      <c r="G188" s="218"/>
      <c r="H188" s="218"/>
      <c r="I188" s="218"/>
      <c r="J188" s="218"/>
      <c r="K188" s="218"/>
      <c r="L188" s="218"/>
      <c r="M188" s="218"/>
      <c r="N188" s="218"/>
      <c r="O188" s="218"/>
      <c r="P188" s="218"/>
      <c r="Q188" s="218"/>
      <c r="R188" s="218"/>
      <c r="S188" s="218"/>
      <c r="T188" s="218"/>
      <c r="U188" s="218"/>
      <c r="V188" s="218"/>
      <c r="W188" s="218"/>
      <c r="X188" s="218"/>
      <c r="Y188" s="218"/>
      <c r="Z188" s="218"/>
    </row>
    <row r="189" ht="15.75" customHeight="1">
      <c r="A189" s="225"/>
      <c r="B189" s="218"/>
      <c r="C189" s="218"/>
      <c r="D189" s="218"/>
      <c r="E189" s="218"/>
      <c r="F189" s="218"/>
      <c r="G189" s="218"/>
      <c r="H189" s="218"/>
      <c r="I189" s="218"/>
      <c r="J189" s="218"/>
      <c r="K189" s="218"/>
      <c r="L189" s="218"/>
      <c r="M189" s="218"/>
      <c r="N189" s="218"/>
      <c r="O189" s="218"/>
      <c r="P189" s="218"/>
      <c r="Q189" s="218"/>
      <c r="R189" s="218"/>
      <c r="S189" s="218"/>
      <c r="T189" s="218"/>
      <c r="U189" s="218"/>
      <c r="V189" s="218"/>
      <c r="W189" s="218"/>
      <c r="X189" s="218"/>
      <c r="Y189" s="218"/>
      <c r="Z189" s="218"/>
    </row>
    <row r="190" ht="15.75" customHeight="1">
      <c r="A190" s="225"/>
      <c r="B190" s="218"/>
      <c r="C190" s="218"/>
      <c r="D190" s="218"/>
      <c r="E190" s="218"/>
      <c r="F190" s="218"/>
      <c r="G190" s="218"/>
      <c r="H190" s="218"/>
      <c r="I190" s="218"/>
      <c r="J190" s="218"/>
      <c r="K190" s="218"/>
      <c r="L190" s="218"/>
      <c r="M190" s="218"/>
      <c r="N190" s="218"/>
      <c r="O190" s="218"/>
      <c r="P190" s="218"/>
      <c r="Q190" s="218"/>
      <c r="R190" s="218"/>
      <c r="S190" s="218"/>
      <c r="T190" s="218"/>
      <c r="U190" s="218"/>
      <c r="V190" s="218"/>
      <c r="W190" s="218"/>
      <c r="X190" s="218"/>
      <c r="Y190" s="218"/>
      <c r="Z190" s="218"/>
    </row>
    <row r="191" ht="15.75" customHeight="1">
      <c r="A191" s="225"/>
      <c r="B191" s="218"/>
      <c r="C191" s="218"/>
      <c r="D191" s="218"/>
      <c r="E191" s="218"/>
      <c r="F191" s="218"/>
      <c r="G191" s="218"/>
      <c r="H191" s="218"/>
      <c r="I191" s="218"/>
      <c r="J191" s="218"/>
      <c r="K191" s="218"/>
      <c r="L191" s="218"/>
      <c r="M191" s="218"/>
      <c r="N191" s="218"/>
      <c r="O191" s="218"/>
      <c r="P191" s="218"/>
      <c r="Q191" s="218"/>
      <c r="R191" s="218"/>
      <c r="S191" s="218"/>
      <c r="T191" s="218"/>
      <c r="U191" s="218"/>
      <c r="V191" s="218"/>
      <c r="W191" s="218"/>
      <c r="X191" s="218"/>
      <c r="Y191" s="218"/>
      <c r="Z191" s="218"/>
    </row>
    <row r="192" ht="15.75" customHeight="1">
      <c r="A192" s="225"/>
      <c r="B192" s="218"/>
      <c r="C192" s="218"/>
      <c r="D192" s="218"/>
      <c r="E192" s="218"/>
      <c r="F192" s="218"/>
      <c r="G192" s="218"/>
      <c r="H192" s="218"/>
      <c r="I192" s="218"/>
      <c r="J192" s="218"/>
      <c r="K192" s="218"/>
      <c r="L192" s="218"/>
      <c r="M192" s="218"/>
      <c r="N192" s="218"/>
      <c r="O192" s="218"/>
      <c r="P192" s="218"/>
      <c r="Q192" s="218"/>
      <c r="R192" s="218"/>
      <c r="S192" s="218"/>
      <c r="T192" s="218"/>
      <c r="U192" s="218"/>
      <c r="V192" s="218"/>
      <c r="W192" s="218"/>
      <c r="X192" s="218"/>
      <c r="Y192" s="218"/>
      <c r="Z192" s="218"/>
    </row>
    <row r="193" ht="15.75" customHeight="1">
      <c r="A193" s="225"/>
      <c r="B193" s="218"/>
      <c r="C193" s="218"/>
      <c r="D193" s="218"/>
      <c r="E193" s="218"/>
      <c r="F193" s="218"/>
      <c r="G193" s="218"/>
      <c r="H193" s="218"/>
      <c r="I193" s="218"/>
      <c r="J193" s="218"/>
      <c r="K193" s="218"/>
      <c r="L193" s="218"/>
      <c r="M193" s="218"/>
      <c r="N193" s="218"/>
      <c r="O193" s="218"/>
      <c r="P193" s="218"/>
      <c r="Q193" s="218"/>
      <c r="R193" s="218"/>
      <c r="S193" s="218"/>
      <c r="T193" s="218"/>
      <c r="U193" s="218"/>
      <c r="V193" s="218"/>
      <c r="W193" s="218"/>
      <c r="X193" s="218"/>
      <c r="Y193" s="218"/>
      <c r="Z193" s="218"/>
    </row>
    <row r="194" ht="15.75" customHeight="1">
      <c r="A194" s="225"/>
      <c r="B194" s="218"/>
      <c r="C194" s="218"/>
      <c r="D194" s="218"/>
      <c r="E194" s="218"/>
      <c r="F194" s="218"/>
      <c r="G194" s="218"/>
      <c r="H194" s="218"/>
      <c r="I194" s="218"/>
      <c r="J194" s="218"/>
      <c r="K194" s="218"/>
      <c r="L194" s="218"/>
      <c r="M194" s="218"/>
      <c r="N194" s="218"/>
      <c r="O194" s="218"/>
      <c r="P194" s="218"/>
      <c r="Q194" s="218"/>
      <c r="R194" s="218"/>
      <c r="S194" s="218"/>
      <c r="T194" s="218"/>
      <c r="U194" s="218"/>
      <c r="V194" s="218"/>
      <c r="W194" s="218"/>
      <c r="X194" s="218"/>
      <c r="Y194" s="218"/>
      <c r="Z194" s="218"/>
    </row>
    <row r="195" ht="15.75" customHeight="1">
      <c r="A195" s="225"/>
      <c r="B195" s="218"/>
      <c r="C195" s="218"/>
      <c r="D195" s="218"/>
      <c r="E195" s="218"/>
      <c r="F195" s="218"/>
      <c r="G195" s="218"/>
      <c r="H195" s="218"/>
      <c r="I195" s="218"/>
      <c r="J195" s="218"/>
      <c r="K195" s="218"/>
      <c r="L195" s="218"/>
      <c r="M195" s="218"/>
      <c r="N195" s="218"/>
      <c r="O195" s="218"/>
      <c r="P195" s="218"/>
      <c r="Q195" s="218"/>
      <c r="R195" s="218"/>
      <c r="S195" s="218"/>
      <c r="T195" s="218"/>
      <c r="U195" s="218"/>
      <c r="V195" s="218"/>
      <c r="W195" s="218"/>
      <c r="X195" s="218"/>
      <c r="Y195" s="218"/>
      <c r="Z195" s="218"/>
    </row>
    <row r="196" ht="15.75" customHeight="1">
      <c r="A196" s="225"/>
      <c r="B196" s="218"/>
      <c r="C196" s="218"/>
      <c r="D196" s="218"/>
      <c r="E196" s="218"/>
      <c r="F196" s="218"/>
      <c r="G196" s="218"/>
      <c r="H196" s="218"/>
      <c r="I196" s="218"/>
      <c r="J196" s="218"/>
      <c r="K196" s="218"/>
      <c r="L196" s="218"/>
      <c r="M196" s="218"/>
      <c r="N196" s="218"/>
      <c r="O196" s="218"/>
      <c r="P196" s="218"/>
      <c r="Q196" s="218"/>
      <c r="R196" s="218"/>
      <c r="S196" s="218"/>
      <c r="T196" s="218"/>
      <c r="U196" s="218"/>
      <c r="V196" s="218"/>
      <c r="W196" s="218"/>
      <c r="X196" s="218"/>
      <c r="Y196" s="218"/>
      <c r="Z196" s="218"/>
    </row>
    <row r="197" ht="15.75" customHeight="1">
      <c r="A197" s="225"/>
      <c r="B197" s="218"/>
      <c r="C197" s="218"/>
      <c r="D197" s="218"/>
      <c r="E197" s="218"/>
      <c r="F197" s="218"/>
      <c r="G197" s="218"/>
      <c r="H197" s="218"/>
      <c r="I197" s="218"/>
      <c r="J197" s="218"/>
      <c r="K197" s="218"/>
      <c r="L197" s="218"/>
      <c r="M197" s="218"/>
      <c r="N197" s="218"/>
      <c r="O197" s="218"/>
      <c r="P197" s="218"/>
      <c r="Q197" s="218"/>
      <c r="R197" s="218"/>
      <c r="S197" s="218"/>
      <c r="T197" s="218"/>
      <c r="U197" s="218"/>
      <c r="V197" s="218"/>
      <c r="W197" s="218"/>
      <c r="X197" s="218"/>
      <c r="Y197" s="218"/>
      <c r="Z197" s="218"/>
    </row>
    <row r="198" ht="15.75" customHeight="1">
      <c r="A198" s="225"/>
      <c r="B198" s="218"/>
      <c r="C198" s="218"/>
      <c r="D198" s="218"/>
      <c r="E198" s="218"/>
      <c r="F198" s="218"/>
      <c r="G198" s="218"/>
      <c r="H198" s="218"/>
      <c r="I198" s="218"/>
      <c r="J198" s="218"/>
      <c r="K198" s="218"/>
      <c r="L198" s="218"/>
      <c r="M198" s="218"/>
      <c r="N198" s="218"/>
      <c r="O198" s="218"/>
      <c r="P198" s="218"/>
      <c r="Q198" s="218"/>
      <c r="R198" s="218"/>
      <c r="S198" s="218"/>
      <c r="T198" s="218"/>
      <c r="U198" s="218"/>
      <c r="V198" s="218"/>
      <c r="W198" s="218"/>
      <c r="X198" s="218"/>
      <c r="Y198" s="218"/>
      <c r="Z198" s="218"/>
    </row>
    <row r="199" ht="15.75" customHeight="1">
      <c r="A199" s="225"/>
      <c r="B199" s="218"/>
      <c r="C199" s="218"/>
      <c r="D199" s="218"/>
      <c r="E199" s="218"/>
      <c r="F199" s="218"/>
      <c r="G199" s="218"/>
      <c r="H199" s="218"/>
      <c r="I199" s="218"/>
      <c r="J199" s="218"/>
      <c r="K199" s="218"/>
      <c r="L199" s="218"/>
      <c r="M199" s="218"/>
      <c r="N199" s="218"/>
      <c r="O199" s="218"/>
      <c r="P199" s="218"/>
      <c r="Q199" s="218"/>
      <c r="R199" s="218"/>
      <c r="S199" s="218"/>
      <c r="T199" s="218"/>
      <c r="U199" s="218"/>
      <c r="V199" s="218"/>
      <c r="W199" s="218"/>
      <c r="X199" s="218"/>
      <c r="Y199" s="218"/>
      <c r="Z199" s="218"/>
    </row>
    <row r="200" ht="15.75" customHeight="1">
      <c r="A200" s="225"/>
      <c r="B200" s="218"/>
      <c r="C200" s="218"/>
      <c r="D200" s="218"/>
      <c r="E200" s="218"/>
      <c r="F200" s="218"/>
      <c r="G200" s="218"/>
      <c r="H200" s="218"/>
      <c r="I200" s="218"/>
      <c r="J200" s="218"/>
      <c r="K200" s="218"/>
      <c r="L200" s="218"/>
      <c r="M200" s="218"/>
      <c r="N200" s="218"/>
      <c r="O200" s="218"/>
      <c r="P200" s="218"/>
      <c r="Q200" s="218"/>
      <c r="R200" s="218"/>
      <c r="S200" s="218"/>
      <c r="T200" s="218"/>
      <c r="U200" s="218"/>
      <c r="V200" s="218"/>
      <c r="W200" s="218"/>
      <c r="X200" s="218"/>
      <c r="Y200" s="218"/>
      <c r="Z200" s="218"/>
    </row>
    <row r="201" ht="15.75" customHeight="1">
      <c r="A201" s="225"/>
      <c r="B201" s="218"/>
      <c r="C201" s="218"/>
      <c r="D201" s="218"/>
      <c r="E201" s="218"/>
      <c r="F201" s="218"/>
      <c r="G201" s="218"/>
      <c r="H201" s="218"/>
      <c r="I201" s="218"/>
      <c r="J201" s="218"/>
      <c r="K201" s="218"/>
      <c r="L201" s="218"/>
      <c r="M201" s="218"/>
      <c r="N201" s="218"/>
      <c r="O201" s="218"/>
      <c r="P201" s="218"/>
      <c r="Q201" s="218"/>
      <c r="R201" s="218"/>
      <c r="S201" s="218"/>
      <c r="T201" s="218"/>
      <c r="U201" s="218"/>
      <c r="V201" s="218"/>
      <c r="W201" s="218"/>
      <c r="X201" s="218"/>
      <c r="Y201" s="218"/>
      <c r="Z201" s="218"/>
    </row>
    <row r="202" ht="15.75" customHeight="1">
      <c r="A202" s="225"/>
      <c r="B202" s="218"/>
      <c r="C202" s="218"/>
      <c r="D202" s="218"/>
      <c r="E202" s="218"/>
      <c r="F202" s="218"/>
      <c r="G202" s="218"/>
      <c r="H202" s="218"/>
      <c r="I202" s="218"/>
      <c r="J202" s="218"/>
      <c r="K202" s="218"/>
      <c r="L202" s="218"/>
      <c r="M202" s="218"/>
      <c r="N202" s="218"/>
      <c r="O202" s="218"/>
      <c r="P202" s="218"/>
      <c r="Q202" s="218"/>
      <c r="R202" s="218"/>
      <c r="S202" s="218"/>
      <c r="T202" s="218"/>
      <c r="U202" s="218"/>
      <c r="V202" s="218"/>
      <c r="W202" s="218"/>
      <c r="X202" s="218"/>
      <c r="Y202" s="218"/>
      <c r="Z202" s="218"/>
    </row>
    <row r="203" ht="15.75" customHeight="1">
      <c r="A203" s="225"/>
      <c r="B203" s="218"/>
      <c r="C203" s="218"/>
      <c r="D203" s="218"/>
      <c r="E203" s="218"/>
      <c r="F203" s="218"/>
      <c r="G203" s="218"/>
      <c r="H203" s="218"/>
      <c r="I203" s="218"/>
      <c r="J203" s="218"/>
      <c r="K203" s="218"/>
      <c r="L203" s="218"/>
      <c r="M203" s="218"/>
      <c r="N203" s="218"/>
      <c r="O203" s="218"/>
      <c r="P203" s="218"/>
      <c r="Q203" s="218"/>
      <c r="R203" s="218"/>
      <c r="S203" s="218"/>
      <c r="T203" s="218"/>
      <c r="U203" s="218"/>
      <c r="V203" s="218"/>
      <c r="W203" s="218"/>
      <c r="X203" s="218"/>
      <c r="Y203" s="218"/>
      <c r="Z203" s="218"/>
    </row>
    <row r="204" ht="15.75" customHeight="1">
      <c r="A204" s="225"/>
      <c r="B204" s="218"/>
      <c r="C204" s="218"/>
      <c r="D204" s="218"/>
      <c r="E204" s="218"/>
      <c r="F204" s="218"/>
      <c r="G204" s="218"/>
      <c r="H204" s="218"/>
      <c r="I204" s="218"/>
      <c r="J204" s="218"/>
      <c r="K204" s="218"/>
      <c r="L204" s="218"/>
      <c r="M204" s="218"/>
      <c r="N204" s="218"/>
      <c r="O204" s="218"/>
      <c r="P204" s="218"/>
      <c r="Q204" s="218"/>
      <c r="R204" s="218"/>
      <c r="S204" s="218"/>
      <c r="T204" s="218"/>
      <c r="U204" s="218"/>
      <c r="V204" s="218"/>
      <c r="W204" s="218"/>
      <c r="X204" s="218"/>
      <c r="Y204" s="218"/>
      <c r="Z204" s="218"/>
    </row>
    <row r="205" ht="15.75" customHeight="1">
      <c r="A205" s="225"/>
      <c r="B205" s="218"/>
      <c r="C205" s="218"/>
      <c r="D205" s="218"/>
      <c r="E205" s="218"/>
      <c r="F205" s="218"/>
      <c r="G205" s="218"/>
      <c r="H205" s="218"/>
      <c r="I205" s="218"/>
      <c r="J205" s="218"/>
      <c r="K205" s="218"/>
      <c r="L205" s="218"/>
      <c r="M205" s="218"/>
      <c r="N205" s="218"/>
      <c r="O205" s="218"/>
      <c r="P205" s="218"/>
      <c r="Q205" s="218"/>
      <c r="R205" s="218"/>
      <c r="S205" s="218"/>
      <c r="T205" s="218"/>
      <c r="U205" s="218"/>
      <c r="V205" s="218"/>
      <c r="W205" s="218"/>
      <c r="X205" s="218"/>
      <c r="Y205" s="218"/>
      <c r="Z205" s="218"/>
    </row>
    <row r="206" ht="15.75" customHeight="1">
      <c r="A206" s="225"/>
      <c r="B206" s="218"/>
      <c r="C206" s="218"/>
      <c r="D206" s="218"/>
      <c r="E206" s="218"/>
      <c r="F206" s="218"/>
      <c r="G206" s="218"/>
      <c r="H206" s="218"/>
      <c r="I206" s="218"/>
      <c r="J206" s="218"/>
      <c r="K206" s="218"/>
      <c r="L206" s="218"/>
      <c r="M206" s="218"/>
      <c r="N206" s="218"/>
      <c r="O206" s="218"/>
      <c r="P206" s="218"/>
      <c r="Q206" s="218"/>
      <c r="R206" s="218"/>
      <c r="S206" s="218"/>
      <c r="T206" s="218"/>
      <c r="U206" s="218"/>
      <c r="V206" s="218"/>
      <c r="W206" s="218"/>
      <c r="X206" s="218"/>
      <c r="Y206" s="218"/>
      <c r="Z206" s="218"/>
    </row>
    <row r="207" ht="15.75" customHeight="1">
      <c r="A207" s="225"/>
      <c r="B207" s="218"/>
      <c r="C207" s="218"/>
      <c r="D207" s="218"/>
      <c r="E207" s="218"/>
      <c r="F207" s="218"/>
      <c r="G207" s="218"/>
      <c r="H207" s="218"/>
      <c r="I207" s="218"/>
      <c r="J207" s="218"/>
      <c r="K207" s="218"/>
      <c r="L207" s="218"/>
      <c r="M207" s="218"/>
      <c r="N207" s="218"/>
      <c r="O207" s="218"/>
      <c r="P207" s="218"/>
      <c r="Q207" s="218"/>
      <c r="R207" s="218"/>
      <c r="S207" s="218"/>
      <c r="T207" s="218"/>
      <c r="U207" s="218"/>
      <c r="V207" s="218"/>
      <c r="W207" s="218"/>
      <c r="X207" s="218"/>
      <c r="Y207" s="218"/>
      <c r="Z207" s="218"/>
    </row>
    <row r="208" ht="15.75" customHeight="1">
      <c r="A208" s="225"/>
      <c r="B208" s="218"/>
      <c r="C208" s="218"/>
      <c r="D208" s="218"/>
      <c r="E208" s="218"/>
      <c r="F208" s="218"/>
      <c r="G208" s="218"/>
      <c r="H208" s="218"/>
      <c r="I208" s="218"/>
      <c r="J208" s="218"/>
      <c r="K208" s="218"/>
      <c r="L208" s="218"/>
      <c r="M208" s="218"/>
      <c r="N208" s="218"/>
      <c r="O208" s="218"/>
      <c r="P208" s="218"/>
      <c r="Q208" s="218"/>
      <c r="R208" s="218"/>
      <c r="S208" s="218"/>
      <c r="T208" s="218"/>
      <c r="U208" s="218"/>
      <c r="V208" s="218"/>
      <c r="W208" s="218"/>
      <c r="X208" s="218"/>
      <c r="Y208" s="218"/>
      <c r="Z208" s="218"/>
    </row>
    <row r="209" ht="15.75" customHeight="1">
      <c r="A209" s="225"/>
      <c r="B209" s="218"/>
      <c r="C209" s="218"/>
      <c r="D209" s="218"/>
      <c r="E209" s="218"/>
      <c r="F209" s="218"/>
      <c r="G209" s="218"/>
      <c r="H209" s="218"/>
      <c r="I209" s="218"/>
      <c r="J209" s="218"/>
      <c r="K209" s="218"/>
      <c r="L209" s="218"/>
      <c r="M209" s="218"/>
      <c r="N209" s="218"/>
      <c r="O209" s="218"/>
      <c r="P209" s="218"/>
      <c r="Q209" s="218"/>
      <c r="R209" s="218"/>
      <c r="S209" s="218"/>
      <c r="T209" s="218"/>
      <c r="U209" s="218"/>
      <c r="V209" s="218"/>
      <c r="W209" s="218"/>
      <c r="X209" s="218"/>
      <c r="Y209" s="218"/>
      <c r="Z209" s="218"/>
    </row>
    <row r="210" ht="15.75" customHeight="1">
      <c r="A210" s="225"/>
      <c r="B210" s="218"/>
      <c r="C210" s="218"/>
      <c r="D210" s="218"/>
      <c r="E210" s="218"/>
      <c r="F210" s="218"/>
      <c r="G210" s="218"/>
      <c r="H210" s="218"/>
      <c r="I210" s="218"/>
      <c r="J210" s="218"/>
      <c r="K210" s="218"/>
      <c r="L210" s="218"/>
      <c r="M210" s="218"/>
      <c r="N210" s="218"/>
      <c r="O210" s="218"/>
      <c r="P210" s="218"/>
      <c r="Q210" s="218"/>
      <c r="R210" s="218"/>
      <c r="S210" s="218"/>
      <c r="T210" s="218"/>
      <c r="U210" s="218"/>
      <c r="V210" s="218"/>
      <c r="W210" s="218"/>
      <c r="X210" s="218"/>
      <c r="Y210" s="218"/>
      <c r="Z210" s="218"/>
    </row>
    <row r="211" ht="15.75" customHeight="1">
      <c r="A211" s="225"/>
      <c r="B211" s="218"/>
      <c r="C211" s="218"/>
      <c r="D211" s="218"/>
      <c r="E211" s="218"/>
      <c r="F211" s="218"/>
      <c r="G211" s="218"/>
      <c r="H211" s="218"/>
      <c r="I211" s="218"/>
      <c r="J211" s="218"/>
      <c r="K211" s="218"/>
      <c r="L211" s="218"/>
      <c r="M211" s="218"/>
      <c r="N211" s="218"/>
      <c r="O211" s="218"/>
      <c r="P211" s="218"/>
      <c r="Q211" s="218"/>
      <c r="R211" s="218"/>
      <c r="S211" s="218"/>
      <c r="T211" s="218"/>
      <c r="U211" s="218"/>
      <c r="V211" s="218"/>
      <c r="W211" s="218"/>
      <c r="X211" s="218"/>
      <c r="Y211" s="218"/>
      <c r="Z211" s="218"/>
    </row>
    <row r="212" ht="15.75" customHeight="1">
      <c r="A212" s="225"/>
      <c r="B212" s="218"/>
      <c r="C212" s="218"/>
      <c r="D212" s="218"/>
      <c r="E212" s="218"/>
      <c r="F212" s="218"/>
      <c r="G212" s="218"/>
      <c r="H212" s="218"/>
      <c r="I212" s="218"/>
      <c r="J212" s="218"/>
      <c r="K212" s="218"/>
      <c r="L212" s="218"/>
      <c r="M212" s="218"/>
      <c r="N212" s="218"/>
      <c r="O212" s="218"/>
      <c r="P212" s="218"/>
      <c r="Q212" s="218"/>
      <c r="R212" s="218"/>
      <c r="S212" s="218"/>
      <c r="T212" s="218"/>
      <c r="U212" s="218"/>
      <c r="V212" s="218"/>
      <c r="W212" s="218"/>
      <c r="X212" s="218"/>
      <c r="Y212" s="218"/>
      <c r="Z212" s="218"/>
    </row>
    <row r="213" ht="15.75" customHeight="1">
      <c r="A213" s="225"/>
      <c r="B213" s="218"/>
      <c r="C213" s="218"/>
      <c r="D213" s="218"/>
      <c r="E213" s="218"/>
      <c r="F213" s="218"/>
      <c r="G213" s="218"/>
      <c r="H213" s="218"/>
      <c r="I213" s="218"/>
      <c r="J213" s="218"/>
      <c r="K213" s="218"/>
      <c r="L213" s="218"/>
      <c r="M213" s="218"/>
      <c r="N213" s="218"/>
      <c r="O213" s="218"/>
      <c r="P213" s="218"/>
      <c r="Q213" s="218"/>
      <c r="R213" s="218"/>
      <c r="S213" s="218"/>
      <c r="T213" s="218"/>
      <c r="U213" s="218"/>
      <c r="V213" s="218"/>
      <c r="W213" s="218"/>
      <c r="X213" s="218"/>
      <c r="Y213" s="218"/>
      <c r="Z213" s="218"/>
    </row>
    <row r="214" ht="15.75" customHeight="1">
      <c r="A214" s="225"/>
      <c r="B214" s="218"/>
      <c r="C214" s="218"/>
      <c r="D214" s="218"/>
      <c r="E214" s="218"/>
      <c r="F214" s="218"/>
      <c r="G214" s="218"/>
      <c r="H214" s="218"/>
      <c r="I214" s="218"/>
      <c r="J214" s="218"/>
      <c r="K214" s="218"/>
      <c r="L214" s="218"/>
      <c r="M214" s="218"/>
      <c r="N214" s="218"/>
      <c r="O214" s="218"/>
      <c r="P214" s="218"/>
      <c r="Q214" s="218"/>
      <c r="R214" s="218"/>
      <c r="S214" s="218"/>
      <c r="T214" s="218"/>
      <c r="U214" s="218"/>
      <c r="V214" s="218"/>
      <c r="W214" s="218"/>
      <c r="X214" s="218"/>
      <c r="Y214" s="218"/>
      <c r="Z214" s="218"/>
    </row>
    <row r="215" ht="15.75" customHeight="1">
      <c r="A215" s="225"/>
      <c r="B215" s="218"/>
      <c r="C215" s="218"/>
      <c r="D215" s="218"/>
      <c r="E215" s="218"/>
      <c r="F215" s="218"/>
      <c r="G215" s="218"/>
      <c r="H215" s="218"/>
      <c r="I215" s="218"/>
      <c r="J215" s="218"/>
      <c r="K215" s="218"/>
      <c r="L215" s="218"/>
      <c r="M215" s="218"/>
      <c r="N215" s="218"/>
      <c r="O215" s="218"/>
      <c r="P215" s="218"/>
      <c r="Q215" s="218"/>
      <c r="R215" s="218"/>
      <c r="S215" s="218"/>
      <c r="T215" s="218"/>
      <c r="U215" s="218"/>
      <c r="V215" s="218"/>
      <c r="W215" s="218"/>
      <c r="X215" s="218"/>
      <c r="Y215" s="218"/>
      <c r="Z215" s="218"/>
    </row>
    <row r="216" ht="15.75" customHeight="1">
      <c r="A216" s="225"/>
      <c r="B216" s="218"/>
      <c r="C216" s="218"/>
      <c r="D216" s="218"/>
      <c r="E216" s="218"/>
      <c r="F216" s="218"/>
      <c r="G216" s="218"/>
      <c r="H216" s="218"/>
      <c r="I216" s="218"/>
      <c r="J216" s="218"/>
      <c r="K216" s="218"/>
      <c r="L216" s="218"/>
      <c r="M216" s="218"/>
      <c r="N216" s="218"/>
      <c r="O216" s="218"/>
      <c r="P216" s="218"/>
      <c r="Q216" s="218"/>
      <c r="R216" s="218"/>
      <c r="S216" s="218"/>
      <c r="T216" s="218"/>
      <c r="U216" s="218"/>
      <c r="V216" s="218"/>
      <c r="W216" s="218"/>
      <c r="X216" s="218"/>
      <c r="Y216" s="218"/>
      <c r="Z216" s="218"/>
    </row>
    <row r="217" ht="15.75" customHeight="1">
      <c r="A217" s="225"/>
      <c r="B217" s="218"/>
      <c r="C217" s="218"/>
      <c r="D217" s="218"/>
      <c r="E217" s="218"/>
      <c r="F217" s="218"/>
      <c r="G217" s="218"/>
      <c r="H217" s="218"/>
      <c r="I217" s="218"/>
      <c r="J217" s="218"/>
      <c r="K217" s="218"/>
      <c r="L217" s="218"/>
      <c r="M217" s="218"/>
      <c r="N217" s="218"/>
      <c r="O217" s="218"/>
      <c r="P217" s="218"/>
      <c r="Q217" s="218"/>
      <c r="R217" s="218"/>
      <c r="S217" s="218"/>
      <c r="T217" s="218"/>
      <c r="U217" s="218"/>
      <c r="V217" s="218"/>
      <c r="W217" s="218"/>
      <c r="X217" s="218"/>
      <c r="Y217" s="218"/>
      <c r="Z217" s="218"/>
    </row>
    <row r="218" ht="15.75" customHeight="1">
      <c r="A218" s="225"/>
      <c r="B218" s="218"/>
      <c r="C218" s="218"/>
      <c r="D218" s="218"/>
      <c r="E218" s="218"/>
      <c r="F218" s="218"/>
      <c r="G218" s="218"/>
      <c r="H218" s="218"/>
      <c r="I218" s="218"/>
      <c r="J218" s="218"/>
      <c r="K218" s="218"/>
      <c r="L218" s="218"/>
      <c r="M218" s="218"/>
      <c r="N218" s="218"/>
      <c r="O218" s="218"/>
      <c r="P218" s="218"/>
      <c r="Q218" s="218"/>
      <c r="R218" s="218"/>
      <c r="S218" s="218"/>
      <c r="T218" s="218"/>
      <c r="U218" s="218"/>
      <c r="V218" s="218"/>
      <c r="W218" s="218"/>
      <c r="X218" s="218"/>
      <c r="Y218" s="218"/>
      <c r="Z218" s="218"/>
    </row>
    <row r="219" ht="15.75" customHeight="1">
      <c r="A219" s="225"/>
      <c r="B219" s="218"/>
      <c r="C219" s="218"/>
      <c r="D219" s="218"/>
      <c r="E219" s="218"/>
      <c r="F219" s="218"/>
      <c r="G219" s="218"/>
      <c r="H219" s="218"/>
      <c r="I219" s="218"/>
      <c r="J219" s="218"/>
      <c r="K219" s="218"/>
      <c r="L219" s="218"/>
      <c r="M219" s="218"/>
      <c r="N219" s="218"/>
      <c r="O219" s="218"/>
      <c r="P219" s="218"/>
      <c r="Q219" s="218"/>
      <c r="R219" s="218"/>
      <c r="S219" s="218"/>
      <c r="T219" s="218"/>
      <c r="U219" s="218"/>
      <c r="V219" s="218"/>
      <c r="W219" s="218"/>
      <c r="X219" s="218"/>
      <c r="Y219" s="218"/>
      <c r="Z219" s="218"/>
    </row>
    <row r="220" ht="15.75" customHeight="1">
      <c r="A220" s="225"/>
      <c r="B220" s="218"/>
      <c r="C220" s="218"/>
      <c r="D220" s="218"/>
      <c r="E220" s="218"/>
      <c r="F220" s="218"/>
      <c r="G220" s="218"/>
      <c r="H220" s="218"/>
      <c r="I220" s="218"/>
      <c r="J220" s="218"/>
      <c r="K220" s="218"/>
      <c r="L220" s="218"/>
      <c r="M220" s="218"/>
      <c r="N220" s="218"/>
      <c r="O220" s="218"/>
      <c r="P220" s="218"/>
      <c r="Q220" s="218"/>
      <c r="R220" s="218"/>
      <c r="S220" s="218"/>
      <c r="T220" s="218"/>
      <c r="U220" s="218"/>
      <c r="V220" s="218"/>
      <c r="W220" s="218"/>
      <c r="X220" s="218"/>
      <c r="Y220" s="218"/>
      <c r="Z220" s="218"/>
    </row>
    <row r="221" ht="15.75" customHeight="1">
      <c r="A221" s="225"/>
      <c r="B221" s="218"/>
      <c r="C221" s="218"/>
      <c r="D221" s="218"/>
      <c r="E221" s="218"/>
      <c r="F221" s="218"/>
      <c r="G221" s="218"/>
      <c r="H221" s="218"/>
      <c r="I221" s="218"/>
      <c r="J221" s="218"/>
      <c r="K221" s="218"/>
      <c r="L221" s="218"/>
      <c r="M221" s="218"/>
      <c r="N221" s="218"/>
      <c r="O221" s="218"/>
      <c r="P221" s="218"/>
      <c r="Q221" s="218"/>
      <c r="R221" s="218"/>
      <c r="S221" s="218"/>
      <c r="T221" s="218"/>
      <c r="U221" s="218"/>
      <c r="V221" s="218"/>
      <c r="W221" s="218"/>
      <c r="X221" s="218"/>
      <c r="Y221" s="218"/>
      <c r="Z221" s="218"/>
    </row>
    <row r="222" ht="15.75" customHeight="1">
      <c r="A222" s="225"/>
      <c r="B222" s="218"/>
      <c r="C222" s="218"/>
      <c r="D222" s="218"/>
      <c r="E222" s="218"/>
      <c r="F222" s="218"/>
      <c r="G222" s="218"/>
      <c r="H222" s="218"/>
      <c r="I222" s="218"/>
      <c r="J222" s="218"/>
      <c r="K222" s="218"/>
      <c r="L222" s="218"/>
      <c r="M222" s="218"/>
      <c r="N222" s="218"/>
      <c r="O222" s="218"/>
      <c r="P222" s="218"/>
      <c r="Q222" s="218"/>
      <c r="R222" s="218"/>
      <c r="S222" s="218"/>
      <c r="T222" s="218"/>
      <c r="U222" s="218"/>
      <c r="V222" s="218"/>
      <c r="W222" s="218"/>
      <c r="X222" s="218"/>
      <c r="Y222" s="218"/>
      <c r="Z222" s="218"/>
    </row>
    <row r="223" ht="15.75" customHeight="1">
      <c r="A223" s="225"/>
      <c r="B223" s="218"/>
      <c r="C223" s="218"/>
      <c r="D223" s="218"/>
      <c r="E223" s="218"/>
      <c r="F223" s="218"/>
      <c r="G223" s="218"/>
      <c r="H223" s="218"/>
      <c r="I223" s="218"/>
      <c r="J223" s="218"/>
      <c r="K223" s="218"/>
      <c r="L223" s="218"/>
      <c r="M223" s="218"/>
      <c r="N223" s="218"/>
      <c r="O223" s="218"/>
      <c r="P223" s="218"/>
      <c r="Q223" s="218"/>
      <c r="R223" s="218"/>
      <c r="S223" s="218"/>
      <c r="T223" s="218"/>
      <c r="U223" s="218"/>
      <c r="V223" s="218"/>
      <c r="W223" s="218"/>
      <c r="X223" s="218"/>
      <c r="Y223" s="218"/>
      <c r="Z223" s="218"/>
    </row>
    <row r="224" ht="15.75" customHeight="1">
      <c r="A224" s="225"/>
      <c r="B224" s="218"/>
      <c r="C224" s="218"/>
      <c r="D224" s="218"/>
      <c r="E224" s="218"/>
      <c r="F224" s="218"/>
      <c r="G224" s="218"/>
      <c r="H224" s="218"/>
      <c r="I224" s="218"/>
      <c r="J224" s="218"/>
      <c r="K224" s="218"/>
      <c r="L224" s="218"/>
      <c r="M224" s="218"/>
      <c r="N224" s="218"/>
      <c r="O224" s="218"/>
      <c r="P224" s="218"/>
      <c r="Q224" s="218"/>
      <c r="R224" s="218"/>
      <c r="S224" s="218"/>
      <c r="T224" s="218"/>
      <c r="U224" s="218"/>
      <c r="V224" s="218"/>
      <c r="W224" s="218"/>
      <c r="X224" s="218"/>
      <c r="Y224" s="218"/>
      <c r="Z224" s="218"/>
    </row>
    <row r="225" ht="15.75" customHeight="1">
      <c r="A225" s="225"/>
      <c r="B225" s="218"/>
      <c r="C225" s="218"/>
      <c r="D225" s="218"/>
      <c r="E225" s="218"/>
      <c r="F225" s="218"/>
      <c r="G225" s="218"/>
      <c r="H225" s="218"/>
      <c r="I225" s="218"/>
      <c r="J225" s="218"/>
      <c r="K225" s="218"/>
      <c r="L225" s="218"/>
      <c r="M225" s="218"/>
      <c r="N225" s="218"/>
      <c r="O225" s="218"/>
      <c r="P225" s="218"/>
      <c r="Q225" s="218"/>
      <c r="R225" s="218"/>
      <c r="S225" s="218"/>
      <c r="T225" s="218"/>
      <c r="U225" s="218"/>
      <c r="V225" s="218"/>
      <c r="W225" s="218"/>
      <c r="X225" s="218"/>
      <c r="Y225" s="218"/>
      <c r="Z225" s="218"/>
    </row>
    <row r="226" ht="15.75" customHeight="1">
      <c r="A226" s="225"/>
      <c r="B226" s="218"/>
      <c r="C226" s="218"/>
      <c r="D226" s="218"/>
      <c r="E226" s="218"/>
      <c r="F226" s="218"/>
      <c r="G226" s="218"/>
      <c r="H226" s="218"/>
      <c r="I226" s="218"/>
      <c r="J226" s="218"/>
      <c r="K226" s="218"/>
      <c r="L226" s="218"/>
      <c r="M226" s="218"/>
      <c r="N226" s="218"/>
      <c r="O226" s="218"/>
      <c r="P226" s="218"/>
      <c r="Q226" s="218"/>
      <c r="R226" s="218"/>
      <c r="S226" s="218"/>
      <c r="T226" s="218"/>
      <c r="U226" s="218"/>
      <c r="V226" s="218"/>
      <c r="W226" s="218"/>
      <c r="X226" s="218"/>
      <c r="Y226" s="218"/>
      <c r="Z226" s="218"/>
    </row>
    <row r="227" ht="15.75" customHeight="1">
      <c r="A227" s="225"/>
      <c r="B227" s="218"/>
      <c r="C227" s="218"/>
      <c r="D227" s="218"/>
      <c r="E227" s="218"/>
      <c r="F227" s="218"/>
      <c r="G227" s="218"/>
      <c r="H227" s="218"/>
      <c r="I227" s="218"/>
      <c r="J227" s="218"/>
      <c r="K227" s="218"/>
      <c r="L227" s="218"/>
      <c r="M227" s="218"/>
      <c r="N227" s="218"/>
      <c r="O227" s="218"/>
      <c r="P227" s="218"/>
      <c r="Q227" s="218"/>
      <c r="R227" s="218"/>
      <c r="S227" s="218"/>
      <c r="T227" s="218"/>
      <c r="U227" s="218"/>
      <c r="V227" s="218"/>
      <c r="W227" s="218"/>
      <c r="X227" s="218"/>
      <c r="Y227" s="218"/>
      <c r="Z227" s="218"/>
    </row>
    <row r="228" ht="15.75" customHeight="1">
      <c r="A228" s="225"/>
      <c r="B228" s="218"/>
      <c r="C228" s="218"/>
      <c r="D228" s="218"/>
      <c r="E228" s="218"/>
      <c r="F228" s="218"/>
      <c r="G228" s="218"/>
      <c r="H228" s="218"/>
      <c r="I228" s="218"/>
      <c r="J228" s="218"/>
      <c r="K228" s="218"/>
      <c r="L228" s="218"/>
      <c r="M228" s="218"/>
      <c r="N228" s="218"/>
      <c r="O228" s="218"/>
      <c r="P228" s="218"/>
      <c r="Q228" s="218"/>
      <c r="R228" s="218"/>
      <c r="S228" s="218"/>
      <c r="T228" s="218"/>
      <c r="U228" s="218"/>
      <c r="V228" s="218"/>
      <c r="W228" s="218"/>
      <c r="X228" s="218"/>
      <c r="Y228" s="218"/>
      <c r="Z228" s="218"/>
    </row>
    <row r="229" ht="15.75" customHeight="1">
      <c r="A229" s="225"/>
      <c r="B229" s="218"/>
      <c r="C229" s="218"/>
      <c r="D229" s="218"/>
      <c r="E229" s="218"/>
      <c r="F229" s="218"/>
      <c r="G229" s="218"/>
      <c r="H229" s="218"/>
      <c r="I229" s="218"/>
      <c r="J229" s="218"/>
      <c r="K229" s="218"/>
      <c r="L229" s="218"/>
      <c r="M229" s="218"/>
      <c r="N229" s="218"/>
      <c r="O229" s="218"/>
      <c r="P229" s="218"/>
      <c r="Q229" s="218"/>
      <c r="R229" s="218"/>
      <c r="S229" s="218"/>
      <c r="T229" s="218"/>
      <c r="U229" s="218"/>
      <c r="V229" s="218"/>
      <c r="W229" s="218"/>
      <c r="X229" s="218"/>
      <c r="Y229" s="218"/>
      <c r="Z229" s="218"/>
    </row>
    <row r="230" ht="15.75" customHeight="1">
      <c r="A230" s="225"/>
      <c r="B230" s="218"/>
      <c r="C230" s="218"/>
      <c r="D230" s="218"/>
      <c r="E230" s="218"/>
      <c r="F230" s="218"/>
      <c r="G230" s="218"/>
      <c r="H230" s="218"/>
      <c r="I230" s="218"/>
      <c r="J230" s="218"/>
      <c r="K230" s="218"/>
      <c r="L230" s="218"/>
      <c r="M230" s="218"/>
      <c r="N230" s="218"/>
      <c r="O230" s="218"/>
      <c r="P230" s="218"/>
      <c r="Q230" s="218"/>
      <c r="R230" s="218"/>
      <c r="S230" s="218"/>
      <c r="T230" s="218"/>
      <c r="U230" s="218"/>
      <c r="V230" s="218"/>
      <c r="W230" s="218"/>
      <c r="X230" s="218"/>
      <c r="Y230" s="218"/>
      <c r="Z230" s="218"/>
    </row>
    <row r="231" ht="15.75" customHeight="1">
      <c r="A231" s="225"/>
      <c r="B231" s="218"/>
      <c r="C231" s="218"/>
      <c r="D231" s="218"/>
      <c r="E231" s="218"/>
      <c r="F231" s="218"/>
      <c r="G231" s="218"/>
      <c r="H231" s="218"/>
      <c r="I231" s="218"/>
      <c r="J231" s="218"/>
      <c r="K231" s="218"/>
      <c r="L231" s="218"/>
      <c r="M231" s="218"/>
      <c r="N231" s="218"/>
      <c r="O231" s="218"/>
      <c r="P231" s="218"/>
      <c r="Q231" s="218"/>
      <c r="R231" s="218"/>
      <c r="S231" s="218"/>
      <c r="T231" s="218"/>
      <c r="U231" s="218"/>
      <c r="V231" s="218"/>
      <c r="W231" s="218"/>
      <c r="X231" s="218"/>
      <c r="Y231" s="218"/>
      <c r="Z231" s="218"/>
    </row>
    <row r="232" ht="15.75" customHeight="1">
      <c r="A232" s="225"/>
      <c r="B232" s="218"/>
      <c r="C232" s="218"/>
      <c r="D232" s="218"/>
      <c r="E232" s="218"/>
      <c r="F232" s="218"/>
      <c r="G232" s="218"/>
      <c r="H232" s="218"/>
      <c r="I232" s="218"/>
      <c r="J232" s="218"/>
      <c r="K232" s="218"/>
      <c r="L232" s="218"/>
      <c r="M232" s="218"/>
      <c r="N232" s="218"/>
      <c r="O232" s="218"/>
      <c r="P232" s="218"/>
      <c r="Q232" s="218"/>
      <c r="R232" s="218"/>
      <c r="S232" s="218"/>
      <c r="T232" s="218"/>
      <c r="U232" s="218"/>
      <c r="V232" s="218"/>
      <c r="W232" s="218"/>
      <c r="X232" s="218"/>
      <c r="Y232" s="218"/>
      <c r="Z232" s="218"/>
    </row>
    <row r="233" ht="15.75" customHeight="1">
      <c r="A233" s="225"/>
      <c r="B233" s="218"/>
      <c r="C233" s="218"/>
      <c r="D233" s="218"/>
      <c r="E233" s="218"/>
      <c r="F233" s="218"/>
      <c r="G233" s="218"/>
      <c r="H233" s="218"/>
      <c r="I233" s="218"/>
      <c r="J233" s="218"/>
      <c r="K233" s="218"/>
      <c r="L233" s="218"/>
      <c r="M233" s="218"/>
      <c r="N233" s="218"/>
      <c r="O233" s="218"/>
      <c r="P233" s="218"/>
      <c r="Q233" s="218"/>
      <c r="R233" s="218"/>
      <c r="S233" s="218"/>
      <c r="T233" s="218"/>
      <c r="U233" s="218"/>
      <c r="V233" s="218"/>
      <c r="W233" s="218"/>
      <c r="X233" s="218"/>
      <c r="Y233" s="218"/>
      <c r="Z233" s="218"/>
    </row>
    <row r="234" ht="15.75" customHeight="1">
      <c r="A234" s="225"/>
      <c r="B234" s="218"/>
      <c r="C234" s="218"/>
      <c r="D234" s="218"/>
      <c r="E234" s="218"/>
      <c r="F234" s="218"/>
      <c r="G234" s="218"/>
      <c r="H234" s="218"/>
      <c r="I234" s="218"/>
      <c r="J234" s="218"/>
      <c r="K234" s="218"/>
      <c r="L234" s="218"/>
      <c r="M234" s="218"/>
      <c r="N234" s="218"/>
      <c r="O234" s="218"/>
      <c r="P234" s="218"/>
      <c r="Q234" s="218"/>
      <c r="R234" s="218"/>
      <c r="S234" s="218"/>
      <c r="T234" s="218"/>
      <c r="U234" s="218"/>
      <c r="V234" s="218"/>
      <c r="W234" s="218"/>
      <c r="X234" s="218"/>
      <c r="Y234" s="218"/>
      <c r="Z234" s="218"/>
    </row>
    <row r="235" ht="15.75" customHeight="1">
      <c r="A235" s="225"/>
      <c r="B235" s="218"/>
      <c r="C235" s="218"/>
      <c r="D235" s="218"/>
      <c r="E235" s="218"/>
      <c r="F235" s="218"/>
      <c r="G235" s="218"/>
      <c r="H235" s="218"/>
      <c r="I235" s="218"/>
      <c r="J235" s="218"/>
      <c r="K235" s="218"/>
      <c r="L235" s="218"/>
      <c r="M235" s="218"/>
      <c r="N235" s="218"/>
      <c r="O235" s="218"/>
      <c r="P235" s="218"/>
      <c r="Q235" s="218"/>
      <c r="R235" s="218"/>
      <c r="S235" s="218"/>
      <c r="T235" s="218"/>
      <c r="U235" s="218"/>
      <c r="V235" s="218"/>
      <c r="W235" s="218"/>
      <c r="X235" s="218"/>
      <c r="Y235" s="218"/>
      <c r="Z235" s="218"/>
    </row>
    <row r="236" ht="15.75" customHeight="1">
      <c r="A236" s="225"/>
      <c r="B236" s="218"/>
      <c r="C236" s="218"/>
      <c r="D236" s="218"/>
      <c r="E236" s="218"/>
      <c r="F236" s="218"/>
      <c r="G236" s="218"/>
      <c r="H236" s="218"/>
      <c r="I236" s="218"/>
      <c r="J236" s="218"/>
      <c r="K236" s="218"/>
      <c r="L236" s="218"/>
      <c r="M236" s="218"/>
      <c r="N236" s="218"/>
      <c r="O236" s="218"/>
      <c r="P236" s="218"/>
      <c r="Q236" s="218"/>
      <c r="R236" s="218"/>
      <c r="S236" s="218"/>
      <c r="T236" s="218"/>
      <c r="U236" s="218"/>
      <c r="V236" s="218"/>
      <c r="W236" s="218"/>
      <c r="X236" s="218"/>
      <c r="Y236" s="218"/>
      <c r="Z236" s="218"/>
    </row>
    <row r="237" ht="15.75" customHeight="1">
      <c r="A237" s="225"/>
      <c r="B237" s="218"/>
      <c r="C237" s="218"/>
      <c r="D237" s="218"/>
      <c r="E237" s="218"/>
      <c r="F237" s="218"/>
      <c r="G237" s="218"/>
      <c r="H237" s="218"/>
      <c r="I237" s="218"/>
      <c r="J237" s="218"/>
      <c r="K237" s="218"/>
      <c r="L237" s="218"/>
      <c r="M237" s="218"/>
      <c r="N237" s="218"/>
      <c r="O237" s="218"/>
      <c r="P237" s="218"/>
      <c r="Q237" s="218"/>
      <c r="R237" s="218"/>
      <c r="S237" s="218"/>
      <c r="T237" s="218"/>
      <c r="U237" s="218"/>
      <c r="V237" s="218"/>
      <c r="W237" s="218"/>
      <c r="X237" s="218"/>
      <c r="Y237" s="218"/>
      <c r="Z237" s="218"/>
    </row>
    <row r="238" ht="15.75" customHeight="1">
      <c r="A238" s="225"/>
      <c r="B238" s="218"/>
      <c r="C238" s="218"/>
      <c r="D238" s="218"/>
      <c r="E238" s="218"/>
      <c r="F238" s="218"/>
      <c r="G238" s="218"/>
      <c r="H238" s="218"/>
      <c r="I238" s="218"/>
      <c r="J238" s="218"/>
      <c r="K238" s="218"/>
      <c r="L238" s="218"/>
      <c r="M238" s="218"/>
      <c r="N238" s="218"/>
      <c r="O238" s="218"/>
      <c r="P238" s="218"/>
      <c r="Q238" s="218"/>
      <c r="R238" s="218"/>
      <c r="S238" s="218"/>
      <c r="T238" s="218"/>
      <c r="U238" s="218"/>
      <c r="V238" s="218"/>
      <c r="W238" s="218"/>
      <c r="X238" s="218"/>
      <c r="Y238" s="218"/>
      <c r="Z238" s="218"/>
    </row>
    <row r="239" ht="15.75" customHeight="1">
      <c r="A239" s="225"/>
      <c r="B239" s="218"/>
      <c r="C239" s="218"/>
      <c r="D239" s="218"/>
      <c r="E239" s="218"/>
      <c r="F239" s="218"/>
      <c r="G239" s="218"/>
      <c r="H239" s="218"/>
      <c r="I239" s="218"/>
      <c r="J239" s="218"/>
      <c r="K239" s="218"/>
      <c r="L239" s="218"/>
      <c r="M239" s="218"/>
      <c r="N239" s="218"/>
      <c r="O239" s="218"/>
      <c r="P239" s="218"/>
      <c r="Q239" s="218"/>
      <c r="R239" s="218"/>
      <c r="S239" s="218"/>
      <c r="T239" s="218"/>
      <c r="U239" s="218"/>
      <c r="V239" s="218"/>
      <c r="W239" s="218"/>
      <c r="X239" s="218"/>
      <c r="Y239" s="218"/>
      <c r="Z239" s="218"/>
    </row>
    <row r="240" ht="15.75" customHeight="1">
      <c r="A240" s="225"/>
      <c r="B240" s="218"/>
      <c r="C240" s="218"/>
      <c r="D240" s="218"/>
      <c r="E240" s="218"/>
      <c r="F240" s="218"/>
      <c r="G240" s="218"/>
      <c r="H240" s="218"/>
      <c r="I240" s="218"/>
      <c r="J240" s="218"/>
      <c r="K240" s="218"/>
      <c r="L240" s="218"/>
      <c r="M240" s="218"/>
      <c r="N240" s="218"/>
      <c r="O240" s="218"/>
      <c r="P240" s="218"/>
      <c r="Q240" s="218"/>
      <c r="R240" s="218"/>
      <c r="S240" s="218"/>
      <c r="T240" s="218"/>
      <c r="U240" s="218"/>
      <c r="V240" s="218"/>
      <c r="W240" s="218"/>
      <c r="X240" s="218"/>
      <c r="Y240" s="218"/>
      <c r="Z240" s="218"/>
    </row>
    <row r="241" ht="15.75" customHeight="1">
      <c r="A241" s="225"/>
      <c r="B241" s="218"/>
      <c r="C241" s="218"/>
      <c r="D241" s="218"/>
      <c r="E241" s="218"/>
      <c r="F241" s="218"/>
      <c r="G241" s="218"/>
      <c r="H241" s="218"/>
      <c r="I241" s="218"/>
      <c r="J241" s="218"/>
      <c r="K241" s="218"/>
      <c r="L241" s="218"/>
      <c r="M241" s="218"/>
      <c r="N241" s="218"/>
      <c r="O241" s="218"/>
      <c r="P241" s="218"/>
      <c r="Q241" s="218"/>
      <c r="R241" s="218"/>
      <c r="S241" s="218"/>
      <c r="T241" s="218"/>
      <c r="U241" s="218"/>
      <c r="V241" s="218"/>
      <c r="W241" s="218"/>
      <c r="X241" s="218"/>
      <c r="Y241" s="218"/>
      <c r="Z241" s="218"/>
    </row>
    <row r="242" ht="15.75" customHeight="1">
      <c r="A242" s="225"/>
      <c r="B242" s="218"/>
      <c r="C242" s="218"/>
      <c r="D242" s="218"/>
      <c r="E242" s="218"/>
      <c r="F242" s="218"/>
      <c r="G242" s="218"/>
      <c r="H242" s="218"/>
      <c r="I242" s="218"/>
      <c r="J242" s="218"/>
      <c r="K242" s="218"/>
      <c r="L242" s="218"/>
      <c r="M242" s="218"/>
      <c r="N242" s="218"/>
      <c r="O242" s="218"/>
      <c r="P242" s="218"/>
      <c r="Q242" s="218"/>
      <c r="R242" s="218"/>
      <c r="S242" s="218"/>
      <c r="T242" s="218"/>
      <c r="U242" s="218"/>
      <c r="V242" s="218"/>
      <c r="W242" s="218"/>
      <c r="X242" s="218"/>
      <c r="Y242" s="218"/>
      <c r="Z242" s="218"/>
    </row>
    <row r="243" ht="15.75" customHeight="1">
      <c r="A243" s="225"/>
      <c r="B243" s="218"/>
      <c r="C243" s="218"/>
      <c r="D243" s="218"/>
      <c r="E243" s="218"/>
      <c r="F243" s="218"/>
      <c r="G243" s="218"/>
      <c r="H243" s="218"/>
      <c r="I243" s="218"/>
      <c r="J243" s="218"/>
      <c r="K243" s="218"/>
      <c r="L243" s="218"/>
      <c r="M243" s="218"/>
      <c r="N243" s="218"/>
      <c r="O243" s="218"/>
      <c r="P243" s="218"/>
      <c r="Q243" s="218"/>
      <c r="R243" s="218"/>
      <c r="S243" s="218"/>
      <c r="T243" s="218"/>
      <c r="U243" s="218"/>
      <c r="V243" s="218"/>
      <c r="W243" s="218"/>
      <c r="X243" s="218"/>
      <c r="Y243" s="218"/>
      <c r="Z243" s="218"/>
    </row>
    <row r="244" ht="15.75" customHeight="1">
      <c r="A244" s="225"/>
      <c r="B244" s="218"/>
      <c r="C244" s="218"/>
      <c r="D244" s="218"/>
      <c r="E244" s="218"/>
      <c r="F244" s="218"/>
      <c r="G244" s="218"/>
      <c r="H244" s="218"/>
      <c r="I244" s="218"/>
      <c r="J244" s="218"/>
      <c r="K244" s="218"/>
      <c r="L244" s="218"/>
      <c r="M244" s="218"/>
      <c r="N244" s="218"/>
      <c r="O244" s="218"/>
      <c r="P244" s="218"/>
      <c r="Q244" s="218"/>
      <c r="R244" s="218"/>
      <c r="S244" s="218"/>
      <c r="T244" s="218"/>
      <c r="U244" s="218"/>
      <c r="V244" s="218"/>
      <c r="W244" s="218"/>
      <c r="X244" s="218"/>
      <c r="Y244" s="218"/>
      <c r="Z244" s="218"/>
    </row>
    <row r="245" ht="15.75" customHeight="1">
      <c r="A245" s="225"/>
      <c r="B245" s="218"/>
      <c r="C245" s="218"/>
      <c r="D245" s="218"/>
      <c r="E245" s="218"/>
      <c r="F245" s="218"/>
      <c r="G245" s="218"/>
      <c r="H245" s="218"/>
      <c r="I245" s="218"/>
      <c r="J245" s="218"/>
      <c r="K245" s="218"/>
      <c r="L245" s="218"/>
      <c r="M245" s="218"/>
      <c r="N245" s="218"/>
      <c r="O245" s="218"/>
      <c r="P245" s="218"/>
      <c r="Q245" s="218"/>
      <c r="R245" s="218"/>
      <c r="S245" s="218"/>
      <c r="T245" s="218"/>
      <c r="U245" s="218"/>
      <c r="V245" s="218"/>
      <c r="W245" s="218"/>
      <c r="X245" s="218"/>
      <c r="Y245" s="218"/>
      <c r="Z245" s="218"/>
    </row>
    <row r="246" ht="15.75" customHeight="1">
      <c r="A246" s="225"/>
      <c r="B246" s="218"/>
      <c r="C246" s="218"/>
      <c r="D246" s="218"/>
      <c r="E246" s="218"/>
      <c r="F246" s="218"/>
      <c r="G246" s="218"/>
      <c r="H246" s="218"/>
      <c r="I246" s="218"/>
      <c r="J246" s="218"/>
      <c r="K246" s="218"/>
      <c r="L246" s="218"/>
      <c r="M246" s="218"/>
      <c r="N246" s="218"/>
      <c r="O246" s="218"/>
      <c r="P246" s="218"/>
      <c r="Q246" s="218"/>
      <c r="R246" s="218"/>
      <c r="S246" s="218"/>
      <c r="T246" s="218"/>
      <c r="U246" s="218"/>
      <c r="V246" s="218"/>
      <c r="W246" s="218"/>
      <c r="X246" s="218"/>
      <c r="Y246" s="218"/>
      <c r="Z246" s="218"/>
    </row>
    <row r="247" ht="15.75" customHeight="1">
      <c r="A247" s="225"/>
      <c r="B247" s="218"/>
      <c r="C247" s="218"/>
      <c r="D247" s="218"/>
      <c r="E247" s="218"/>
      <c r="F247" s="218"/>
      <c r="G247" s="218"/>
      <c r="H247" s="218"/>
      <c r="I247" s="218"/>
      <c r="J247" s="218"/>
      <c r="K247" s="218"/>
      <c r="L247" s="218"/>
      <c r="M247" s="218"/>
      <c r="N247" s="218"/>
      <c r="O247" s="218"/>
      <c r="P247" s="218"/>
      <c r="Q247" s="218"/>
      <c r="R247" s="218"/>
      <c r="S247" s="218"/>
      <c r="T247" s="218"/>
      <c r="U247" s="218"/>
      <c r="V247" s="218"/>
      <c r="W247" s="218"/>
      <c r="X247" s="218"/>
      <c r="Y247" s="218"/>
      <c r="Z247" s="218"/>
    </row>
    <row r="248" ht="15.75" customHeight="1">
      <c r="A248" s="225"/>
      <c r="B248" s="218"/>
      <c r="C248" s="218"/>
      <c r="D248" s="218"/>
      <c r="E248" s="218"/>
      <c r="F248" s="218"/>
      <c r="G248" s="218"/>
      <c r="H248" s="218"/>
      <c r="I248" s="218"/>
      <c r="J248" s="218"/>
      <c r="K248" s="218"/>
      <c r="L248" s="218"/>
      <c r="M248" s="218"/>
      <c r="N248" s="218"/>
      <c r="O248" s="218"/>
      <c r="P248" s="218"/>
      <c r="Q248" s="218"/>
      <c r="R248" s="218"/>
      <c r="S248" s="218"/>
      <c r="T248" s="218"/>
      <c r="U248" s="218"/>
      <c r="V248" s="218"/>
      <c r="W248" s="218"/>
      <c r="X248" s="218"/>
      <c r="Y248" s="218"/>
      <c r="Z248" s="218"/>
    </row>
    <row r="249" ht="15.75" customHeight="1">
      <c r="A249" s="225"/>
      <c r="B249" s="218"/>
      <c r="C249" s="218"/>
      <c r="D249" s="218"/>
      <c r="E249" s="218"/>
      <c r="F249" s="218"/>
      <c r="G249" s="218"/>
      <c r="H249" s="218"/>
      <c r="I249" s="218"/>
      <c r="J249" s="218"/>
      <c r="K249" s="218"/>
      <c r="L249" s="218"/>
      <c r="M249" s="218"/>
      <c r="N249" s="218"/>
      <c r="O249" s="218"/>
      <c r="P249" s="218"/>
      <c r="Q249" s="218"/>
      <c r="R249" s="218"/>
      <c r="S249" s="218"/>
      <c r="T249" s="218"/>
      <c r="U249" s="218"/>
      <c r="V249" s="218"/>
      <c r="W249" s="218"/>
      <c r="X249" s="218"/>
      <c r="Y249" s="218"/>
      <c r="Z249" s="218"/>
    </row>
    <row r="250" ht="15.75" customHeight="1">
      <c r="A250" s="225"/>
      <c r="B250" s="218"/>
      <c r="C250" s="218"/>
      <c r="D250" s="218"/>
      <c r="E250" s="218"/>
      <c r="F250" s="218"/>
      <c r="G250" s="218"/>
      <c r="H250" s="218"/>
      <c r="I250" s="218"/>
      <c r="J250" s="218"/>
      <c r="K250" s="218"/>
      <c r="L250" s="218"/>
      <c r="M250" s="218"/>
      <c r="N250" s="218"/>
      <c r="O250" s="218"/>
      <c r="P250" s="218"/>
      <c r="Q250" s="218"/>
      <c r="R250" s="218"/>
      <c r="S250" s="218"/>
      <c r="T250" s="218"/>
      <c r="U250" s="218"/>
      <c r="V250" s="218"/>
      <c r="W250" s="218"/>
      <c r="X250" s="218"/>
      <c r="Y250" s="218"/>
      <c r="Z250" s="218"/>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88"/>
    <col customWidth="1" min="2" max="2" width="6.63"/>
    <col customWidth="1" min="3" max="3" width="19.63"/>
    <col customWidth="1" min="4" max="4" width="12.88"/>
    <col customWidth="1" min="5" max="5" width="21.5"/>
    <col customWidth="1" min="6" max="6" width="27.5"/>
    <col customWidth="1" min="7" max="7" width="12.0"/>
    <col customWidth="1" min="8" max="8" width="21.5"/>
    <col customWidth="1" min="9" max="9" width="20.5"/>
    <col customWidth="1" min="10" max="10" width="30.0"/>
    <col customWidth="1" min="11" max="26" width="12.5"/>
  </cols>
  <sheetData>
    <row r="1" ht="15.75" customHeight="1">
      <c r="A1" s="237" t="s">
        <v>3205</v>
      </c>
      <c r="B1" s="238"/>
      <c r="C1" s="238"/>
      <c r="D1" s="238"/>
      <c r="E1" s="238"/>
      <c r="F1" s="238"/>
      <c r="G1" s="238"/>
      <c r="H1" s="238"/>
      <c r="I1" s="238"/>
      <c r="J1" s="239"/>
    </row>
    <row r="2" ht="15.75" customHeight="1">
      <c r="A2" s="240" t="s">
        <v>11</v>
      </c>
      <c r="B2" s="240" t="s">
        <v>12</v>
      </c>
      <c r="C2" s="240" t="s">
        <v>3206</v>
      </c>
      <c r="D2" s="241" t="s">
        <v>468</v>
      </c>
      <c r="E2" s="240" t="s">
        <v>3207</v>
      </c>
      <c r="F2" s="240" t="s">
        <v>16</v>
      </c>
      <c r="G2" s="240" t="s">
        <v>3208</v>
      </c>
      <c r="H2" s="242" t="s">
        <v>18</v>
      </c>
      <c r="I2" s="243" t="s">
        <v>3209</v>
      </c>
      <c r="J2" s="240" t="s">
        <v>3210</v>
      </c>
    </row>
    <row r="3" ht="15.75" customHeight="1">
      <c r="A3" s="244" t="s">
        <v>3211</v>
      </c>
      <c r="B3" s="245">
        <v>1.0</v>
      </c>
      <c r="C3" s="246"/>
      <c r="D3" s="247"/>
      <c r="E3" s="245"/>
      <c r="F3" s="245"/>
      <c r="G3" s="245"/>
      <c r="H3" s="248"/>
      <c r="I3" s="249"/>
      <c r="J3" s="250"/>
    </row>
    <row r="4" ht="15.75" customHeight="1">
      <c r="A4" s="244" t="s">
        <v>3211</v>
      </c>
      <c r="B4" s="245">
        <v>2.0</v>
      </c>
      <c r="C4" s="246"/>
      <c r="D4" s="247"/>
      <c r="E4" s="245"/>
      <c r="F4" s="245"/>
      <c r="G4" s="245"/>
      <c r="H4" s="248"/>
      <c r="I4" s="249"/>
      <c r="J4" s="250"/>
    </row>
    <row r="5" ht="15.75" customHeight="1">
      <c r="A5" s="244" t="s">
        <v>3211</v>
      </c>
      <c r="B5" s="245">
        <v>3.0</v>
      </c>
      <c r="C5" s="246"/>
      <c r="D5" s="247"/>
      <c r="E5" s="245"/>
      <c r="F5" s="245"/>
      <c r="G5" s="245"/>
      <c r="H5" s="248"/>
      <c r="I5" s="249"/>
      <c r="J5" s="251"/>
    </row>
    <row r="6" ht="15.75" customHeight="1">
      <c r="A6" s="244" t="s">
        <v>3211</v>
      </c>
      <c r="B6" s="245">
        <v>4.0</v>
      </c>
      <c r="C6" s="246"/>
      <c r="D6" s="247"/>
      <c r="E6" s="245"/>
      <c r="F6" s="245"/>
      <c r="G6" s="245"/>
      <c r="H6" s="248"/>
      <c r="I6" s="249"/>
      <c r="J6" s="251"/>
    </row>
    <row r="7" ht="15.75" customHeight="1">
      <c r="A7" s="244" t="s">
        <v>3211</v>
      </c>
      <c r="B7" s="245">
        <v>5.0</v>
      </c>
      <c r="C7" s="246"/>
      <c r="D7" s="247"/>
      <c r="E7" s="245"/>
      <c r="F7" s="245"/>
      <c r="G7" s="245"/>
      <c r="H7" s="248"/>
      <c r="I7" s="249"/>
      <c r="J7" s="251"/>
    </row>
    <row r="8" ht="15.75" customHeight="1">
      <c r="A8" s="244" t="s">
        <v>3211</v>
      </c>
      <c r="B8" s="245">
        <v>6.0</v>
      </c>
      <c r="C8" s="246"/>
      <c r="D8" s="247"/>
      <c r="E8" s="245"/>
      <c r="F8" s="245"/>
      <c r="G8" s="245"/>
      <c r="H8" s="248"/>
      <c r="I8" s="249"/>
      <c r="J8" s="251"/>
    </row>
    <row r="9" ht="15.75" customHeight="1">
      <c r="A9" s="252" t="s">
        <v>3211</v>
      </c>
      <c r="B9" s="250">
        <v>7.0</v>
      </c>
      <c r="C9" s="250"/>
      <c r="D9" s="250"/>
      <c r="E9" s="250"/>
      <c r="F9" s="250"/>
      <c r="G9" s="250"/>
      <c r="H9" s="253"/>
      <c r="I9" s="249"/>
      <c r="J9" s="250"/>
    </row>
    <row r="10" ht="15.75" customHeight="1">
      <c r="A10" s="252" t="s">
        <v>3211</v>
      </c>
      <c r="B10" s="250">
        <v>8.0</v>
      </c>
      <c r="C10" s="250"/>
      <c r="D10" s="250"/>
      <c r="E10" s="250"/>
      <c r="F10" s="250"/>
      <c r="G10" s="250"/>
      <c r="H10" s="253"/>
      <c r="I10" s="249"/>
      <c r="J10" s="250"/>
    </row>
    <row r="11" ht="15.75" customHeight="1">
      <c r="A11" s="252" t="s">
        <v>3211</v>
      </c>
      <c r="B11" s="250">
        <v>9.0</v>
      </c>
      <c r="C11" s="254"/>
      <c r="D11" s="251"/>
      <c r="E11" s="250"/>
      <c r="F11" s="250"/>
      <c r="G11" s="250"/>
      <c r="H11" s="253"/>
      <c r="I11" s="249"/>
      <c r="J11" s="251"/>
    </row>
    <row r="12" ht="15.75" customHeight="1">
      <c r="A12" s="252" t="s">
        <v>3211</v>
      </c>
      <c r="B12" s="250">
        <v>10.0</v>
      </c>
      <c r="C12" s="254"/>
      <c r="D12" s="251"/>
      <c r="E12" s="250"/>
      <c r="F12" s="250"/>
      <c r="G12" s="250"/>
      <c r="H12" s="253"/>
      <c r="I12" s="249"/>
      <c r="J12" s="251"/>
    </row>
    <row r="13" ht="15.75" customHeight="1">
      <c r="A13" s="252" t="s">
        <v>3211</v>
      </c>
      <c r="B13" s="250">
        <v>11.0</v>
      </c>
      <c r="C13" s="254"/>
      <c r="D13" s="251"/>
      <c r="E13" s="250"/>
      <c r="F13" s="250"/>
      <c r="G13" s="250"/>
      <c r="H13" s="253"/>
      <c r="I13" s="249"/>
      <c r="J13" s="251"/>
    </row>
    <row r="14" ht="15.75" customHeight="1">
      <c r="A14" s="252" t="s">
        <v>3211</v>
      </c>
      <c r="B14" s="250">
        <v>12.0</v>
      </c>
      <c r="C14" s="254"/>
      <c r="D14" s="251"/>
      <c r="E14" s="250"/>
      <c r="F14" s="250"/>
      <c r="G14" s="250"/>
      <c r="H14" s="253"/>
      <c r="I14" s="249"/>
      <c r="J14" s="251"/>
    </row>
    <row r="15" ht="15.75" customHeight="1">
      <c r="A15" s="252" t="s">
        <v>3211</v>
      </c>
      <c r="B15" s="250">
        <v>13.0</v>
      </c>
      <c r="C15" s="254"/>
      <c r="D15" s="251"/>
      <c r="E15" s="250"/>
      <c r="F15" s="250"/>
      <c r="G15" s="250"/>
      <c r="H15" s="253"/>
      <c r="I15" s="249"/>
      <c r="J15" s="251"/>
    </row>
    <row r="16" ht="15.75" customHeight="1">
      <c r="A16" s="252" t="s">
        <v>3211</v>
      </c>
      <c r="B16" s="250">
        <v>14.0</v>
      </c>
      <c r="C16" s="254"/>
      <c r="D16" s="251"/>
      <c r="E16" s="250"/>
      <c r="F16" s="250"/>
      <c r="G16" s="250"/>
      <c r="H16" s="253"/>
      <c r="I16" s="249"/>
      <c r="J16" s="251"/>
    </row>
    <row r="17" ht="15.75" customHeight="1">
      <c r="A17" s="252" t="s">
        <v>3211</v>
      </c>
      <c r="B17" s="250">
        <v>15.0</v>
      </c>
      <c r="C17" s="254"/>
      <c r="D17" s="251"/>
      <c r="E17" s="250"/>
      <c r="F17" s="250"/>
      <c r="G17" s="250"/>
      <c r="H17" s="253"/>
      <c r="I17" s="249"/>
      <c r="J17" s="250"/>
    </row>
    <row r="18" ht="15.75" customHeight="1">
      <c r="A18" s="252" t="s">
        <v>3211</v>
      </c>
      <c r="B18" s="250">
        <v>16.0</v>
      </c>
      <c r="C18" s="254"/>
      <c r="D18" s="251"/>
      <c r="E18" s="250"/>
      <c r="F18" s="250"/>
      <c r="G18" s="250"/>
      <c r="H18" s="253"/>
      <c r="I18" s="249"/>
      <c r="J18" s="250"/>
    </row>
    <row r="19" ht="15.75" customHeight="1">
      <c r="A19" s="252" t="s">
        <v>3211</v>
      </c>
      <c r="B19" s="250">
        <v>17.0</v>
      </c>
      <c r="C19" s="250"/>
      <c r="D19" s="250"/>
      <c r="E19" s="250"/>
      <c r="F19" s="250"/>
      <c r="G19" s="250"/>
      <c r="H19" s="253"/>
      <c r="I19" s="249"/>
      <c r="J19" s="250"/>
    </row>
    <row r="20" ht="15.75" customHeight="1">
      <c r="A20" s="252" t="s">
        <v>3211</v>
      </c>
      <c r="B20" s="250">
        <v>18.0</v>
      </c>
      <c r="C20" s="250"/>
      <c r="D20" s="250"/>
      <c r="E20" s="250"/>
      <c r="F20" s="250"/>
      <c r="G20" s="250"/>
      <c r="H20" s="253"/>
      <c r="I20" s="249"/>
      <c r="J20" s="250"/>
    </row>
    <row r="21" ht="15.75" customHeight="1">
      <c r="A21" s="252" t="s">
        <v>3211</v>
      </c>
      <c r="B21" s="250">
        <v>19.0</v>
      </c>
      <c r="C21" s="253"/>
      <c r="D21" s="251"/>
      <c r="E21" s="250"/>
      <c r="F21" s="250"/>
      <c r="G21" s="250"/>
      <c r="H21" s="253"/>
      <c r="I21" s="249"/>
      <c r="J21" s="250"/>
    </row>
    <row r="22" ht="15.75" customHeight="1">
      <c r="A22" s="252" t="s">
        <v>3211</v>
      </c>
      <c r="B22" s="250">
        <v>20.0</v>
      </c>
      <c r="C22" s="253"/>
      <c r="D22" s="251"/>
      <c r="E22" s="250"/>
      <c r="F22" s="250"/>
      <c r="G22" s="250"/>
      <c r="H22" s="253"/>
      <c r="I22" s="249"/>
      <c r="J22" s="250"/>
    </row>
    <row r="23" ht="15.75" customHeight="1">
      <c r="A23" s="252" t="s">
        <v>3211</v>
      </c>
      <c r="B23" s="250">
        <v>21.0</v>
      </c>
      <c r="C23" s="254"/>
      <c r="D23" s="251"/>
      <c r="E23" s="250"/>
      <c r="F23" s="250"/>
      <c r="G23" s="250"/>
      <c r="H23" s="255"/>
      <c r="I23" s="249"/>
      <c r="J23" s="250"/>
    </row>
    <row r="24" ht="15.75" customHeight="1">
      <c r="A24" s="252" t="s">
        <v>3211</v>
      </c>
      <c r="B24" s="250">
        <v>22.0</v>
      </c>
      <c r="C24" s="254"/>
      <c r="D24" s="251"/>
      <c r="E24" s="250"/>
      <c r="F24" s="250"/>
      <c r="G24" s="250"/>
      <c r="H24" s="255"/>
      <c r="I24" s="249"/>
      <c r="J24" s="250"/>
    </row>
    <row r="25" ht="15.75" customHeight="1">
      <c r="A25" s="252" t="s">
        <v>3211</v>
      </c>
      <c r="B25" s="250">
        <v>23.0</v>
      </c>
      <c r="C25" s="253"/>
      <c r="D25" s="251"/>
      <c r="E25" s="250"/>
      <c r="F25" s="250"/>
      <c r="G25" s="250"/>
      <c r="H25" s="253"/>
      <c r="I25" s="249"/>
      <c r="J25" s="250"/>
    </row>
    <row r="26" ht="15.75" customHeight="1">
      <c r="A26" s="252" t="s">
        <v>3211</v>
      </c>
      <c r="B26" s="250">
        <v>24.0</v>
      </c>
      <c r="C26" s="253"/>
      <c r="D26" s="251"/>
      <c r="E26" s="250"/>
      <c r="F26" s="250"/>
      <c r="G26" s="250"/>
      <c r="H26" s="253"/>
      <c r="I26" s="249"/>
      <c r="J26" s="250"/>
    </row>
    <row r="27" ht="15.75" customHeight="1">
      <c r="A27" s="256"/>
      <c r="B27" s="257"/>
      <c r="C27" s="257"/>
      <c r="D27" s="258"/>
      <c r="E27" s="257"/>
      <c r="F27" s="257"/>
      <c r="G27" s="257"/>
      <c r="H27" s="259"/>
      <c r="I27" s="260"/>
      <c r="J27" s="257"/>
    </row>
    <row r="28" ht="15.75" customHeight="1">
      <c r="A28" s="244" t="s">
        <v>3212</v>
      </c>
      <c r="B28" s="245">
        <v>1.0</v>
      </c>
      <c r="C28" s="246"/>
      <c r="D28" s="247"/>
      <c r="E28" s="245"/>
      <c r="F28" s="245"/>
      <c r="G28" s="245"/>
      <c r="H28" s="248"/>
      <c r="I28" s="261"/>
    </row>
    <row r="29" ht="15.75" customHeight="1">
      <c r="A29" s="244" t="s">
        <v>3212</v>
      </c>
      <c r="B29" s="245">
        <v>3.0</v>
      </c>
      <c r="C29" s="246"/>
      <c r="D29" s="247"/>
      <c r="E29" s="245"/>
      <c r="F29" s="245"/>
      <c r="G29" s="245"/>
      <c r="H29" s="248"/>
      <c r="I29" s="262"/>
      <c r="J29" s="245"/>
    </row>
    <row r="30" ht="15.75" customHeight="1">
      <c r="A30" s="244" t="s">
        <v>3212</v>
      </c>
      <c r="B30" s="245">
        <v>4.0</v>
      </c>
      <c r="C30" s="246"/>
      <c r="D30" s="247"/>
      <c r="E30" s="245"/>
      <c r="F30" s="245"/>
      <c r="G30" s="245"/>
      <c r="H30" s="248"/>
      <c r="I30" s="262"/>
      <c r="J30" s="245"/>
    </row>
    <row r="31" ht="15.75" customHeight="1">
      <c r="A31" s="244" t="s">
        <v>3212</v>
      </c>
      <c r="B31" s="245">
        <v>5.0</v>
      </c>
      <c r="C31" s="246"/>
      <c r="D31" s="247"/>
      <c r="E31" s="245"/>
      <c r="F31" s="245"/>
      <c r="G31" s="245"/>
      <c r="H31" s="248"/>
      <c r="I31" s="262"/>
      <c r="J31" s="245"/>
    </row>
    <row r="32" ht="15.75" customHeight="1">
      <c r="A32" s="244" t="s">
        <v>3212</v>
      </c>
      <c r="B32" s="245">
        <v>6.0</v>
      </c>
      <c r="C32" s="246"/>
      <c r="D32" s="247"/>
      <c r="E32" s="245"/>
      <c r="F32" s="245"/>
      <c r="G32" s="245"/>
      <c r="H32" s="248"/>
      <c r="I32" s="262"/>
      <c r="J32" s="245"/>
    </row>
    <row r="33" ht="15.75" customHeight="1">
      <c r="A33" s="244" t="s">
        <v>3212</v>
      </c>
      <c r="B33" s="245">
        <v>7.0</v>
      </c>
      <c r="C33" s="245"/>
      <c r="D33" s="247"/>
      <c r="E33" s="245"/>
      <c r="F33" s="245"/>
      <c r="G33" s="245"/>
      <c r="H33" s="248"/>
      <c r="I33" s="262"/>
      <c r="J33" s="245"/>
    </row>
    <row r="34" ht="15.75" customHeight="1">
      <c r="A34" s="244" t="s">
        <v>3212</v>
      </c>
      <c r="B34" s="245">
        <v>8.0</v>
      </c>
      <c r="C34" s="245"/>
      <c r="D34" s="247"/>
      <c r="E34" s="245"/>
      <c r="F34" s="245"/>
      <c r="G34" s="245"/>
      <c r="H34" s="248"/>
      <c r="I34" s="262"/>
      <c r="J34" s="245"/>
    </row>
    <row r="35" ht="15.75" customHeight="1">
      <c r="A35" s="244" t="s">
        <v>3212</v>
      </c>
      <c r="B35" s="245">
        <v>9.0</v>
      </c>
      <c r="C35" s="245"/>
      <c r="D35" s="247"/>
      <c r="E35" s="245"/>
      <c r="F35" s="245"/>
      <c r="G35" s="245"/>
      <c r="H35" s="248"/>
      <c r="I35" s="262"/>
      <c r="J35" s="245"/>
    </row>
    <row r="36" ht="15.75" customHeight="1">
      <c r="A36" s="244" t="s">
        <v>3212</v>
      </c>
      <c r="B36" s="245">
        <v>10.0</v>
      </c>
      <c r="C36" s="245"/>
      <c r="D36" s="247"/>
      <c r="E36" s="245"/>
      <c r="F36" s="245"/>
      <c r="G36" s="245"/>
      <c r="H36" s="248"/>
      <c r="I36" s="262"/>
      <c r="J36" s="245"/>
    </row>
    <row r="37" ht="15.75" customHeight="1">
      <c r="A37" s="244" t="s">
        <v>3212</v>
      </c>
      <c r="B37" s="245">
        <v>11.0</v>
      </c>
      <c r="C37" s="245"/>
      <c r="D37" s="247"/>
      <c r="E37" s="245"/>
      <c r="F37" s="245"/>
      <c r="G37" s="245"/>
      <c r="H37" s="248"/>
      <c r="I37" s="262"/>
      <c r="J37" s="245"/>
    </row>
    <row r="38" ht="15.75" customHeight="1">
      <c r="A38" s="244" t="s">
        <v>3212</v>
      </c>
      <c r="B38" s="245">
        <v>12.0</v>
      </c>
      <c r="C38" s="245"/>
      <c r="D38" s="247"/>
      <c r="E38" s="245"/>
      <c r="F38" s="245"/>
      <c r="G38" s="245"/>
      <c r="H38" s="248"/>
      <c r="I38" s="262"/>
      <c r="J38" s="245"/>
    </row>
    <row r="39" ht="15.75" customHeight="1">
      <c r="A39" s="244" t="s">
        <v>3212</v>
      </c>
      <c r="B39" s="245">
        <v>13.0</v>
      </c>
      <c r="C39" s="245"/>
      <c r="D39" s="247"/>
      <c r="E39" s="245"/>
      <c r="F39" s="245"/>
      <c r="G39" s="245"/>
      <c r="H39" s="248"/>
      <c r="I39" s="262"/>
      <c r="J39" s="245"/>
    </row>
    <row r="40" ht="15.75" customHeight="1">
      <c r="A40" s="244" t="s">
        <v>3212</v>
      </c>
      <c r="B40" s="245">
        <v>14.0</v>
      </c>
      <c r="C40" s="245"/>
      <c r="D40" s="247"/>
      <c r="E40" s="245"/>
      <c r="F40" s="245"/>
      <c r="G40" s="245"/>
      <c r="H40" s="248"/>
      <c r="I40" s="262"/>
      <c r="J40" s="245"/>
    </row>
    <row r="41" ht="15.75" customHeight="1">
      <c r="A41" s="244" t="s">
        <v>3212</v>
      </c>
      <c r="B41" s="245">
        <v>15.0</v>
      </c>
      <c r="C41" s="245"/>
      <c r="D41" s="247"/>
      <c r="E41" s="245"/>
      <c r="F41" s="245"/>
      <c r="G41" s="245"/>
      <c r="H41" s="248"/>
      <c r="I41" s="262"/>
      <c r="J41" s="245"/>
    </row>
    <row r="42" ht="15.75" customHeight="1">
      <c r="A42" s="244" t="s">
        <v>3212</v>
      </c>
      <c r="B42" s="245">
        <v>16.0</v>
      </c>
      <c r="C42" s="245"/>
      <c r="D42" s="247"/>
      <c r="E42" s="245"/>
      <c r="F42" s="245"/>
      <c r="G42" s="245"/>
      <c r="H42" s="248"/>
      <c r="I42" s="262"/>
      <c r="J42" s="245"/>
    </row>
    <row r="43" ht="15.75" customHeight="1">
      <c r="A43" s="244" t="s">
        <v>3212</v>
      </c>
      <c r="B43" s="245">
        <v>17.0</v>
      </c>
      <c r="C43" s="245"/>
      <c r="D43" s="247"/>
      <c r="E43" s="245"/>
      <c r="F43" s="245"/>
      <c r="G43" s="245"/>
      <c r="H43" s="248"/>
      <c r="I43" s="261"/>
    </row>
    <row r="44" ht="15.75" customHeight="1">
      <c r="A44" s="244" t="s">
        <v>3212</v>
      </c>
      <c r="B44" s="245">
        <v>18.0</v>
      </c>
      <c r="C44" s="245"/>
      <c r="D44" s="247"/>
      <c r="E44" s="245"/>
      <c r="F44" s="245"/>
      <c r="G44" s="245"/>
      <c r="H44" s="248"/>
      <c r="I44" s="261"/>
      <c r="J44" s="245"/>
    </row>
    <row r="45" ht="15.75" customHeight="1">
      <c r="A45" s="244" t="s">
        <v>3212</v>
      </c>
      <c r="B45" s="245">
        <v>19.0</v>
      </c>
      <c r="C45" s="245"/>
      <c r="D45" s="247"/>
      <c r="E45" s="245"/>
      <c r="F45" s="245"/>
      <c r="G45" s="245"/>
      <c r="H45" s="248"/>
      <c r="I45" s="262"/>
      <c r="J45" s="245"/>
    </row>
    <row r="46" ht="15.75" customHeight="1">
      <c r="A46" s="244" t="s">
        <v>3212</v>
      </c>
      <c r="B46" s="245">
        <v>20.0</v>
      </c>
      <c r="C46" s="245"/>
      <c r="D46" s="247"/>
      <c r="E46" s="245"/>
      <c r="F46" s="245"/>
      <c r="G46" s="245"/>
      <c r="H46" s="248"/>
      <c r="I46" s="262"/>
      <c r="J46" s="245"/>
    </row>
    <row r="47" ht="15.75" customHeight="1">
      <c r="A47" s="244" t="s">
        <v>3212</v>
      </c>
      <c r="B47" s="245">
        <v>21.0</v>
      </c>
      <c r="C47" s="245"/>
      <c r="D47" s="247"/>
      <c r="E47" s="245"/>
      <c r="F47" s="245"/>
      <c r="G47" s="245"/>
      <c r="H47" s="248"/>
      <c r="I47" s="261"/>
      <c r="J47" s="245"/>
    </row>
    <row r="48" ht="15.75" customHeight="1">
      <c r="A48" s="244" t="s">
        <v>3212</v>
      </c>
      <c r="B48" s="245">
        <v>22.0</v>
      </c>
      <c r="C48" s="245"/>
      <c r="D48" s="247"/>
      <c r="E48" s="245"/>
      <c r="F48" s="245"/>
      <c r="G48" s="245"/>
      <c r="H48" s="248"/>
      <c r="I48" s="261"/>
      <c r="J48" s="245"/>
    </row>
    <row r="49" ht="15.75" customHeight="1">
      <c r="A49" s="244" t="s">
        <v>3212</v>
      </c>
      <c r="B49" s="245">
        <v>23.0</v>
      </c>
      <c r="C49" s="245"/>
      <c r="D49" s="247"/>
      <c r="E49" s="245"/>
      <c r="F49" s="245"/>
      <c r="G49" s="245"/>
      <c r="H49" s="248"/>
      <c r="I49" s="262"/>
      <c r="J49" s="245"/>
    </row>
    <row r="50" ht="15.75" customHeight="1">
      <c r="A50" s="244" t="s">
        <v>3212</v>
      </c>
      <c r="B50" s="245">
        <v>24.0</v>
      </c>
      <c r="C50" s="245"/>
      <c r="D50" s="247"/>
      <c r="E50" s="245"/>
      <c r="F50" s="245"/>
      <c r="G50" s="245"/>
      <c r="H50" s="248"/>
      <c r="I50" s="262"/>
      <c r="J50" s="245"/>
    </row>
    <row r="51" ht="15.75" customHeight="1">
      <c r="A51" s="256"/>
      <c r="B51" s="257"/>
      <c r="C51" s="257"/>
      <c r="D51" s="258"/>
      <c r="E51" s="257"/>
      <c r="F51" s="257"/>
      <c r="G51" s="257"/>
      <c r="H51" s="259"/>
      <c r="I51" s="260"/>
      <c r="J51" s="257"/>
    </row>
    <row r="52" ht="15.75" customHeight="1">
      <c r="A52" s="244" t="s">
        <v>3213</v>
      </c>
      <c r="B52" s="245">
        <v>1.0</v>
      </c>
      <c r="C52" s="246"/>
      <c r="D52" s="247"/>
      <c r="E52" s="245"/>
      <c r="F52" s="245"/>
      <c r="G52" s="245"/>
      <c r="H52" s="248"/>
      <c r="I52" s="262"/>
      <c r="J52" s="245"/>
    </row>
    <row r="53" ht="15.75" customHeight="1">
      <c r="A53" s="244" t="s">
        <v>3213</v>
      </c>
      <c r="B53" s="245">
        <v>2.0</v>
      </c>
      <c r="C53" s="246"/>
      <c r="D53" s="247"/>
      <c r="E53" s="245"/>
      <c r="F53" s="245"/>
      <c r="G53" s="245"/>
      <c r="H53" s="248"/>
      <c r="I53" s="262"/>
      <c r="J53" s="245"/>
    </row>
    <row r="54" ht="15.75" customHeight="1">
      <c r="A54" s="244" t="s">
        <v>3213</v>
      </c>
      <c r="B54" s="245">
        <v>3.0</v>
      </c>
      <c r="C54" s="246"/>
      <c r="D54" s="247"/>
      <c r="E54" s="245"/>
      <c r="F54" s="245"/>
      <c r="G54" s="245"/>
      <c r="H54" s="248"/>
      <c r="I54" s="262"/>
      <c r="J54" s="245"/>
    </row>
    <row r="55" ht="15.75" customHeight="1">
      <c r="A55" s="244" t="s">
        <v>3213</v>
      </c>
      <c r="B55" s="245">
        <v>4.0</v>
      </c>
      <c r="C55" s="246"/>
      <c r="D55" s="247"/>
      <c r="E55" s="245"/>
      <c r="F55" s="245"/>
      <c r="G55" s="245"/>
      <c r="H55" s="248"/>
      <c r="I55" s="262"/>
      <c r="J55" s="245"/>
    </row>
    <row r="56" ht="15.75" customHeight="1">
      <c r="A56" s="244" t="s">
        <v>3213</v>
      </c>
      <c r="B56" s="245">
        <v>5.0</v>
      </c>
      <c r="C56" s="246"/>
      <c r="D56" s="247"/>
      <c r="E56" s="245"/>
      <c r="F56" s="245"/>
      <c r="G56" s="245"/>
      <c r="H56" s="248"/>
      <c r="I56" s="262"/>
      <c r="J56" s="245"/>
    </row>
    <row r="57" ht="15.75" customHeight="1">
      <c r="A57" s="244" t="s">
        <v>3213</v>
      </c>
      <c r="B57" s="245">
        <v>6.0</v>
      </c>
      <c r="C57" s="246"/>
      <c r="D57" s="247"/>
      <c r="E57" s="245"/>
      <c r="F57" s="245"/>
      <c r="G57" s="245"/>
      <c r="H57" s="248"/>
      <c r="I57" s="262"/>
      <c r="J57" s="245"/>
    </row>
    <row r="58" ht="15.75" customHeight="1">
      <c r="A58" s="244" t="s">
        <v>3213</v>
      </c>
      <c r="B58" s="245">
        <v>7.0</v>
      </c>
      <c r="C58" s="246"/>
      <c r="D58" s="247"/>
      <c r="E58" s="245"/>
      <c r="F58" s="245"/>
      <c r="G58" s="245"/>
      <c r="H58" s="248"/>
      <c r="I58" s="262"/>
      <c r="J58" s="245"/>
    </row>
    <row r="59" ht="15.75" customHeight="1">
      <c r="A59" s="244" t="s">
        <v>3213</v>
      </c>
      <c r="B59" s="245">
        <v>8.0</v>
      </c>
      <c r="C59" s="246"/>
      <c r="D59" s="247"/>
      <c r="E59" s="245"/>
      <c r="F59" s="245"/>
      <c r="G59" s="245"/>
      <c r="H59" s="248"/>
      <c r="I59" s="262"/>
      <c r="J59" s="245"/>
    </row>
    <row r="60" ht="15.75" customHeight="1">
      <c r="A60" s="244" t="s">
        <v>3213</v>
      </c>
      <c r="B60" s="245">
        <v>9.0</v>
      </c>
      <c r="C60" s="246"/>
      <c r="D60" s="247"/>
      <c r="E60" s="245"/>
      <c r="F60" s="245"/>
      <c r="G60" s="245"/>
      <c r="H60" s="248"/>
      <c r="I60" s="262"/>
      <c r="J60" s="245"/>
    </row>
    <row r="61" ht="15.75" customHeight="1">
      <c r="A61" s="244" t="s">
        <v>3213</v>
      </c>
      <c r="B61" s="245">
        <v>10.0</v>
      </c>
      <c r="C61" s="246"/>
      <c r="D61" s="247"/>
      <c r="E61" s="245"/>
      <c r="F61" s="245"/>
      <c r="G61" s="245"/>
      <c r="H61" s="248"/>
      <c r="I61" s="262"/>
      <c r="J61" s="245"/>
    </row>
    <row r="62" ht="15.75" customHeight="1">
      <c r="A62" s="244" t="s">
        <v>3213</v>
      </c>
      <c r="B62" s="245">
        <v>11.0</v>
      </c>
      <c r="C62" s="246"/>
      <c r="D62" s="247"/>
      <c r="E62" s="245"/>
      <c r="F62" s="245"/>
      <c r="G62" s="245"/>
      <c r="H62" s="248"/>
      <c r="I62" s="262"/>
      <c r="J62" s="245"/>
    </row>
    <row r="63" ht="15.75" customHeight="1">
      <c r="A63" s="244" t="s">
        <v>3213</v>
      </c>
      <c r="B63" s="245">
        <v>12.0</v>
      </c>
      <c r="C63" s="246"/>
      <c r="D63" s="247"/>
      <c r="E63" s="245"/>
      <c r="F63" s="245"/>
      <c r="G63" s="245"/>
      <c r="H63" s="248"/>
      <c r="I63" s="262"/>
      <c r="J63" s="245"/>
    </row>
    <row r="64" ht="15.75" customHeight="1">
      <c r="A64" s="244" t="s">
        <v>3213</v>
      </c>
      <c r="B64" s="245">
        <v>13.0</v>
      </c>
      <c r="C64" s="246"/>
      <c r="D64" s="247"/>
      <c r="E64" s="245"/>
      <c r="F64" s="245"/>
      <c r="G64" s="245"/>
      <c r="H64" s="248"/>
      <c r="I64" s="262"/>
      <c r="J64" s="245"/>
    </row>
    <row r="65" ht="15.75" customHeight="1">
      <c r="A65" s="244" t="s">
        <v>3213</v>
      </c>
      <c r="B65" s="245">
        <v>14.0</v>
      </c>
      <c r="C65" s="246"/>
      <c r="D65" s="247"/>
      <c r="E65" s="245"/>
      <c r="F65" s="245"/>
      <c r="G65" s="245"/>
      <c r="H65" s="248"/>
      <c r="I65" s="262"/>
      <c r="J65" s="245"/>
    </row>
    <row r="66" ht="15.75" customHeight="1">
      <c r="A66" s="244" t="s">
        <v>3213</v>
      </c>
      <c r="B66" s="245">
        <v>15.0</v>
      </c>
      <c r="C66" s="246"/>
      <c r="D66" s="247"/>
      <c r="E66" s="245"/>
      <c r="F66" s="245"/>
      <c r="G66" s="245"/>
      <c r="H66" s="248"/>
      <c r="I66" s="262"/>
      <c r="J66" s="245"/>
    </row>
    <row r="67" ht="15.75" customHeight="1">
      <c r="A67" s="244" t="s">
        <v>3213</v>
      </c>
      <c r="B67" s="245">
        <v>16.0</v>
      </c>
      <c r="C67" s="246"/>
      <c r="D67" s="247"/>
      <c r="E67" s="245"/>
      <c r="F67" s="245"/>
      <c r="G67" s="245"/>
      <c r="H67" s="248"/>
      <c r="I67" s="262"/>
      <c r="J67" s="245"/>
    </row>
    <row r="68" ht="15.75" customHeight="1">
      <c r="A68" s="244" t="s">
        <v>3213</v>
      </c>
      <c r="B68" s="245">
        <v>17.0</v>
      </c>
      <c r="C68" s="246"/>
      <c r="D68" s="247"/>
      <c r="E68" s="245"/>
      <c r="F68" s="245"/>
      <c r="G68" s="245"/>
      <c r="H68" s="248"/>
      <c r="I68" s="262"/>
      <c r="J68" s="245"/>
    </row>
    <row r="69" ht="15.75" customHeight="1">
      <c r="A69" s="244" t="s">
        <v>3213</v>
      </c>
      <c r="B69" s="245">
        <v>18.0</v>
      </c>
      <c r="C69" s="246"/>
      <c r="D69" s="247"/>
      <c r="E69" s="245"/>
      <c r="F69" s="245"/>
      <c r="G69" s="245"/>
      <c r="H69" s="248"/>
      <c r="I69" s="262"/>
      <c r="J69" s="245"/>
    </row>
    <row r="70" ht="15.75" customHeight="1">
      <c r="A70" s="244" t="s">
        <v>3213</v>
      </c>
      <c r="B70" s="245">
        <v>19.0</v>
      </c>
      <c r="C70" s="246"/>
      <c r="D70" s="247"/>
      <c r="E70" s="245"/>
      <c r="F70" s="245"/>
      <c r="G70" s="245"/>
      <c r="H70" s="248"/>
      <c r="I70" s="262"/>
      <c r="J70" s="245"/>
    </row>
    <row r="71" ht="15.75" customHeight="1">
      <c r="A71" s="244" t="s">
        <v>3213</v>
      </c>
      <c r="B71" s="245">
        <v>20.0</v>
      </c>
      <c r="C71" s="246"/>
      <c r="D71" s="247"/>
      <c r="E71" s="245"/>
      <c r="F71" s="245"/>
      <c r="G71" s="245"/>
      <c r="H71" s="248"/>
      <c r="I71" s="262"/>
      <c r="J71" s="245"/>
    </row>
    <row r="72" ht="15.75" customHeight="1">
      <c r="A72" s="244" t="s">
        <v>3213</v>
      </c>
      <c r="B72" s="245">
        <v>21.0</v>
      </c>
      <c r="C72" s="246"/>
      <c r="D72" s="247"/>
      <c r="E72" s="245"/>
      <c r="F72" s="245"/>
      <c r="G72" s="245"/>
      <c r="H72" s="248"/>
      <c r="I72" s="262"/>
      <c r="J72" s="245"/>
    </row>
    <row r="73" ht="15.75" customHeight="1">
      <c r="A73" s="244" t="s">
        <v>3213</v>
      </c>
      <c r="B73" s="245">
        <v>22.0</v>
      </c>
      <c r="C73" s="246"/>
      <c r="D73" s="247"/>
      <c r="E73" s="245"/>
      <c r="F73" s="245"/>
      <c r="G73" s="245"/>
      <c r="H73" s="248"/>
      <c r="I73" s="262"/>
      <c r="J73" s="245"/>
    </row>
    <row r="74" ht="15.75" customHeight="1">
      <c r="A74" s="244" t="s">
        <v>3213</v>
      </c>
      <c r="B74" s="245">
        <v>23.0</v>
      </c>
      <c r="C74" s="246"/>
      <c r="D74" s="247"/>
      <c r="E74" s="245"/>
      <c r="F74" s="245"/>
      <c r="G74" s="245"/>
      <c r="H74" s="248"/>
      <c r="I74" s="262"/>
      <c r="J74" s="245"/>
    </row>
    <row r="75" ht="15.75" customHeight="1">
      <c r="A75" s="256"/>
      <c r="B75" s="257"/>
      <c r="C75" s="257"/>
      <c r="D75" s="258"/>
      <c r="E75" s="257"/>
      <c r="F75" s="257"/>
      <c r="G75" s="257"/>
      <c r="H75" s="259"/>
      <c r="I75" s="260"/>
      <c r="J75" s="257"/>
    </row>
    <row r="76" ht="15.75" customHeight="1">
      <c r="A76" s="244" t="s">
        <v>3214</v>
      </c>
      <c r="B76" s="245">
        <v>1.0</v>
      </c>
      <c r="C76" s="246"/>
      <c r="D76" s="247"/>
      <c r="E76" s="245"/>
      <c r="F76" s="245"/>
      <c r="G76" s="245"/>
      <c r="H76" s="248"/>
      <c r="I76" s="262"/>
      <c r="J76" s="245"/>
    </row>
    <row r="77" ht="15.75" customHeight="1">
      <c r="A77" s="244" t="s">
        <v>3214</v>
      </c>
      <c r="B77" s="245">
        <v>2.0</v>
      </c>
      <c r="C77" s="246"/>
      <c r="D77" s="247"/>
      <c r="E77" s="245"/>
      <c r="F77" s="245"/>
      <c r="G77" s="245"/>
      <c r="H77" s="248"/>
      <c r="I77" s="262"/>
      <c r="J77" s="245"/>
    </row>
    <row r="78" ht="15.75" customHeight="1">
      <c r="A78" s="244" t="s">
        <v>3214</v>
      </c>
      <c r="B78" s="245">
        <v>3.0</v>
      </c>
      <c r="C78" s="246"/>
      <c r="D78" s="247"/>
      <c r="E78" s="245"/>
      <c r="F78" s="245"/>
      <c r="G78" s="245"/>
      <c r="H78" s="248"/>
      <c r="I78" s="262"/>
      <c r="J78" s="245"/>
    </row>
    <row r="79" ht="15.75" customHeight="1">
      <c r="A79" s="244" t="s">
        <v>3214</v>
      </c>
      <c r="B79" s="245">
        <v>4.0</v>
      </c>
      <c r="C79" s="246"/>
      <c r="D79" s="247"/>
      <c r="E79" s="245"/>
      <c r="F79" s="245"/>
      <c r="G79" s="245"/>
      <c r="H79" s="248"/>
      <c r="I79" s="262"/>
      <c r="J79" s="245"/>
    </row>
    <row r="80" ht="15.75" customHeight="1">
      <c r="A80" s="244" t="s">
        <v>3214</v>
      </c>
      <c r="B80" s="245">
        <v>5.0</v>
      </c>
      <c r="C80" s="246"/>
      <c r="D80" s="247"/>
      <c r="E80" s="245"/>
      <c r="F80" s="245"/>
      <c r="G80" s="245"/>
      <c r="H80" s="248"/>
      <c r="I80" s="249"/>
      <c r="J80" s="250"/>
    </row>
    <row r="81" ht="15.75" customHeight="1">
      <c r="A81" s="244" t="s">
        <v>3214</v>
      </c>
      <c r="B81" s="245">
        <v>6.0</v>
      </c>
      <c r="C81" s="246"/>
      <c r="D81" s="247"/>
      <c r="E81" s="245"/>
      <c r="F81" s="245"/>
      <c r="G81" s="245"/>
      <c r="H81" s="248"/>
      <c r="I81" s="262"/>
      <c r="J81" s="245"/>
    </row>
    <row r="82" ht="15.75" customHeight="1">
      <c r="A82" s="244" t="s">
        <v>3214</v>
      </c>
      <c r="B82" s="245">
        <v>7.0</v>
      </c>
      <c r="C82" s="246"/>
      <c r="D82" s="247"/>
      <c r="E82" s="245"/>
      <c r="F82" s="245"/>
      <c r="G82" s="245"/>
      <c r="H82" s="248"/>
      <c r="I82" s="262"/>
      <c r="J82" s="245"/>
    </row>
    <row r="83" ht="15.75" customHeight="1">
      <c r="A83" s="244" t="s">
        <v>3214</v>
      </c>
      <c r="B83" s="245">
        <v>8.0</v>
      </c>
      <c r="C83" s="246"/>
      <c r="D83" s="247"/>
      <c r="E83" s="245"/>
      <c r="F83" s="245"/>
      <c r="G83" s="245"/>
      <c r="H83" s="248"/>
      <c r="I83" s="262"/>
      <c r="J83" s="245"/>
    </row>
    <row r="84" ht="15.75" customHeight="1">
      <c r="A84" s="244" t="s">
        <v>3214</v>
      </c>
      <c r="B84" s="245">
        <v>9.0</v>
      </c>
      <c r="C84" s="246"/>
      <c r="D84" s="247"/>
      <c r="E84" s="245"/>
      <c r="F84" s="245"/>
      <c r="G84" s="245"/>
      <c r="H84" s="248"/>
      <c r="I84" s="262"/>
      <c r="J84" s="245"/>
    </row>
    <row r="85" ht="15.75" customHeight="1">
      <c r="A85" s="244" t="s">
        <v>3214</v>
      </c>
      <c r="B85" s="245">
        <v>10.0</v>
      </c>
      <c r="C85" s="246"/>
      <c r="D85" s="247"/>
      <c r="E85" s="245"/>
      <c r="F85" s="245"/>
      <c r="G85" s="245"/>
      <c r="H85" s="248"/>
      <c r="I85" s="262"/>
      <c r="J85" s="245"/>
    </row>
    <row r="86" ht="15.75" customHeight="1">
      <c r="A86" s="244" t="s">
        <v>3214</v>
      </c>
      <c r="B86" s="245">
        <v>11.0</v>
      </c>
      <c r="C86" s="246"/>
      <c r="D86" s="247"/>
      <c r="E86" s="245"/>
      <c r="F86" s="245"/>
      <c r="G86" s="245"/>
      <c r="H86" s="248"/>
      <c r="I86" s="262"/>
      <c r="J86" s="245"/>
    </row>
    <row r="87" ht="15.75" customHeight="1">
      <c r="A87" s="244" t="s">
        <v>3214</v>
      </c>
      <c r="B87" s="245">
        <v>12.0</v>
      </c>
      <c r="C87" s="246"/>
      <c r="D87" s="247"/>
      <c r="E87" s="245"/>
      <c r="F87" s="245"/>
      <c r="G87" s="245"/>
      <c r="H87" s="248"/>
      <c r="I87" s="262"/>
      <c r="J87" s="245"/>
    </row>
    <row r="88" ht="15.75" customHeight="1">
      <c r="A88" s="244" t="s">
        <v>3214</v>
      </c>
      <c r="B88" s="245">
        <v>13.0</v>
      </c>
      <c r="C88" s="246"/>
      <c r="D88" s="247"/>
      <c r="E88" s="245"/>
      <c r="F88" s="245"/>
      <c r="G88" s="245"/>
      <c r="H88" s="248"/>
      <c r="I88" s="262"/>
      <c r="J88" s="245"/>
    </row>
    <row r="89" ht="15.75" customHeight="1">
      <c r="A89" s="244" t="s">
        <v>3214</v>
      </c>
      <c r="B89" s="245">
        <v>14.0</v>
      </c>
      <c r="C89" s="246"/>
      <c r="D89" s="247"/>
      <c r="E89" s="245"/>
      <c r="F89" s="245"/>
      <c r="G89" s="245"/>
      <c r="H89" s="248"/>
      <c r="I89" s="262"/>
      <c r="J89" s="245"/>
    </row>
    <row r="90" ht="15.75" customHeight="1">
      <c r="A90" s="244" t="s">
        <v>3214</v>
      </c>
      <c r="B90" s="245">
        <v>15.0</v>
      </c>
      <c r="C90" s="246"/>
      <c r="D90" s="247"/>
      <c r="E90" s="245"/>
      <c r="F90" s="245"/>
      <c r="G90" s="245"/>
      <c r="H90" s="248"/>
      <c r="I90" s="262"/>
      <c r="J90" s="245"/>
    </row>
    <row r="91" ht="15.75" customHeight="1">
      <c r="A91" s="244" t="s">
        <v>3214</v>
      </c>
      <c r="B91" s="245">
        <v>16.0</v>
      </c>
      <c r="C91" s="246"/>
      <c r="D91" s="247"/>
      <c r="E91" s="245"/>
      <c r="F91" s="245"/>
      <c r="G91" s="245"/>
      <c r="H91" s="248"/>
      <c r="I91" s="262"/>
      <c r="J91" s="245"/>
    </row>
    <row r="92" ht="15.75" customHeight="1">
      <c r="A92" s="244" t="s">
        <v>3214</v>
      </c>
      <c r="B92" s="245">
        <v>17.0</v>
      </c>
      <c r="C92" s="246"/>
      <c r="D92" s="247"/>
      <c r="E92" s="245"/>
      <c r="F92" s="245"/>
      <c r="G92" s="245"/>
      <c r="H92" s="248"/>
      <c r="I92" s="262"/>
      <c r="J92" s="245"/>
    </row>
    <row r="93" ht="15.75" customHeight="1">
      <c r="A93" s="244" t="s">
        <v>3214</v>
      </c>
      <c r="B93" s="245">
        <v>18.0</v>
      </c>
      <c r="C93" s="246"/>
      <c r="D93" s="247"/>
      <c r="E93" s="245"/>
      <c r="F93" s="245"/>
      <c r="G93" s="245"/>
      <c r="H93" s="248"/>
      <c r="I93" s="262"/>
      <c r="J93" s="245"/>
    </row>
    <row r="94" ht="15.75" customHeight="1">
      <c r="A94" s="244" t="s">
        <v>3214</v>
      </c>
      <c r="B94" s="245">
        <v>19.0</v>
      </c>
      <c r="C94" s="246"/>
      <c r="D94" s="247"/>
      <c r="E94" s="245"/>
      <c r="F94" s="245"/>
      <c r="G94" s="245"/>
      <c r="H94" s="248"/>
      <c r="I94" s="262"/>
      <c r="J94" s="245"/>
    </row>
    <row r="95" ht="15.75" customHeight="1">
      <c r="A95" s="244" t="s">
        <v>3214</v>
      </c>
      <c r="B95" s="245">
        <v>20.0</v>
      </c>
      <c r="C95" s="246"/>
      <c r="D95" s="247"/>
      <c r="E95" s="245"/>
      <c r="F95" s="245"/>
      <c r="G95" s="245"/>
      <c r="H95" s="248"/>
      <c r="I95" s="262"/>
      <c r="J95" s="245"/>
    </row>
    <row r="96" ht="15.75" customHeight="1">
      <c r="A96" s="244" t="s">
        <v>3214</v>
      </c>
      <c r="B96" s="245">
        <v>21.0</v>
      </c>
      <c r="C96" s="246"/>
      <c r="D96" s="247"/>
      <c r="E96" s="245"/>
      <c r="F96" s="245"/>
      <c r="G96" s="245"/>
      <c r="H96" s="248"/>
      <c r="I96" s="262"/>
      <c r="J96" s="245"/>
    </row>
    <row r="97" ht="15.75" customHeight="1">
      <c r="A97" s="244" t="s">
        <v>3214</v>
      </c>
      <c r="B97" s="245">
        <v>22.0</v>
      </c>
      <c r="C97" s="246"/>
      <c r="D97" s="247"/>
      <c r="E97" s="245"/>
      <c r="F97" s="245"/>
      <c r="G97" s="245"/>
      <c r="H97" s="248"/>
      <c r="I97" s="262"/>
      <c r="J97" s="245"/>
    </row>
    <row r="98" ht="15.75" customHeight="1">
      <c r="A98" s="244" t="s">
        <v>3214</v>
      </c>
      <c r="B98" s="245">
        <v>23.0</v>
      </c>
      <c r="C98" s="246"/>
      <c r="D98" s="247"/>
      <c r="E98" s="245"/>
      <c r="F98" s="245"/>
      <c r="G98" s="245"/>
      <c r="H98" s="248"/>
      <c r="I98" s="262"/>
      <c r="J98" s="245"/>
    </row>
    <row r="99" ht="15.75" customHeight="1">
      <c r="A99" s="256"/>
      <c r="B99" s="257"/>
      <c r="C99" s="257"/>
      <c r="D99" s="258"/>
      <c r="E99" s="257"/>
      <c r="F99" s="257"/>
      <c r="G99" s="257"/>
      <c r="H99" s="259"/>
      <c r="I99" s="260"/>
      <c r="J99" s="257"/>
    </row>
    <row r="100" ht="15.75" customHeight="1">
      <c r="A100" s="245"/>
      <c r="B100" s="245"/>
      <c r="C100" s="245"/>
      <c r="D100" s="247"/>
      <c r="E100" s="245"/>
      <c r="F100" s="245"/>
      <c r="G100" s="245"/>
      <c r="H100" s="248"/>
      <c r="I100" s="262"/>
      <c r="J100" s="245"/>
    </row>
    <row r="101" ht="15.75" customHeight="1">
      <c r="A101" s="245"/>
      <c r="B101" s="245"/>
      <c r="C101" s="245"/>
      <c r="D101" s="247"/>
      <c r="E101" s="245"/>
      <c r="F101" s="245"/>
      <c r="G101" s="263" t="s">
        <v>3215</v>
      </c>
      <c r="H101" s="263" t="s">
        <v>3216</v>
      </c>
      <c r="I101" s="264" t="s">
        <v>3217</v>
      </c>
      <c r="J101" s="263" t="s">
        <v>3218</v>
      </c>
    </row>
    <row r="102" ht="15.75" customHeight="1">
      <c r="A102" s="245"/>
      <c r="B102" s="245"/>
      <c r="C102" s="245"/>
      <c r="D102" s="247"/>
      <c r="E102" s="245"/>
      <c r="F102" s="245"/>
      <c r="G102" s="245"/>
      <c r="H102" s="248"/>
      <c r="I102" s="262"/>
      <c r="J102" s="245"/>
    </row>
    <row r="103" ht="15.75" customHeight="1">
      <c r="A103" s="237" t="s">
        <v>2464</v>
      </c>
      <c r="B103" s="238"/>
      <c r="C103" s="238"/>
      <c r="D103" s="238"/>
      <c r="E103" s="238"/>
      <c r="F103" s="238"/>
      <c r="G103" s="238"/>
      <c r="H103" s="238"/>
      <c r="I103" s="238"/>
      <c r="J103" s="239"/>
    </row>
    <row r="104" ht="15.75" customHeight="1">
      <c r="A104" s="240" t="s">
        <v>11</v>
      </c>
      <c r="B104" s="240" t="s">
        <v>12</v>
      </c>
      <c r="C104" s="240" t="s">
        <v>3206</v>
      </c>
      <c r="D104" s="241" t="s">
        <v>468</v>
      </c>
      <c r="E104" s="240" t="s">
        <v>3207</v>
      </c>
      <c r="F104" s="240" t="s">
        <v>16</v>
      </c>
      <c r="G104" s="240" t="s">
        <v>3208</v>
      </c>
      <c r="H104" s="242" t="s">
        <v>18</v>
      </c>
      <c r="I104" s="243" t="s">
        <v>3209</v>
      </c>
      <c r="J104" s="240" t="s">
        <v>3210</v>
      </c>
    </row>
    <row r="105" ht="15.75" customHeight="1">
      <c r="A105" s="244" t="s">
        <v>3211</v>
      </c>
      <c r="B105" s="245">
        <v>1.0</v>
      </c>
      <c r="C105" s="246"/>
      <c r="D105" s="247"/>
      <c r="E105" s="245"/>
      <c r="F105" s="245"/>
      <c r="G105" s="245"/>
      <c r="H105" s="248"/>
      <c r="I105" s="249"/>
      <c r="J105" s="250"/>
    </row>
    <row r="106" ht="15.75" customHeight="1">
      <c r="A106" s="244" t="s">
        <v>3211</v>
      </c>
      <c r="B106" s="245">
        <v>2.0</v>
      </c>
      <c r="C106" s="246"/>
      <c r="D106" s="247"/>
      <c r="E106" s="245"/>
      <c r="F106" s="245"/>
      <c r="G106" s="245"/>
      <c r="H106" s="248"/>
      <c r="I106" s="249"/>
      <c r="J106" s="250"/>
    </row>
    <row r="107" ht="15.75" customHeight="1">
      <c r="A107" s="244" t="s">
        <v>3211</v>
      </c>
      <c r="B107" s="245">
        <v>3.0</v>
      </c>
      <c r="C107" s="246"/>
      <c r="D107" s="247"/>
      <c r="E107" s="245"/>
      <c r="F107" s="245"/>
      <c r="G107" s="245"/>
      <c r="H107" s="248"/>
      <c r="I107" s="249"/>
      <c r="J107" s="251"/>
    </row>
    <row r="108" ht="15.75" customHeight="1">
      <c r="A108" s="244" t="s">
        <v>3211</v>
      </c>
      <c r="B108" s="245">
        <v>4.0</v>
      </c>
      <c r="C108" s="246"/>
      <c r="D108" s="247"/>
      <c r="E108" s="245"/>
      <c r="F108" s="245"/>
      <c r="G108" s="245"/>
      <c r="H108" s="248"/>
      <c r="I108" s="249"/>
      <c r="J108" s="251"/>
    </row>
    <row r="109" ht="15.75" customHeight="1">
      <c r="A109" s="244" t="s">
        <v>3211</v>
      </c>
      <c r="B109" s="245">
        <v>5.0</v>
      </c>
      <c r="C109" s="246"/>
      <c r="D109" s="247"/>
      <c r="E109" s="245"/>
      <c r="F109" s="245"/>
      <c r="G109" s="245"/>
      <c r="H109" s="248"/>
      <c r="I109" s="249"/>
      <c r="J109" s="251"/>
    </row>
    <row r="110" ht="15.75" customHeight="1">
      <c r="A110" s="244" t="s">
        <v>3211</v>
      </c>
      <c r="B110" s="245">
        <v>6.0</v>
      </c>
      <c r="C110" s="246"/>
      <c r="D110" s="247"/>
      <c r="E110" s="245"/>
      <c r="F110" s="245"/>
      <c r="G110" s="245"/>
      <c r="H110" s="248"/>
      <c r="I110" s="249"/>
      <c r="J110" s="251"/>
    </row>
    <row r="111" ht="15.75" customHeight="1">
      <c r="A111" s="252" t="s">
        <v>3211</v>
      </c>
      <c r="B111" s="250">
        <v>7.0</v>
      </c>
      <c r="C111" s="250"/>
      <c r="D111" s="250"/>
      <c r="E111" s="250"/>
      <c r="F111" s="250"/>
      <c r="G111" s="250"/>
      <c r="H111" s="253"/>
      <c r="I111" s="249"/>
      <c r="J111" s="250"/>
    </row>
    <row r="112" ht="15.75" customHeight="1">
      <c r="A112" s="252" t="s">
        <v>3211</v>
      </c>
      <c r="B112" s="250">
        <v>8.0</v>
      </c>
      <c r="C112" s="250"/>
      <c r="D112" s="250"/>
      <c r="E112" s="250"/>
      <c r="F112" s="250"/>
      <c r="G112" s="250"/>
      <c r="H112" s="253"/>
      <c r="I112" s="249"/>
      <c r="J112" s="250"/>
    </row>
    <row r="113" ht="15.75" customHeight="1">
      <c r="A113" s="252" t="s">
        <v>3211</v>
      </c>
      <c r="B113" s="250">
        <v>9.0</v>
      </c>
      <c r="C113" s="254"/>
      <c r="D113" s="251"/>
      <c r="E113" s="250"/>
      <c r="F113" s="250"/>
      <c r="G113" s="250"/>
      <c r="H113" s="253"/>
      <c r="I113" s="249"/>
      <c r="J113" s="251"/>
    </row>
    <row r="114" ht="15.75" customHeight="1">
      <c r="A114" s="252" t="s">
        <v>3211</v>
      </c>
      <c r="B114" s="250">
        <v>10.0</v>
      </c>
      <c r="C114" s="254"/>
      <c r="D114" s="251"/>
      <c r="E114" s="250"/>
      <c r="F114" s="250"/>
      <c r="G114" s="250"/>
      <c r="H114" s="253"/>
      <c r="I114" s="249"/>
      <c r="J114" s="251"/>
    </row>
    <row r="115" ht="15.75" customHeight="1">
      <c r="A115" s="252" t="s">
        <v>3211</v>
      </c>
      <c r="B115" s="250">
        <v>11.0</v>
      </c>
      <c r="C115" s="254"/>
      <c r="D115" s="251"/>
      <c r="E115" s="250"/>
      <c r="F115" s="250"/>
      <c r="G115" s="250"/>
      <c r="H115" s="253"/>
      <c r="I115" s="249"/>
      <c r="J115" s="251"/>
    </row>
    <row r="116" ht="15.75" customHeight="1">
      <c r="A116" s="252" t="s">
        <v>3211</v>
      </c>
      <c r="B116" s="250">
        <v>12.0</v>
      </c>
      <c r="C116" s="254"/>
      <c r="D116" s="251"/>
      <c r="E116" s="250"/>
      <c r="F116" s="250"/>
      <c r="G116" s="250"/>
      <c r="H116" s="253"/>
      <c r="I116" s="249"/>
      <c r="J116" s="251"/>
    </row>
    <row r="117" ht="15.75" customHeight="1">
      <c r="A117" s="252" t="s">
        <v>3211</v>
      </c>
      <c r="B117" s="250">
        <v>13.0</v>
      </c>
      <c r="C117" s="254"/>
      <c r="D117" s="251"/>
      <c r="E117" s="250"/>
      <c r="F117" s="250"/>
      <c r="G117" s="250"/>
      <c r="H117" s="253"/>
      <c r="I117" s="249"/>
      <c r="J117" s="251"/>
    </row>
    <row r="118" ht="15.75" customHeight="1">
      <c r="A118" s="252" t="s">
        <v>3211</v>
      </c>
      <c r="B118" s="250">
        <v>14.0</v>
      </c>
      <c r="C118" s="254"/>
      <c r="D118" s="251"/>
      <c r="E118" s="250"/>
      <c r="F118" s="250"/>
      <c r="G118" s="250"/>
      <c r="H118" s="253"/>
      <c r="I118" s="249"/>
      <c r="J118" s="251"/>
    </row>
    <row r="119" ht="15.75" customHeight="1">
      <c r="A119" s="252" t="s">
        <v>3211</v>
      </c>
      <c r="B119" s="250">
        <v>15.0</v>
      </c>
      <c r="C119" s="254"/>
      <c r="D119" s="251"/>
      <c r="E119" s="250"/>
      <c r="F119" s="250"/>
      <c r="G119" s="250"/>
      <c r="H119" s="253"/>
      <c r="I119" s="249"/>
      <c r="J119" s="250"/>
    </row>
    <row r="120" ht="15.75" customHeight="1">
      <c r="A120" s="252" t="s">
        <v>3211</v>
      </c>
      <c r="B120" s="250">
        <v>16.0</v>
      </c>
      <c r="C120" s="254"/>
      <c r="D120" s="251"/>
      <c r="E120" s="250"/>
      <c r="F120" s="250"/>
      <c r="G120" s="250"/>
      <c r="H120" s="253"/>
      <c r="I120" s="249"/>
      <c r="J120" s="250"/>
    </row>
    <row r="121" ht="15.75" customHeight="1">
      <c r="A121" s="252" t="s">
        <v>3211</v>
      </c>
      <c r="B121" s="250">
        <v>17.0</v>
      </c>
      <c r="C121" s="250"/>
      <c r="D121" s="250"/>
      <c r="E121" s="250"/>
      <c r="F121" s="250"/>
      <c r="G121" s="250"/>
      <c r="H121" s="253"/>
      <c r="I121" s="249"/>
      <c r="J121" s="250"/>
    </row>
    <row r="122" ht="15.75" customHeight="1">
      <c r="A122" s="252" t="s">
        <v>3211</v>
      </c>
      <c r="B122" s="250">
        <v>18.0</v>
      </c>
      <c r="C122" s="250"/>
      <c r="D122" s="250"/>
      <c r="E122" s="250"/>
      <c r="F122" s="250"/>
      <c r="G122" s="250"/>
      <c r="H122" s="253"/>
      <c r="I122" s="249"/>
      <c r="J122" s="250"/>
    </row>
    <row r="123" ht="15.75" customHeight="1">
      <c r="A123" s="252" t="s">
        <v>3211</v>
      </c>
      <c r="B123" s="250">
        <v>19.0</v>
      </c>
      <c r="C123" s="253"/>
      <c r="D123" s="251"/>
      <c r="E123" s="250"/>
      <c r="F123" s="250"/>
      <c r="G123" s="250"/>
      <c r="H123" s="253"/>
      <c r="I123" s="249"/>
      <c r="J123" s="250"/>
    </row>
    <row r="124" ht="15.75" customHeight="1">
      <c r="A124" s="252" t="s">
        <v>3211</v>
      </c>
      <c r="B124" s="250">
        <v>20.0</v>
      </c>
      <c r="C124" s="253"/>
      <c r="D124" s="251"/>
      <c r="E124" s="250"/>
      <c r="F124" s="250"/>
      <c r="G124" s="250"/>
      <c r="H124" s="253"/>
      <c r="I124" s="249"/>
      <c r="J124" s="250"/>
    </row>
    <row r="125" ht="15.75" customHeight="1">
      <c r="A125" s="252" t="s">
        <v>3211</v>
      </c>
      <c r="B125" s="250">
        <v>21.0</v>
      </c>
      <c r="C125" s="254"/>
      <c r="D125" s="251"/>
      <c r="E125" s="250"/>
      <c r="F125" s="250"/>
      <c r="G125" s="250"/>
      <c r="H125" s="255"/>
      <c r="I125" s="249"/>
      <c r="J125" s="250"/>
    </row>
    <row r="126" ht="15.75" customHeight="1">
      <c r="A126" s="252" t="s">
        <v>3211</v>
      </c>
      <c r="B126" s="250">
        <v>22.0</v>
      </c>
      <c r="C126" s="254"/>
      <c r="D126" s="251"/>
      <c r="E126" s="250"/>
      <c r="F126" s="250"/>
      <c r="G126" s="250"/>
      <c r="H126" s="255"/>
      <c r="I126" s="249"/>
      <c r="J126" s="250"/>
    </row>
    <row r="127" ht="15.75" customHeight="1">
      <c r="A127" s="252" t="s">
        <v>3211</v>
      </c>
      <c r="B127" s="250">
        <v>23.0</v>
      </c>
      <c r="C127" s="253"/>
      <c r="D127" s="251"/>
      <c r="E127" s="250"/>
      <c r="F127" s="250"/>
      <c r="G127" s="250"/>
      <c r="H127" s="253"/>
      <c r="I127" s="249"/>
      <c r="J127" s="250"/>
    </row>
    <row r="128" ht="15.75" customHeight="1">
      <c r="A128" s="252" t="s">
        <v>3211</v>
      </c>
      <c r="B128" s="250">
        <v>24.0</v>
      </c>
      <c r="C128" s="253"/>
      <c r="D128" s="251"/>
      <c r="E128" s="250"/>
      <c r="F128" s="250"/>
      <c r="G128" s="250"/>
      <c r="H128" s="253"/>
      <c r="I128" s="249"/>
      <c r="J128" s="250"/>
    </row>
    <row r="129" ht="15.75" customHeight="1">
      <c r="A129" s="256"/>
      <c r="B129" s="257"/>
      <c r="C129" s="257"/>
      <c r="D129" s="258"/>
      <c r="E129" s="257"/>
      <c r="F129" s="257"/>
      <c r="G129" s="257"/>
      <c r="H129" s="259"/>
      <c r="I129" s="260"/>
      <c r="J129" s="257"/>
    </row>
    <row r="130" ht="15.75" customHeight="1">
      <c r="A130" s="244" t="s">
        <v>3212</v>
      </c>
      <c r="B130" s="245">
        <v>1.0</v>
      </c>
      <c r="C130" s="246"/>
      <c r="D130" s="247"/>
      <c r="E130" s="245"/>
      <c r="F130" s="245"/>
      <c r="G130" s="245"/>
      <c r="H130" s="248"/>
      <c r="I130" s="261"/>
    </row>
    <row r="131" ht="15.75" customHeight="1">
      <c r="A131" s="244" t="s">
        <v>3212</v>
      </c>
      <c r="B131" s="245">
        <v>3.0</v>
      </c>
      <c r="C131" s="246"/>
      <c r="D131" s="247"/>
      <c r="E131" s="245"/>
      <c r="F131" s="245"/>
      <c r="G131" s="245"/>
      <c r="H131" s="248"/>
      <c r="I131" s="262"/>
      <c r="J131" s="245"/>
    </row>
    <row r="132" ht="15.75" customHeight="1">
      <c r="A132" s="244" t="s">
        <v>3212</v>
      </c>
      <c r="B132" s="245">
        <v>4.0</v>
      </c>
      <c r="C132" s="246"/>
      <c r="D132" s="247"/>
      <c r="E132" s="245"/>
      <c r="F132" s="245"/>
      <c r="G132" s="245"/>
      <c r="H132" s="248"/>
      <c r="I132" s="262"/>
      <c r="J132" s="245"/>
    </row>
    <row r="133" ht="15.75" customHeight="1">
      <c r="A133" s="244" t="s">
        <v>3212</v>
      </c>
      <c r="B133" s="245">
        <v>5.0</v>
      </c>
      <c r="C133" s="246"/>
      <c r="D133" s="247"/>
      <c r="E133" s="245"/>
      <c r="F133" s="245"/>
      <c r="G133" s="245"/>
      <c r="H133" s="248"/>
      <c r="I133" s="262"/>
      <c r="J133" s="245"/>
    </row>
    <row r="134" ht="15.75" customHeight="1">
      <c r="A134" s="244" t="s">
        <v>3212</v>
      </c>
      <c r="B134" s="245">
        <v>6.0</v>
      </c>
      <c r="C134" s="246"/>
      <c r="D134" s="247"/>
      <c r="E134" s="245"/>
      <c r="F134" s="245"/>
      <c r="G134" s="245"/>
      <c r="H134" s="248"/>
      <c r="I134" s="262"/>
      <c r="J134" s="245"/>
    </row>
    <row r="135" ht="15.75" customHeight="1">
      <c r="A135" s="244" t="s">
        <v>3212</v>
      </c>
      <c r="B135" s="245">
        <v>7.0</v>
      </c>
      <c r="C135" s="245"/>
      <c r="D135" s="247"/>
      <c r="E135" s="245"/>
      <c r="F135" s="245"/>
      <c r="G135" s="245"/>
      <c r="H135" s="248"/>
      <c r="I135" s="262"/>
      <c r="J135" s="245"/>
    </row>
    <row r="136" ht="15.75" customHeight="1">
      <c r="A136" s="244" t="s">
        <v>3212</v>
      </c>
      <c r="B136" s="245">
        <v>8.0</v>
      </c>
      <c r="C136" s="245"/>
      <c r="D136" s="247"/>
      <c r="E136" s="245"/>
      <c r="F136" s="245"/>
      <c r="G136" s="245"/>
      <c r="H136" s="248"/>
      <c r="I136" s="262"/>
      <c r="J136" s="245"/>
    </row>
    <row r="137" ht="15.75" customHeight="1">
      <c r="A137" s="244" t="s">
        <v>3212</v>
      </c>
      <c r="B137" s="245">
        <v>9.0</v>
      </c>
      <c r="C137" s="245"/>
      <c r="D137" s="247"/>
      <c r="E137" s="245"/>
      <c r="F137" s="245"/>
      <c r="G137" s="245"/>
      <c r="H137" s="248"/>
      <c r="I137" s="262"/>
      <c r="J137" s="245"/>
    </row>
    <row r="138" ht="15.75" customHeight="1">
      <c r="A138" s="244" t="s">
        <v>3212</v>
      </c>
      <c r="B138" s="245">
        <v>10.0</v>
      </c>
      <c r="C138" s="245"/>
      <c r="D138" s="247"/>
      <c r="E138" s="245"/>
      <c r="F138" s="245"/>
      <c r="G138" s="245"/>
      <c r="H138" s="248"/>
      <c r="I138" s="262"/>
      <c r="J138" s="245"/>
    </row>
    <row r="139" ht="15.75" customHeight="1">
      <c r="A139" s="244" t="s">
        <v>3212</v>
      </c>
      <c r="B139" s="245">
        <v>11.0</v>
      </c>
      <c r="C139" s="245"/>
      <c r="D139" s="247"/>
      <c r="E139" s="245"/>
      <c r="F139" s="245"/>
      <c r="G139" s="245"/>
      <c r="H139" s="248"/>
      <c r="I139" s="262"/>
      <c r="J139" s="245"/>
    </row>
    <row r="140" ht="15.75" customHeight="1">
      <c r="A140" s="244" t="s">
        <v>3212</v>
      </c>
      <c r="B140" s="245">
        <v>12.0</v>
      </c>
      <c r="C140" s="245"/>
      <c r="D140" s="247"/>
      <c r="E140" s="245"/>
      <c r="F140" s="245"/>
      <c r="G140" s="245"/>
      <c r="H140" s="248"/>
      <c r="I140" s="262"/>
      <c r="J140" s="245"/>
    </row>
    <row r="141" ht="15.75" customHeight="1">
      <c r="A141" s="244" t="s">
        <v>3212</v>
      </c>
      <c r="B141" s="245">
        <v>13.0</v>
      </c>
      <c r="C141" s="245"/>
      <c r="D141" s="247"/>
      <c r="E141" s="245"/>
      <c r="F141" s="245"/>
      <c r="G141" s="245"/>
      <c r="H141" s="248"/>
      <c r="I141" s="262"/>
      <c r="J141" s="245"/>
    </row>
    <row r="142" ht="15.75" customHeight="1">
      <c r="A142" s="244" t="s">
        <v>3212</v>
      </c>
      <c r="B142" s="245">
        <v>14.0</v>
      </c>
      <c r="C142" s="245"/>
      <c r="D142" s="247"/>
      <c r="E142" s="245"/>
      <c r="F142" s="245"/>
      <c r="G142" s="245"/>
      <c r="H142" s="248"/>
      <c r="I142" s="262"/>
      <c r="J142" s="245"/>
    </row>
    <row r="143" ht="15.75" customHeight="1">
      <c r="A143" s="244" t="s">
        <v>3212</v>
      </c>
      <c r="B143" s="245">
        <v>15.0</v>
      </c>
      <c r="C143" s="245"/>
      <c r="D143" s="247"/>
      <c r="E143" s="245"/>
      <c r="F143" s="245"/>
      <c r="G143" s="245"/>
      <c r="H143" s="248"/>
      <c r="I143" s="262"/>
      <c r="J143" s="245"/>
    </row>
    <row r="144" ht="15.75" customHeight="1">
      <c r="A144" s="244" t="s">
        <v>3212</v>
      </c>
      <c r="B144" s="245">
        <v>16.0</v>
      </c>
      <c r="C144" s="245"/>
      <c r="D144" s="247"/>
      <c r="E144" s="245"/>
      <c r="F144" s="245"/>
      <c r="G144" s="245"/>
      <c r="H144" s="248"/>
      <c r="I144" s="262"/>
      <c r="J144" s="245"/>
    </row>
    <row r="145" ht="15.75" customHeight="1">
      <c r="A145" s="244" t="s">
        <v>3212</v>
      </c>
      <c r="B145" s="245">
        <v>17.0</v>
      </c>
      <c r="C145" s="245"/>
      <c r="D145" s="247"/>
      <c r="E145" s="245"/>
      <c r="F145" s="245"/>
      <c r="G145" s="245"/>
      <c r="H145" s="248"/>
      <c r="I145" s="261"/>
    </row>
    <row r="146" ht="15.75" customHeight="1">
      <c r="A146" s="244" t="s">
        <v>3212</v>
      </c>
      <c r="B146" s="245">
        <v>18.0</v>
      </c>
      <c r="C146" s="245"/>
      <c r="D146" s="247"/>
      <c r="E146" s="245"/>
      <c r="F146" s="245"/>
      <c r="G146" s="245"/>
      <c r="H146" s="248"/>
      <c r="I146" s="261"/>
      <c r="J146" s="245"/>
    </row>
    <row r="147" ht="15.75" customHeight="1">
      <c r="A147" s="244" t="s">
        <v>3212</v>
      </c>
      <c r="B147" s="245">
        <v>19.0</v>
      </c>
      <c r="C147" s="245"/>
      <c r="D147" s="247"/>
      <c r="E147" s="245"/>
      <c r="F147" s="245"/>
      <c r="G147" s="245"/>
      <c r="H147" s="248"/>
      <c r="I147" s="262"/>
      <c r="J147" s="245"/>
    </row>
    <row r="148" ht="15.75" customHeight="1">
      <c r="A148" s="244" t="s">
        <v>3212</v>
      </c>
      <c r="B148" s="245">
        <v>20.0</v>
      </c>
      <c r="C148" s="245"/>
      <c r="D148" s="247"/>
      <c r="E148" s="245"/>
      <c r="F148" s="245"/>
      <c r="G148" s="245"/>
      <c r="H148" s="248"/>
      <c r="I148" s="262"/>
      <c r="J148" s="245"/>
    </row>
    <row r="149" ht="15.75" customHeight="1">
      <c r="A149" s="244" t="s">
        <v>3212</v>
      </c>
      <c r="B149" s="245">
        <v>21.0</v>
      </c>
      <c r="C149" s="245"/>
      <c r="D149" s="247"/>
      <c r="E149" s="245"/>
      <c r="F149" s="245"/>
      <c r="G149" s="245"/>
      <c r="H149" s="248"/>
      <c r="I149" s="261"/>
      <c r="J149" s="245"/>
    </row>
    <row r="150" ht="15.75" customHeight="1">
      <c r="A150" s="244" t="s">
        <v>3212</v>
      </c>
      <c r="B150" s="245">
        <v>22.0</v>
      </c>
      <c r="C150" s="245"/>
      <c r="D150" s="247"/>
      <c r="E150" s="245"/>
      <c r="F150" s="245"/>
      <c r="G150" s="245"/>
      <c r="H150" s="248"/>
      <c r="I150" s="261"/>
      <c r="J150" s="245"/>
    </row>
    <row r="151" ht="15.75" customHeight="1">
      <c r="A151" s="244" t="s">
        <v>3212</v>
      </c>
      <c r="B151" s="245">
        <v>23.0</v>
      </c>
      <c r="C151" s="245"/>
      <c r="D151" s="247"/>
      <c r="E151" s="245"/>
      <c r="F151" s="245"/>
      <c r="G151" s="245"/>
      <c r="H151" s="248"/>
      <c r="I151" s="262"/>
      <c r="J151" s="245"/>
    </row>
    <row r="152" ht="15.75" customHeight="1">
      <c r="A152" s="244" t="s">
        <v>3212</v>
      </c>
      <c r="B152" s="245">
        <v>24.0</v>
      </c>
      <c r="C152" s="245"/>
      <c r="D152" s="247"/>
      <c r="E152" s="245"/>
      <c r="F152" s="245"/>
      <c r="G152" s="245"/>
      <c r="H152" s="248"/>
      <c r="I152" s="262"/>
      <c r="J152" s="245"/>
    </row>
    <row r="153" ht="15.75" customHeight="1">
      <c r="A153" s="256"/>
      <c r="B153" s="257"/>
      <c r="C153" s="257"/>
      <c r="D153" s="258"/>
      <c r="E153" s="257"/>
      <c r="F153" s="257"/>
      <c r="G153" s="257"/>
      <c r="H153" s="259"/>
      <c r="I153" s="260"/>
      <c r="J153" s="257"/>
    </row>
    <row r="154" ht="15.75" customHeight="1">
      <c r="A154" s="244" t="s">
        <v>3213</v>
      </c>
      <c r="B154" s="245">
        <v>1.0</v>
      </c>
      <c r="C154" s="246"/>
      <c r="D154" s="247"/>
      <c r="E154" s="245"/>
      <c r="F154" s="245"/>
      <c r="G154" s="245"/>
      <c r="H154" s="248"/>
      <c r="I154" s="262"/>
      <c r="J154" s="245"/>
    </row>
    <row r="155" ht="15.75" customHeight="1">
      <c r="A155" s="244" t="s">
        <v>3213</v>
      </c>
      <c r="B155" s="245">
        <v>2.0</v>
      </c>
      <c r="C155" s="246"/>
      <c r="D155" s="247"/>
      <c r="E155" s="245"/>
      <c r="F155" s="245"/>
      <c r="G155" s="245"/>
      <c r="H155" s="248"/>
      <c r="I155" s="262"/>
      <c r="J155" s="245"/>
    </row>
    <row r="156" ht="15.75" customHeight="1">
      <c r="A156" s="244" t="s">
        <v>3213</v>
      </c>
      <c r="B156" s="245">
        <v>3.0</v>
      </c>
      <c r="C156" s="246"/>
      <c r="D156" s="247"/>
      <c r="E156" s="245"/>
      <c r="F156" s="245"/>
      <c r="G156" s="245"/>
      <c r="H156" s="248"/>
      <c r="I156" s="262"/>
      <c r="J156" s="245"/>
    </row>
    <row r="157" ht="15.75" customHeight="1">
      <c r="A157" s="244" t="s">
        <v>3213</v>
      </c>
      <c r="B157" s="245">
        <v>4.0</v>
      </c>
      <c r="C157" s="246"/>
      <c r="D157" s="247"/>
      <c r="E157" s="245"/>
      <c r="F157" s="245"/>
      <c r="G157" s="245"/>
      <c r="H157" s="248"/>
      <c r="I157" s="262"/>
      <c r="J157" s="245"/>
    </row>
    <row r="158" ht="15.75" customHeight="1">
      <c r="A158" s="244" t="s">
        <v>3213</v>
      </c>
      <c r="B158" s="245">
        <v>5.0</v>
      </c>
      <c r="C158" s="246"/>
      <c r="D158" s="247"/>
      <c r="E158" s="245"/>
      <c r="F158" s="245"/>
      <c r="G158" s="245"/>
      <c r="H158" s="248"/>
      <c r="I158" s="262"/>
      <c r="J158" s="245"/>
    </row>
    <row r="159" ht="15.75" customHeight="1">
      <c r="A159" s="244" t="s">
        <v>3213</v>
      </c>
      <c r="B159" s="245">
        <v>6.0</v>
      </c>
      <c r="C159" s="246"/>
      <c r="D159" s="247"/>
      <c r="E159" s="245"/>
      <c r="F159" s="245"/>
      <c r="G159" s="245"/>
      <c r="H159" s="248"/>
      <c r="I159" s="262"/>
      <c r="J159" s="245"/>
    </row>
    <row r="160" ht="15.75" customHeight="1">
      <c r="A160" s="244" t="s">
        <v>3213</v>
      </c>
      <c r="B160" s="245">
        <v>7.0</v>
      </c>
      <c r="C160" s="246"/>
      <c r="D160" s="247"/>
      <c r="E160" s="245"/>
      <c r="F160" s="245"/>
      <c r="G160" s="245"/>
      <c r="H160" s="248"/>
      <c r="I160" s="262"/>
      <c r="J160" s="245"/>
    </row>
    <row r="161" ht="15.75" customHeight="1">
      <c r="A161" s="244" t="s">
        <v>3213</v>
      </c>
      <c r="B161" s="245">
        <v>8.0</v>
      </c>
      <c r="C161" s="246"/>
      <c r="D161" s="247"/>
      <c r="E161" s="245"/>
      <c r="F161" s="245"/>
      <c r="G161" s="245"/>
      <c r="H161" s="248"/>
      <c r="I161" s="262"/>
      <c r="J161" s="245"/>
    </row>
    <row r="162" ht="15.75" customHeight="1">
      <c r="A162" s="244" t="s">
        <v>3213</v>
      </c>
      <c r="B162" s="245">
        <v>9.0</v>
      </c>
      <c r="C162" s="246"/>
      <c r="D162" s="247"/>
      <c r="E162" s="245"/>
      <c r="F162" s="245"/>
      <c r="G162" s="245"/>
      <c r="H162" s="248"/>
      <c r="I162" s="262"/>
      <c r="J162" s="245"/>
    </row>
    <row r="163" ht="15.75" customHeight="1">
      <c r="A163" s="244" t="s">
        <v>3213</v>
      </c>
      <c r="B163" s="245">
        <v>10.0</v>
      </c>
      <c r="C163" s="246"/>
      <c r="D163" s="247"/>
      <c r="E163" s="245"/>
      <c r="F163" s="245"/>
      <c r="G163" s="245"/>
      <c r="H163" s="248"/>
      <c r="I163" s="262"/>
      <c r="J163" s="245"/>
    </row>
    <row r="164" ht="15.75" customHeight="1">
      <c r="A164" s="244" t="s">
        <v>3213</v>
      </c>
      <c r="B164" s="245">
        <v>11.0</v>
      </c>
      <c r="C164" s="246"/>
      <c r="D164" s="247"/>
      <c r="E164" s="245"/>
      <c r="F164" s="245"/>
      <c r="G164" s="245"/>
      <c r="H164" s="248"/>
      <c r="I164" s="262"/>
      <c r="J164" s="245"/>
    </row>
    <row r="165" ht="15.75" customHeight="1">
      <c r="A165" s="244" t="s">
        <v>3213</v>
      </c>
      <c r="B165" s="245">
        <v>12.0</v>
      </c>
      <c r="C165" s="246"/>
      <c r="D165" s="247"/>
      <c r="E165" s="245"/>
      <c r="F165" s="245"/>
      <c r="G165" s="245"/>
      <c r="H165" s="248"/>
      <c r="I165" s="262"/>
      <c r="J165" s="245"/>
    </row>
    <row r="166" ht="15.75" customHeight="1">
      <c r="A166" s="244" t="s">
        <v>3213</v>
      </c>
      <c r="B166" s="245">
        <v>13.0</v>
      </c>
      <c r="C166" s="246"/>
      <c r="D166" s="247"/>
      <c r="E166" s="245"/>
      <c r="F166" s="245"/>
      <c r="G166" s="245"/>
      <c r="H166" s="248"/>
      <c r="I166" s="262"/>
      <c r="J166" s="245"/>
    </row>
    <row r="167" ht="15.75" customHeight="1">
      <c r="A167" s="244" t="s">
        <v>3213</v>
      </c>
      <c r="B167" s="245">
        <v>14.0</v>
      </c>
      <c r="C167" s="246"/>
      <c r="D167" s="247"/>
      <c r="E167" s="245"/>
      <c r="F167" s="245"/>
      <c r="G167" s="245"/>
      <c r="H167" s="248"/>
      <c r="I167" s="262"/>
      <c r="J167" s="245"/>
    </row>
    <row r="168" ht="15.75" customHeight="1">
      <c r="A168" s="244" t="s">
        <v>3213</v>
      </c>
      <c r="B168" s="245">
        <v>15.0</v>
      </c>
      <c r="C168" s="246"/>
      <c r="D168" s="247"/>
      <c r="E168" s="245"/>
      <c r="F168" s="245"/>
      <c r="G168" s="245"/>
      <c r="H168" s="248"/>
      <c r="I168" s="262"/>
      <c r="J168" s="245"/>
    </row>
    <row r="169" ht="15.75" customHeight="1">
      <c r="A169" s="244" t="s">
        <v>3213</v>
      </c>
      <c r="B169" s="245">
        <v>16.0</v>
      </c>
      <c r="C169" s="246"/>
      <c r="D169" s="247"/>
      <c r="E169" s="245"/>
      <c r="F169" s="245"/>
      <c r="G169" s="245"/>
      <c r="H169" s="248"/>
      <c r="I169" s="262"/>
      <c r="J169" s="245"/>
    </row>
    <row r="170" ht="15.75" customHeight="1">
      <c r="A170" s="244" t="s">
        <v>3213</v>
      </c>
      <c r="B170" s="245">
        <v>17.0</v>
      </c>
      <c r="C170" s="246"/>
      <c r="D170" s="247"/>
      <c r="E170" s="245"/>
      <c r="F170" s="245"/>
      <c r="G170" s="245"/>
      <c r="H170" s="248"/>
      <c r="I170" s="262"/>
      <c r="J170" s="245"/>
    </row>
    <row r="171" ht="15.75" customHeight="1">
      <c r="A171" s="244" t="s">
        <v>3213</v>
      </c>
      <c r="B171" s="245">
        <v>18.0</v>
      </c>
      <c r="C171" s="246"/>
      <c r="D171" s="247"/>
      <c r="E171" s="245"/>
      <c r="F171" s="245"/>
      <c r="G171" s="245"/>
      <c r="H171" s="248"/>
      <c r="I171" s="262"/>
      <c r="J171" s="245"/>
    </row>
    <row r="172" ht="15.75" customHeight="1">
      <c r="A172" s="244" t="s">
        <v>3213</v>
      </c>
      <c r="B172" s="245">
        <v>19.0</v>
      </c>
      <c r="C172" s="246"/>
      <c r="D172" s="247"/>
      <c r="E172" s="245"/>
      <c r="F172" s="245"/>
      <c r="G172" s="245"/>
      <c r="H172" s="248"/>
      <c r="I172" s="262"/>
      <c r="J172" s="245"/>
    </row>
    <row r="173" ht="15.75" customHeight="1">
      <c r="A173" s="244" t="s">
        <v>3213</v>
      </c>
      <c r="B173" s="245">
        <v>20.0</v>
      </c>
      <c r="C173" s="246"/>
      <c r="D173" s="247"/>
      <c r="E173" s="245"/>
      <c r="F173" s="245"/>
      <c r="G173" s="245"/>
      <c r="H173" s="248"/>
      <c r="I173" s="262"/>
      <c r="J173" s="245"/>
    </row>
    <row r="174" ht="15.75" customHeight="1">
      <c r="A174" s="244" t="s">
        <v>3213</v>
      </c>
      <c r="B174" s="245">
        <v>21.0</v>
      </c>
      <c r="C174" s="246"/>
      <c r="D174" s="247"/>
      <c r="E174" s="245"/>
      <c r="F174" s="245"/>
      <c r="G174" s="245"/>
      <c r="H174" s="248"/>
      <c r="I174" s="262"/>
      <c r="J174" s="245"/>
    </row>
    <row r="175" ht="15.75" customHeight="1">
      <c r="A175" s="244" t="s">
        <v>3213</v>
      </c>
      <c r="B175" s="245">
        <v>22.0</v>
      </c>
      <c r="C175" s="246"/>
      <c r="D175" s="247"/>
      <c r="E175" s="245"/>
      <c r="F175" s="245"/>
      <c r="G175" s="245"/>
      <c r="H175" s="248"/>
      <c r="I175" s="262"/>
      <c r="J175" s="245"/>
    </row>
    <row r="176" ht="15.75" customHeight="1">
      <c r="A176" s="244" t="s">
        <v>3213</v>
      </c>
      <c r="B176" s="245">
        <v>23.0</v>
      </c>
      <c r="C176" s="246"/>
      <c r="D176" s="247"/>
      <c r="E176" s="245"/>
      <c r="F176" s="245"/>
      <c r="G176" s="245"/>
      <c r="H176" s="248"/>
      <c r="I176" s="262"/>
      <c r="J176" s="245"/>
    </row>
    <row r="177" ht="15.75" customHeight="1">
      <c r="A177" s="256"/>
      <c r="B177" s="257"/>
      <c r="C177" s="257"/>
      <c r="D177" s="258"/>
      <c r="E177" s="257"/>
      <c r="F177" s="257"/>
      <c r="G177" s="257"/>
      <c r="H177" s="259"/>
      <c r="I177" s="260"/>
      <c r="J177" s="257"/>
    </row>
    <row r="178" ht="15.75" customHeight="1">
      <c r="A178" s="244" t="s">
        <v>3214</v>
      </c>
      <c r="B178" s="245">
        <v>1.0</v>
      </c>
      <c r="C178" s="246"/>
      <c r="D178" s="247"/>
      <c r="E178" s="245"/>
      <c r="F178" s="245"/>
      <c r="G178" s="245"/>
      <c r="H178" s="248"/>
      <c r="I178" s="262"/>
      <c r="J178" s="245"/>
    </row>
    <row r="179" ht="15.75" customHeight="1">
      <c r="A179" s="244" t="s">
        <v>3214</v>
      </c>
      <c r="B179" s="245">
        <v>2.0</v>
      </c>
      <c r="C179" s="246"/>
      <c r="D179" s="247"/>
      <c r="E179" s="245"/>
      <c r="F179" s="245"/>
      <c r="G179" s="245"/>
      <c r="H179" s="248"/>
      <c r="I179" s="262"/>
      <c r="J179" s="245"/>
    </row>
    <row r="180" ht="15.75" customHeight="1">
      <c r="A180" s="244" t="s">
        <v>3214</v>
      </c>
      <c r="B180" s="245">
        <v>3.0</v>
      </c>
      <c r="C180" s="246"/>
      <c r="D180" s="247"/>
      <c r="E180" s="245"/>
      <c r="F180" s="245"/>
      <c r="G180" s="245"/>
      <c r="H180" s="248"/>
      <c r="I180" s="262"/>
      <c r="J180" s="245"/>
    </row>
    <row r="181" ht="15.75" customHeight="1">
      <c r="A181" s="244" t="s">
        <v>3214</v>
      </c>
      <c r="B181" s="245">
        <v>4.0</v>
      </c>
      <c r="C181" s="246"/>
      <c r="D181" s="247"/>
      <c r="E181" s="245"/>
      <c r="F181" s="245"/>
      <c r="G181" s="245"/>
      <c r="H181" s="248"/>
      <c r="I181" s="262"/>
      <c r="J181" s="245"/>
    </row>
    <row r="182" ht="15.75" customHeight="1">
      <c r="A182" s="244" t="s">
        <v>3214</v>
      </c>
      <c r="B182" s="245">
        <v>5.0</v>
      </c>
      <c r="C182" s="246"/>
      <c r="D182" s="247"/>
      <c r="E182" s="245"/>
      <c r="F182" s="245"/>
      <c r="G182" s="245"/>
      <c r="H182" s="248"/>
      <c r="I182" s="249"/>
      <c r="J182" s="250"/>
    </row>
    <row r="183" ht="15.75" customHeight="1">
      <c r="A183" s="244" t="s">
        <v>3214</v>
      </c>
      <c r="B183" s="245">
        <v>6.0</v>
      </c>
      <c r="C183" s="246"/>
      <c r="D183" s="247"/>
      <c r="E183" s="245"/>
      <c r="F183" s="245"/>
      <c r="G183" s="245"/>
      <c r="H183" s="248"/>
      <c r="I183" s="262"/>
      <c r="J183" s="245"/>
    </row>
    <row r="184" ht="15.75" customHeight="1">
      <c r="A184" s="244" t="s">
        <v>3214</v>
      </c>
      <c r="B184" s="245">
        <v>7.0</v>
      </c>
      <c r="C184" s="246"/>
      <c r="D184" s="247"/>
      <c r="E184" s="245"/>
      <c r="F184" s="245"/>
      <c r="G184" s="245"/>
      <c r="H184" s="248"/>
      <c r="I184" s="262"/>
      <c r="J184" s="245"/>
    </row>
    <row r="185" ht="15.75" customHeight="1">
      <c r="A185" s="244" t="s">
        <v>3214</v>
      </c>
      <c r="B185" s="245">
        <v>8.0</v>
      </c>
      <c r="C185" s="246"/>
      <c r="D185" s="247"/>
      <c r="E185" s="245"/>
      <c r="F185" s="245"/>
      <c r="G185" s="245"/>
      <c r="H185" s="248"/>
      <c r="I185" s="262"/>
      <c r="J185" s="245"/>
    </row>
    <row r="186" ht="15.75" customHeight="1">
      <c r="A186" s="244" t="s">
        <v>3214</v>
      </c>
      <c r="B186" s="245">
        <v>9.0</v>
      </c>
      <c r="C186" s="246"/>
      <c r="D186" s="247"/>
      <c r="E186" s="245"/>
      <c r="F186" s="245"/>
      <c r="G186" s="245"/>
      <c r="H186" s="248"/>
      <c r="I186" s="262"/>
      <c r="J186" s="245"/>
    </row>
    <row r="187" ht="15.75" customHeight="1">
      <c r="A187" s="244" t="s">
        <v>3214</v>
      </c>
      <c r="B187" s="245">
        <v>10.0</v>
      </c>
      <c r="C187" s="246"/>
      <c r="D187" s="247"/>
      <c r="E187" s="245"/>
      <c r="F187" s="245"/>
      <c r="G187" s="245"/>
      <c r="H187" s="248"/>
      <c r="I187" s="262"/>
      <c r="J187" s="245"/>
    </row>
    <row r="188" ht="15.75" customHeight="1">
      <c r="A188" s="244" t="s">
        <v>3214</v>
      </c>
      <c r="B188" s="245">
        <v>11.0</v>
      </c>
      <c r="C188" s="246"/>
      <c r="D188" s="247"/>
      <c r="E188" s="245"/>
      <c r="F188" s="245"/>
      <c r="G188" s="245"/>
      <c r="H188" s="248"/>
      <c r="I188" s="262"/>
      <c r="J188" s="245"/>
    </row>
    <row r="189" ht="15.75" customHeight="1">
      <c r="A189" s="244" t="s">
        <v>3214</v>
      </c>
      <c r="B189" s="245">
        <v>12.0</v>
      </c>
      <c r="C189" s="246"/>
      <c r="D189" s="247"/>
      <c r="E189" s="245"/>
      <c r="F189" s="245"/>
      <c r="G189" s="245"/>
      <c r="H189" s="248"/>
      <c r="I189" s="262"/>
      <c r="J189" s="245"/>
    </row>
    <row r="190" ht="15.75" customHeight="1">
      <c r="A190" s="244" t="s">
        <v>3214</v>
      </c>
      <c r="B190" s="245">
        <v>13.0</v>
      </c>
      <c r="C190" s="246"/>
      <c r="D190" s="247"/>
      <c r="E190" s="245"/>
      <c r="F190" s="245"/>
      <c r="G190" s="245"/>
      <c r="H190" s="248"/>
      <c r="I190" s="262"/>
      <c r="J190" s="245"/>
    </row>
    <row r="191" ht="15.75" customHeight="1">
      <c r="A191" s="244" t="s">
        <v>3214</v>
      </c>
      <c r="B191" s="245">
        <v>14.0</v>
      </c>
      <c r="C191" s="246"/>
      <c r="D191" s="247"/>
      <c r="E191" s="245"/>
      <c r="F191" s="245"/>
      <c r="G191" s="245"/>
      <c r="H191" s="248"/>
      <c r="I191" s="262"/>
      <c r="J191" s="245"/>
    </row>
    <row r="192" ht="15.75" customHeight="1">
      <c r="A192" s="244" t="s">
        <v>3214</v>
      </c>
      <c r="B192" s="245">
        <v>15.0</v>
      </c>
      <c r="C192" s="246"/>
      <c r="D192" s="247"/>
      <c r="E192" s="245"/>
      <c r="F192" s="245"/>
      <c r="G192" s="245"/>
      <c r="H192" s="248"/>
      <c r="I192" s="262"/>
      <c r="J192" s="245"/>
    </row>
    <row r="193" ht="15.75" customHeight="1">
      <c r="A193" s="244" t="s">
        <v>3214</v>
      </c>
      <c r="B193" s="245">
        <v>16.0</v>
      </c>
      <c r="C193" s="246"/>
      <c r="D193" s="247"/>
      <c r="E193" s="245"/>
      <c r="F193" s="245"/>
      <c r="G193" s="245"/>
      <c r="H193" s="248"/>
      <c r="I193" s="262"/>
      <c r="J193" s="245"/>
    </row>
    <row r="194" ht="15.75" customHeight="1">
      <c r="A194" s="244" t="s">
        <v>3214</v>
      </c>
      <c r="B194" s="245">
        <v>17.0</v>
      </c>
      <c r="C194" s="246"/>
      <c r="D194" s="247"/>
      <c r="E194" s="245"/>
      <c r="F194" s="245"/>
      <c r="G194" s="245"/>
      <c r="H194" s="248"/>
      <c r="I194" s="262"/>
      <c r="J194" s="245"/>
    </row>
    <row r="195" ht="15.75" customHeight="1">
      <c r="A195" s="244" t="s">
        <v>3214</v>
      </c>
      <c r="B195" s="245">
        <v>18.0</v>
      </c>
      <c r="C195" s="246"/>
      <c r="D195" s="247"/>
      <c r="E195" s="245"/>
      <c r="F195" s="245"/>
      <c r="G195" s="245"/>
      <c r="H195" s="248"/>
      <c r="I195" s="262"/>
      <c r="J195" s="245"/>
    </row>
    <row r="196" ht="15.75" customHeight="1">
      <c r="A196" s="244" t="s">
        <v>3214</v>
      </c>
      <c r="B196" s="245">
        <v>19.0</v>
      </c>
      <c r="C196" s="246"/>
      <c r="D196" s="247"/>
      <c r="E196" s="245"/>
      <c r="F196" s="245"/>
      <c r="G196" s="245"/>
      <c r="H196" s="248"/>
      <c r="I196" s="262"/>
      <c r="J196" s="245"/>
    </row>
    <row r="197" ht="15.75" customHeight="1">
      <c r="A197" s="244" t="s">
        <v>3214</v>
      </c>
      <c r="B197" s="245">
        <v>20.0</v>
      </c>
      <c r="C197" s="246"/>
      <c r="D197" s="247"/>
      <c r="E197" s="245"/>
      <c r="F197" s="245"/>
      <c r="G197" s="245"/>
      <c r="H197" s="248"/>
      <c r="I197" s="262"/>
      <c r="J197" s="245"/>
    </row>
    <row r="198" ht="15.75" customHeight="1">
      <c r="A198" s="244" t="s">
        <v>3214</v>
      </c>
      <c r="B198" s="245">
        <v>21.0</v>
      </c>
      <c r="C198" s="246"/>
      <c r="D198" s="247"/>
      <c r="E198" s="245"/>
      <c r="F198" s="245"/>
      <c r="G198" s="245"/>
      <c r="H198" s="248"/>
      <c r="I198" s="262"/>
      <c r="J198" s="245"/>
    </row>
    <row r="199" ht="15.75" customHeight="1">
      <c r="A199" s="244" t="s">
        <v>3214</v>
      </c>
      <c r="B199" s="245">
        <v>22.0</v>
      </c>
      <c r="C199" s="246"/>
      <c r="D199" s="247"/>
      <c r="E199" s="245"/>
      <c r="F199" s="245"/>
      <c r="G199" s="245"/>
      <c r="H199" s="248"/>
      <c r="I199" s="262"/>
      <c r="J199" s="245"/>
    </row>
    <row r="200" ht="15.75" customHeight="1">
      <c r="A200" s="244" t="s">
        <v>3214</v>
      </c>
      <c r="B200" s="245">
        <v>23.0</v>
      </c>
      <c r="C200" s="246"/>
      <c r="D200" s="247"/>
      <c r="E200" s="245"/>
      <c r="F200" s="245"/>
      <c r="G200" s="245"/>
      <c r="H200" s="248"/>
      <c r="I200" s="262"/>
      <c r="J200" s="245"/>
    </row>
    <row r="201" ht="15.75" customHeight="1">
      <c r="A201" s="256"/>
      <c r="B201" s="257"/>
      <c r="C201" s="257"/>
      <c r="D201" s="258"/>
      <c r="E201" s="257"/>
      <c r="F201" s="257"/>
      <c r="G201" s="257"/>
      <c r="H201" s="259"/>
      <c r="I201" s="260"/>
      <c r="J201" s="257"/>
    </row>
    <row r="202" ht="15.75" customHeight="1">
      <c r="A202" s="245"/>
      <c r="B202" s="245"/>
      <c r="C202" s="245"/>
      <c r="D202" s="247"/>
      <c r="E202" s="245"/>
      <c r="F202" s="245"/>
      <c r="G202" s="245"/>
      <c r="H202" s="248"/>
      <c r="I202" s="262"/>
      <c r="J202" s="245"/>
    </row>
    <row r="203" ht="15.75" customHeight="1">
      <c r="A203" s="245"/>
      <c r="B203" s="245"/>
      <c r="C203" s="245"/>
      <c r="D203" s="247"/>
      <c r="E203" s="245"/>
      <c r="F203" s="245"/>
      <c r="G203" s="263" t="s">
        <v>3215</v>
      </c>
      <c r="H203" s="263" t="s">
        <v>3216</v>
      </c>
      <c r="I203" s="264" t="s">
        <v>3217</v>
      </c>
      <c r="J203" s="263" t="s">
        <v>3218</v>
      </c>
    </row>
    <row r="204" ht="15.75" customHeight="1">
      <c r="A204" s="245"/>
      <c r="B204" s="245"/>
      <c r="C204" s="245"/>
      <c r="D204" s="247"/>
      <c r="E204" s="245"/>
      <c r="F204" s="245"/>
      <c r="G204" s="245"/>
      <c r="H204" s="248"/>
      <c r="I204" s="262"/>
      <c r="J204" s="245"/>
    </row>
    <row r="205" ht="15.75" customHeight="1">
      <c r="A205" s="237" t="s">
        <v>2661</v>
      </c>
      <c r="B205" s="238"/>
      <c r="C205" s="238"/>
      <c r="D205" s="238"/>
      <c r="E205" s="238"/>
      <c r="F205" s="238"/>
      <c r="G205" s="238"/>
      <c r="H205" s="238"/>
      <c r="I205" s="238"/>
      <c r="J205" s="239"/>
    </row>
    <row r="206" ht="15.75" customHeight="1">
      <c r="A206" s="240" t="s">
        <v>11</v>
      </c>
      <c r="B206" s="240" t="s">
        <v>12</v>
      </c>
      <c r="C206" s="240" t="s">
        <v>3206</v>
      </c>
      <c r="D206" s="241" t="s">
        <v>468</v>
      </c>
      <c r="E206" s="240" t="s">
        <v>3207</v>
      </c>
      <c r="F206" s="240" t="s">
        <v>16</v>
      </c>
      <c r="G206" s="240" t="s">
        <v>3208</v>
      </c>
      <c r="H206" s="242" t="s">
        <v>18</v>
      </c>
      <c r="I206" s="243" t="s">
        <v>3209</v>
      </c>
      <c r="J206" s="240" t="s">
        <v>3210</v>
      </c>
    </row>
    <row r="207" ht="15.75" customHeight="1">
      <c r="A207" s="244" t="s">
        <v>3211</v>
      </c>
      <c r="B207" s="245">
        <v>1.0</v>
      </c>
      <c r="C207" s="246"/>
      <c r="D207" s="247"/>
      <c r="E207" s="245"/>
      <c r="F207" s="245"/>
      <c r="G207" s="245"/>
      <c r="H207" s="248"/>
      <c r="I207" s="249"/>
      <c r="J207" s="250"/>
    </row>
    <row r="208" ht="15.75" customHeight="1">
      <c r="A208" s="244" t="s">
        <v>3211</v>
      </c>
      <c r="B208" s="245">
        <v>2.0</v>
      </c>
      <c r="C208" s="246"/>
      <c r="D208" s="247"/>
      <c r="E208" s="245"/>
      <c r="F208" s="245"/>
      <c r="G208" s="245"/>
      <c r="H208" s="248"/>
      <c r="I208" s="249"/>
      <c r="J208" s="250"/>
    </row>
    <row r="209" ht="15.75" customHeight="1">
      <c r="A209" s="244" t="s">
        <v>3211</v>
      </c>
      <c r="B209" s="245">
        <v>3.0</v>
      </c>
      <c r="C209" s="246"/>
      <c r="D209" s="247"/>
      <c r="E209" s="245"/>
      <c r="F209" s="245"/>
      <c r="G209" s="245"/>
      <c r="H209" s="248"/>
      <c r="I209" s="249"/>
      <c r="J209" s="251"/>
    </row>
    <row r="210" ht="15.75" customHeight="1">
      <c r="A210" s="244" t="s">
        <v>3211</v>
      </c>
      <c r="B210" s="245">
        <v>4.0</v>
      </c>
      <c r="C210" s="246"/>
      <c r="D210" s="247"/>
      <c r="E210" s="245"/>
      <c r="F210" s="245"/>
      <c r="G210" s="245"/>
      <c r="H210" s="248"/>
      <c r="I210" s="249"/>
      <c r="J210" s="251"/>
    </row>
    <row r="211" ht="15.75" customHeight="1">
      <c r="A211" s="244" t="s">
        <v>3211</v>
      </c>
      <c r="B211" s="245">
        <v>5.0</v>
      </c>
      <c r="C211" s="246"/>
      <c r="D211" s="247"/>
      <c r="E211" s="245"/>
      <c r="F211" s="245"/>
      <c r="G211" s="245"/>
      <c r="H211" s="248"/>
      <c r="I211" s="249"/>
      <c r="J211" s="251"/>
    </row>
    <row r="212" ht="15.75" customHeight="1">
      <c r="A212" s="244" t="s">
        <v>3211</v>
      </c>
      <c r="B212" s="245">
        <v>6.0</v>
      </c>
      <c r="C212" s="246"/>
      <c r="D212" s="247"/>
      <c r="E212" s="245"/>
      <c r="F212" s="245"/>
      <c r="G212" s="245"/>
      <c r="H212" s="248"/>
      <c r="I212" s="249"/>
      <c r="J212" s="251"/>
    </row>
    <row r="213" ht="15.75" customHeight="1">
      <c r="A213" s="252" t="s">
        <v>3211</v>
      </c>
      <c r="B213" s="250">
        <v>7.0</v>
      </c>
      <c r="C213" s="250"/>
      <c r="D213" s="250"/>
      <c r="E213" s="250"/>
      <c r="F213" s="250"/>
      <c r="G213" s="250"/>
      <c r="H213" s="253"/>
      <c r="I213" s="249"/>
      <c r="J213" s="250"/>
    </row>
    <row r="214" ht="15.75" customHeight="1">
      <c r="A214" s="252" t="s">
        <v>3211</v>
      </c>
      <c r="B214" s="250">
        <v>8.0</v>
      </c>
      <c r="C214" s="250"/>
      <c r="D214" s="250"/>
      <c r="E214" s="250"/>
      <c r="F214" s="250"/>
      <c r="G214" s="250"/>
      <c r="H214" s="253"/>
      <c r="I214" s="249"/>
      <c r="J214" s="250"/>
    </row>
    <row r="215" ht="15.75" customHeight="1">
      <c r="A215" s="252" t="s">
        <v>3211</v>
      </c>
      <c r="B215" s="250">
        <v>9.0</v>
      </c>
      <c r="C215" s="254"/>
      <c r="D215" s="251"/>
      <c r="E215" s="250"/>
      <c r="F215" s="250"/>
      <c r="G215" s="250"/>
      <c r="H215" s="253"/>
      <c r="I215" s="249"/>
      <c r="J215" s="251"/>
    </row>
    <row r="216" ht="15.75" customHeight="1">
      <c r="A216" s="252" t="s">
        <v>3211</v>
      </c>
      <c r="B216" s="250">
        <v>10.0</v>
      </c>
      <c r="C216" s="254"/>
      <c r="D216" s="251"/>
      <c r="E216" s="250"/>
      <c r="F216" s="250"/>
      <c r="G216" s="250"/>
      <c r="H216" s="253"/>
      <c r="I216" s="249"/>
      <c r="J216" s="251"/>
    </row>
    <row r="217" ht="15.75" customHeight="1">
      <c r="A217" s="252" t="s">
        <v>3211</v>
      </c>
      <c r="B217" s="250">
        <v>11.0</v>
      </c>
      <c r="C217" s="254"/>
      <c r="D217" s="251"/>
      <c r="E217" s="250"/>
      <c r="F217" s="250"/>
      <c r="G217" s="250"/>
      <c r="H217" s="253"/>
      <c r="I217" s="249"/>
      <c r="J217" s="251"/>
    </row>
    <row r="218" ht="15.75" customHeight="1">
      <c r="A218" s="252" t="s">
        <v>3211</v>
      </c>
      <c r="B218" s="250">
        <v>12.0</v>
      </c>
      <c r="C218" s="254"/>
      <c r="D218" s="251"/>
      <c r="E218" s="250"/>
      <c r="F218" s="250"/>
      <c r="G218" s="250"/>
      <c r="H218" s="253"/>
      <c r="I218" s="249"/>
      <c r="J218" s="251"/>
    </row>
    <row r="219" ht="15.75" customHeight="1">
      <c r="A219" s="252" t="s">
        <v>3211</v>
      </c>
      <c r="B219" s="250">
        <v>13.0</v>
      </c>
      <c r="C219" s="254"/>
      <c r="D219" s="251"/>
      <c r="E219" s="250"/>
      <c r="F219" s="250"/>
      <c r="G219" s="250"/>
      <c r="H219" s="253"/>
      <c r="I219" s="249"/>
      <c r="J219" s="251"/>
    </row>
    <row r="220" ht="15.75" customHeight="1">
      <c r="A220" s="252" t="s">
        <v>3211</v>
      </c>
      <c r="B220" s="250">
        <v>14.0</v>
      </c>
      <c r="C220" s="254"/>
      <c r="D220" s="251"/>
      <c r="E220" s="250"/>
      <c r="F220" s="250"/>
      <c r="G220" s="250"/>
      <c r="H220" s="253"/>
      <c r="I220" s="249"/>
      <c r="J220" s="251"/>
    </row>
    <row r="221" ht="15.75" customHeight="1">
      <c r="A221" s="252" t="s">
        <v>3211</v>
      </c>
      <c r="B221" s="250">
        <v>15.0</v>
      </c>
      <c r="C221" s="254"/>
      <c r="D221" s="251"/>
      <c r="E221" s="250"/>
      <c r="F221" s="250"/>
      <c r="G221" s="250"/>
      <c r="H221" s="253"/>
      <c r="I221" s="249"/>
      <c r="J221" s="250"/>
    </row>
    <row r="222" ht="15.75" customHeight="1">
      <c r="A222" s="252" t="s">
        <v>3211</v>
      </c>
      <c r="B222" s="250">
        <v>16.0</v>
      </c>
      <c r="C222" s="254"/>
      <c r="D222" s="251"/>
      <c r="E222" s="250"/>
      <c r="F222" s="250"/>
      <c r="G222" s="250"/>
      <c r="H222" s="253"/>
      <c r="I222" s="249"/>
      <c r="J222" s="250"/>
    </row>
    <row r="223" ht="15.75" customHeight="1">
      <c r="A223" s="252" t="s">
        <v>3211</v>
      </c>
      <c r="B223" s="250">
        <v>17.0</v>
      </c>
      <c r="C223" s="250"/>
      <c r="D223" s="250"/>
      <c r="E223" s="250"/>
      <c r="F223" s="250"/>
      <c r="G223" s="250"/>
      <c r="H223" s="253"/>
      <c r="I223" s="249"/>
      <c r="J223" s="250"/>
    </row>
    <row r="224" ht="15.75" customHeight="1">
      <c r="A224" s="252" t="s">
        <v>3211</v>
      </c>
      <c r="B224" s="250">
        <v>18.0</v>
      </c>
      <c r="C224" s="250"/>
      <c r="D224" s="250"/>
      <c r="E224" s="250"/>
      <c r="F224" s="250"/>
      <c r="G224" s="250"/>
      <c r="H224" s="253"/>
      <c r="I224" s="249"/>
      <c r="J224" s="250"/>
    </row>
    <row r="225" ht="15.75" customHeight="1">
      <c r="A225" s="252" t="s">
        <v>3211</v>
      </c>
      <c r="B225" s="250">
        <v>19.0</v>
      </c>
      <c r="C225" s="253"/>
      <c r="D225" s="251"/>
      <c r="E225" s="250"/>
      <c r="F225" s="250"/>
      <c r="G225" s="250"/>
      <c r="H225" s="253"/>
      <c r="I225" s="249"/>
      <c r="J225" s="250"/>
    </row>
    <row r="226" ht="15.75" customHeight="1">
      <c r="A226" s="252" t="s">
        <v>3211</v>
      </c>
      <c r="B226" s="250">
        <v>20.0</v>
      </c>
      <c r="C226" s="253"/>
      <c r="D226" s="251"/>
      <c r="E226" s="250"/>
      <c r="F226" s="250"/>
      <c r="G226" s="250"/>
      <c r="H226" s="253"/>
      <c r="I226" s="249"/>
      <c r="J226" s="250"/>
    </row>
    <row r="227" ht="15.75" customHeight="1">
      <c r="A227" s="252" t="s">
        <v>3211</v>
      </c>
      <c r="B227" s="250">
        <v>21.0</v>
      </c>
      <c r="C227" s="254"/>
      <c r="D227" s="251"/>
      <c r="E227" s="250"/>
      <c r="F227" s="250"/>
      <c r="G227" s="250"/>
      <c r="H227" s="255"/>
      <c r="I227" s="249"/>
      <c r="J227" s="250"/>
    </row>
    <row r="228" ht="15.75" customHeight="1">
      <c r="A228" s="252" t="s">
        <v>3211</v>
      </c>
      <c r="B228" s="250">
        <v>22.0</v>
      </c>
      <c r="C228" s="254"/>
      <c r="D228" s="251"/>
      <c r="E228" s="250"/>
      <c r="F228" s="250"/>
      <c r="G228" s="250"/>
      <c r="H228" s="255"/>
      <c r="I228" s="249"/>
      <c r="J228" s="250"/>
    </row>
    <row r="229" ht="15.75" customHeight="1">
      <c r="A229" s="252" t="s">
        <v>3211</v>
      </c>
      <c r="B229" s="250">
        <v>23.0</v>
      </c>
      <c r="C229" s="253"/>
      <c r="D229" s="251"/>
      <c r="E229" s="250"/>
      <c r="F229" s="250"/>
      <c r="G229" s="250"/>
      <c r="H229" s="253"/>
      <c r="I229" s="249"/>
      <c r="J229" s="250"/>
    </row>
    <row r="230" ht="15.75" customHeight="1">
      <c r="A230" s="252" t="s">
        <v>3211</v>
      </c>
      <c r="B230" s="250">
        <v>24.0</v>
      </c>
      <c r="C230" s="253"/>
      <c r="D230" s="251"/>
      <c r="E230" s="250"/>
      <c r="F230" s="250"/>
      <c r="G230" s="250"/>
      <c r="H230" s="253"/>
      <c r="I230" s="249"/>
      <c r="J230" s="250"/>
    </row>
    <row r="231" ht="15.75" customHeight="1">
      <c r="A231" s="256"/>
      <c r="B231" s="257"/>
      <c r="C231" s="257"/>
      <c r="D231" s="258"/>
      <c r="E231" s="257"/>
      <c r="F231" s="257"/>
      <c r="G231" s="257"/>
      <c r="H231" s="259"/>
      <c r="I231" s="260"/>
      <c r="J231" s="257"/>
    </row>
    <row r="232" ht="15.75" customHeight="1">
      <c r="A232" s="244" t="s">
        <v>3212</v>
      </c>
      <c r="B232" s="245">
        <v>1.0</v>
      </c>
      <c r="C232" s="246"/>
      <c r="D232" s="247"/>
      <c r="E232" s="245"/>
      <c r="F232" s="245"/>
      <c r="G232" s="245"/>
      <c r="H232" s="248"/>
      <c r="I232" s="261"/>
    </row>
    <row r="233" ht="15.75" customHeight="1">
      <c r="A233" s="244" t="s">
        <v>3212</v>
      </c>
      <c r="B233" s="245">
        <v>3.0</v>
      </c>
      <c r="C233" s="246"/>
      <c r="D233" s="247"/>
      <c r="E233" s="245"/>
      <c r="F233" s="245"/>
      <c r="G233" s="245"/>
      <c r="H233" s="248"/>
      <c r="I233" s="262"/>
      <c r="J233" s="245"/>
    </row>
    <row r="234" ht="15.75" customHeight="1">
      <c r="A234" s="244" t="s">
        <v>3212</v>
      </c>
      <c r="B234" s="245">
        <v>4.0</v>
      </c>
      <c r="C234" s="246"/>
      <c r="D234" s="247"/>
      <c r="E234" s="245"/>
      <c r="F234" s="245"/>
      <c r="G234" s="245"/>
      <c r="H234" s="248"/>
      <c r="I234" s="262"/>
      <c r="J234" s="245"/>
    </row>
    <row r="235" ht="15.75" customHeight="1">
      <c r="A235" s="244" t="s">
        <v>3212</v>
      </c>
      <c r="B235" s="245">
        <v>5.0</v>
      </c>
      <c r="C235" s="246"/>
      <c r="D235" s="247"/>
      <c r="E235" s="245"/>
      <c r="F235" s="245"/>
      <c r="G235" s="245"/>
      <c r="H235" s="248"/>
      <c r="I235" s="262"/>
      <c r="J235" s="245"/>
    </row>
    <row r="236" ht="15.75" customHeight="1">
      <c r="A236" s="244" t="s">
        <v>3212</v>
      </c>
      <c r="B236" s="245">
        <v>6.0</v>
      </c>
      <c r="C236" s="246"/>
      <c r="D236" s="247"/>
      <c r="E236" s="245"/>
      <c r="F236" s="245"/>
      <c r="G236" s="245"/>
      <c r="H236" s="248"/>
      <c r="I236" s="262"/>
      <c r="J236" s="245"/>
    </row>
    <row r="237" ht="15.75" customHeight="1">
      <c r="A237" s="244" t="s">
        <v>3212</v>
      </c>
      <c r="B237" s="245">
        <v>7.0</v>
      </c>
      <c r="C237" s="245"/>
      <c r="D237" s="247"/>
      <c r="E237" s="245"/>
      <c r="F237" s="245"/>
      <c r="G237" s="245"/>
      <c r="H237" s="248"/>
      <c r="I237" s="262"/>
      <c r="J237" s="245"/>
    </row>
    <row r="238" ht="15.75" customHeight="1">
      <c r="A238" s="244" t="s">
        <v>3212</v>
      </c>
      <c r="B238" s="245">
        <v>8.0</v>
      </c>
      <c r="C238" s="245"/>
      <c r="D238" s="247"/>
      <c r="E238" s="245"/>
      <c r="F238" s="245"/>
      <c r="G238" s="245"/>
      <c r="H238" s="248"/>
      <c r="I238" s="262"/>
      <c r="J238" s="245"/>
    </row>
    <row r="239" ht="15.75" customHeight="1">
      <c r="A239" s="244" t="s">
        <v>3212</v>
      </c>
      <c r="B239" s="245">
        <v>9.0</v>
      </c>
      <c r="C239" s="245"/>
      <c r="D239" s="247"/>
      <c r="E239" s="245"/>
      <c r="F239" s="245"/>
      <c r="G239" s="245"/>
      <c r="H239" s="248"/>
      <c r="I239" s="262"/>
      <c r="J239" s="245"/>
    </row>
    <row r="240" ht="15.75" customHeight="1">
      <c r="A240" s="244" t="s">
        <v>3212</v>
      </c>
      <c r="B240" s="245">
        <v>10.0</v>
      </c>
      <c r="C240" s="245"/>
      <c r="D240" s="247"/>
      <c r="E240" s="245"/>
      <c r="F240" s="245"/>
      <c r="G240" s="245"/>
      <c r="H240" s="248"/>
      <c r="I240" s="262"/>
      <c r="J240" s="245"/>
    </row>
    <row r="241" ht="15.75" customHeight="1">
      <c r="A241" s="244" t="s">
        <v>3212</v>
      </c>
      <c r="B241" s="245">
        <v>11.0</v>
      </c>
      <c r="C241" s="245"/>
      <c r="D241" s="247"/>
      <c r="E241" s="245"/>
      <c r="F241" s="245"/>
      <c r="G241" s="245"/>
      <c r="H241" s="248"/>
      <c r="I241" s="262"/>
      <c r="J241" s="245"/>
    </row>
    <row r="242" ht="15.75" customHeight="1">
      <c r="A242" s="244" t="s">
        <v>3212</v>
      </c>
      <c r="B242" s="245">
        <v>12.0</v>
      </c>
      <c r="C242" s="245"/>
      <c r="D242" s="247"/>
      <c r="E242" s="245"/>
      <c r="F242" s="245"/>
      <c r="G242" s="245"/>
      <c r="H242" s="248"/>
      <c r="I242" s="262"/>
      <c r="J242" s="245"/>
    </row>
    <row r="243" ht="15.75" customHeight="1">
      <c r="A243" s="244" t="s">
        <v>3212</v>
      </c>
      <c r="B243" s="245">
        <v>13.0</v>
      </c>
      <c r="C243" s="245"/>
      <c r="D243" s="247"/>
      <c r="E243" s="245"/>
      <c r="F243" s="245"/>
      <c r="G243" s="245"/>
      <c r="H243" s="248"/>
      <c r="I243" s="262"/>
      <c r="J243" s="245"/>
    </row>
    <row r="244" ht="15.75" customHeight="1">
      <c r="A244" s="244" t="s">
        <v>3212</v>
      </c>
      <c r="B244" s="245">
        <v>14.0</v>
      </c>
      <c r="C244" s="245"/>
      <c r="D244" s="247"/>
      <c r="E244" s="245"/>
      <c r="F244" s="245"/>
      <c r="G244" s="245"/>
      <c r="H244" s="248"/>
      <c r="I244" s="262"/>
      <c r="J244" s="245"/>
    </row>
    <row r="245" ht="15.75" customHeight="1">
      <c r="A245" s="244" t="s">
        <v>3212</v>
      </c>
      <c r="B245" s="245">
        <v>15.0</v>
      </c>
      <c r="C245" s="245"/>
      <c r="D245" s="247"/>
      <c r="E245" s="245"/>
      <c r="F245" s="245"/>
      <c r="G245" s="245"/>
      <c r="H245" s="248"/>
      <c r="I245" s="262"/>
      <c r="J245" s="245"/>
    </row>
    <row r="246" ht="15.75" customHeight="1">
      <c r="A246" s="244" t="s">
        <v>3212</v>
      </c>
      <c r="B246" s="245">
        <v>16.0</v>
      </c>
      <c r="C246" s="245"/>
      <c r="D246" s="247"/>
      <c r="E246" s="245"/>
      <c r="F246" s="245"/>
      <c r="G246" s="245"/>
      <c r="H246" s="248"/>
      <c r="I246" s="262"/>
      <c r="J246" s="245"/>
    </row>
    <row r="247" ht="15.75" customHeight="1">
      <c r="A247" s="244" t="s">
        <v>3212</v>
      </c>
      <c r="B247" s="245">
        <v>17.0</v>
      </c>
      <c r="C247" s="245"/>
      <c r="D247" s="247"/>
      <c r="E247" s="245"/>
      <c r="F247" s="245"/>
      <c r="G247" s="245"/>
      <c r="H247" s="248"/>
      <c r="I247" s="261"/>
    </row>
    <row r="248" ht="15.75" customHeight="1">
      <c r="A248" s="244" t="s">
        <v>3212</v>
      </c>
      <c r="B248" s="245">
        <v>18.0</v>
      </c>
      <c r="C248" s="245"/>
      <c r="D248" s="247"/>
      <c r="E248" s="245"/>
      <c r="F248" s="245"/>
      <c r="G248" s="245"/>
      <c r="H248" s="248"/>
      <c r="I248" s="261"/>
      <c r="J248" s="245"/>
    </row>
    <row r="249" ht="15.75" customHeight="1">
      <c r="A249" s="244" t="s">
        <v>3212</v>
      </c>
      <c r="B249" s="245">
        <v>19.0</v>
      </c>
      <c r="C249" s="245"/>
      <c r="D249" s="247"/>
      <c r="E249" s="245"/>
      <c r="F249" s="245"/>
      <c r="G249" s="245"/>
      <c r="H249" s="248"/>
      <c r="I249" s="262"/>
      <c r="J249" s="245"/>
    </row>
    <row r="250" ht="15.75" customHeight="1">
      <c r="A250" s="244" t="s">
        <v>3212</v>
      </c>
      <c r="B250" s="245">
        <v>20.0</v>
      </c>
      <c r="C250" s="245"/>
      <c r="D250" s="247"/>
      <c r="E250" s="245"/>
      <c r="F250" s="245"/>
      <c r="G250" s="245"/>
      <c r="H250" s="248"/>
      <c r="I250" s="262"/>
      <c r="J250" s="245"/>
    </row>
    <row r="251" ht="15.75" customHeight="1">
      <c r="A251" s="244" t="s">
        <v>3212</v>
      </c>
      <c r="B251" s="245">
        <v>21.0</v>
      </c>
      <c r="C251" s="245"/>
      <c r="D251" s="247"/>
      <c r="E251" s="245"/>
      <c r="F251" s="245"/>
      <c r="G251" s="245"/>
      <c r="H251" s="248"/>
      <c r="I251" s="261"/>
      <c r="J251" s="245"/>
    </row>
    <row r="252" ht="15.75" customHeight="1">
      <c r="A252" s="244" t="s">
        <v>3212</v>
      </c>
      <c r="B252" s="245">
        <v>22.0</v>
      </c>
      <c r="C252" s="245"/>
      <c r="D252" s="247"/>
      <c r="E252" s="245"/>
      <c r="F252" s="245"/>
      <c r="G252" s="245"/>
      <c r="H252" s="248"/>
      <c r="I252" s="261"/>
      <c r="J252" s="245"/>
    </row>
    <row r="253" ht="15.75" customHeight="1">
      <c r="A253" s="244" t="s">
        <v>3212</v>
      </c>
      <c r="B253" s="245">
        <v>23.0</v>
      </c>
      <c r="C253" s="245"/>
      <c r="D253" s="247"/>
      <c r="E253" s="245"/>
      <c r="F253" s="245"/>
      <c r="G253" s="245"/>
      <c r="H253" s="248"/>
      <c r="I253" s="262"/>
      <c r="J253" s="245"/>
    </row>
    <row r="254" ht="15.75" customHeight="1">
      <c r="A254" s="244" t="s">
        <v>3212</v>
      </c>
      <c r="B254" s="245">
        <v>24.0</v>
      </c>
      <c r="C254" s="245"/>
      <c r="D254" s="247"/>
      <c r="E254" s="245"/>
      <c r="F254" s="245"/>
      <c r="G254" s="245"/>
      <c r="H254" s="248"/>
      <c r="I254" s="262"/>
      <c r="J254" s="245"/>
    </row>
    <row r="255" ht="15.75" customHeight="1">
      <c r="A255" s="256"/>
      <c r="B255" s="257"/>
      <c r="C255" s="257"/>
      <c r="D255" s="258"/>
      <c r="E255" s="257"/>
      <c r="F255" s="257"/>
      <c r="G255" s="257"/>
      <c r="H255" s="259"/>
      <c r="I255" s="260"/>
      <c r="J255" s="257"/>
    </row>
    <row r="256" ht="15.75" customHeight="1">
      <c r="A256" s="244" t="s">
        <v>3213</v>
      </c>
      <c r="B256" s="245">
        <v>1.0</v>
      </c>
      <c r="C256" s="246"/>
      <c r="D256" s="247"/>
      <c r="E256" s="245"/>
      <c r="F256" s="245"/>
      <c r="G256" s="245"/>
      <c r="H256" s="248"/>
      <c r="I256" s="262"/>
      <c r="J256" s="245"/>
    </row>
    <row r="257" ht="15.75" customHeight="1">
      <c r="A257" s="244" t="s">
        <v>3213</v>
      </c>
      <c r="B257" s="245">
        <v>2.0</v>
      </c>
      <c r="C257" s="246"/>
      <c r="D257" s="247"/>
      <c r="E257" s="245"/>
      <c r="F257" s="245"/>
      <c r="G257" s="245"/>
      <c r="H257" s="248"/>
      <c r="I257" s="262"/>
      <c r="J257" s="245"/>
    </row>
    <row r="258" ht="15.75" customHeight="1">
      <c r="A258" s="244" t="s">
        <v>3213</v>
      </c>
      <c r="B258" s="245">
        <v>3.0</v>
      </c>
      <c r="C258" s="246"/>
      <c r="D258" s="247"/>
      <c r="E258" s="245"/>
      <c r="F258" s="245"/>
      <c r="G258" s="245"/>
      <c r="H258" s="248"/>
      <c r="I258" s="262"/>
      <c r="J258" s="245"/>
    </row>
    <row r="259" ht="15.75" customHeight="1">
      <c r="A259" s="244" t="s">
        <v>3213</v>
      </c>
      <c r="B259" s="245">
        <v>4.0</v>
      </c>
      <c r="C259" s="246"/>
      <c r="D259" s="247"/>
      <c r="E259" s="245"/>
      <c r="F259" s="245"/>
      <c r="G259" s="245"/>
      <c r="H259" s="248"/>
      <c r="I259" s="262"/>
      <c r="J259" s="245"/>
    </row>
    <row r="260" ht="15.75" customHeight="1">
      <c r="A260" s="244" t="s">
        <v>3213</v>
      </c>
      <c r="B260" s="245">
        <v>5.0</v>
      </c>
      <c r="C260" s="246"/>
      <c r="D260" s="247"/>
      <c r="E260" s="245"/>
      <c r="F260" s="245"/>
      <c r="G260" s="245"/>
      <c r="H260" s="248"/>
      <c r="I260" s="262"/>
      <c r="J260" s="245"/>
    </row>
    <row r="261" ht="15.75" customHeight="1">
      <c r="A261" s="244" t="s">
        <v>3213</v>
      </c>
      <c r="B261" s="245">
        <v>6.0</v>
      </c>
      <c r="C261" s="246"/>
      <c r="D261" s="247"/>
      <c r="E261" s="245"/>
      <c r="F261" s="245"/>
      <c r="G261" s="245"/>
      <c r="H261" s="248"/>
      <c r="I261" s="262"/>
      <c r="J261" s="245"/>
    </row>
    <row r="262" ht="15.75" customHeight="1">
      <c r="A262" s="244" t="s">
        <v>3213</v>
      </c>
      <c r="B262" s="245">
        <v>7.0</v>
      </c>
      <c r="C262" s="246"/>
      <c r="D262" s="247"/>
      <c r="E262" s="245"/>
      <c r="F262" s="245"/>
      <c r="G262" s="245"/>
      <c r="H262" s="248"/>
      <c r="I262" s="262"/>
      <c r="J262" s="245"/>
    </row>
    <row r="263" ht="15.75" customHeight="1">
      <c r="A263" s="244" t="s">
        <v>3213</v>
      </c>
      <c r="B263" s="245">
        <v>8.0</v>
      </c>
      <c r="C263" s="246"/>
      <c r="D263" s="247"/>
      <c r="E263" s="245"/>
      <c r="F263" s="245"/>
      <c r="G263" s="245"/>
      <c r="H263" s="248"/>
      <c r="I263" s="262"/>
      <c r="J263" s="245"/>
    </row>
    <row r="264" ht="15.75" customHeight="1">
      <c r="A264" s="244" t="s">
        <v>3213</v>
      </c>
      <c r="B264" s="245">
        <v>9.0</v>
      </c>
      <c r="C264" s="246"/>
      <c r="D264" s="247"/>
      <c r="E264" s="245"/>
      <c r="F264" s="245"/>
      <c r="G264" s="245"/>
      <c r="H264" s="248"/>
      <c r="I264" s="262"/>
      <c r="J264" s="245"/>
    </row>
    <row r="265" ht="15.75" customHeight="1">
      <c r="A265" s="244" t="s">
        <v>3213</v>
      </c>
      <c r="B265" s="245">
        <v>10.0</v>
      </c>
      <c r="C265" s="246"/>
      <c r="D265" s="247"/>
      <c r="E265" s="245"/>
      <c r="F265" s="245"/>
      <c r="G265" s="245"/>
      <c r="H265" s="248"/>
      <c r="I265" s="262"/>
      <c r="J265" s="245"/>
    </row>
    <row r="266" ht="15.75" customHeight="1">
      <c r="A266" s="244" t="s">
        <v>3213</v>
      </c>
      <c r="B266" s="245">
        <v>11.0</v>
      </c>
      <c r="C266" s="246"/>
      <c r="D266" s="247"/>
      <c r="E266" s="245"/>
      <c r="F266" s="245"/>
      <c r="G266" s="245"/>
      <c r="H266" s="248"/>
      <c r="I266" s="262"/>
      <c r="J266" s="245"/>
    </row>
    <row r="267" ht="15.75" customHeight="1">
      <c r="A267" s="244" t="s">
        <v>3213</v>
      </c>
      <c r="B267" s="245">
        <v>12.0</v>
      </c>
      <c r="C267" s="246"/>
      <c r="D267" s="247"/>
      <c r="E267" s="245"/>
      <c r="F267" s="245"/>
      <c r="G267" s="245"/>
      <c r="H267" s="248"/>
      <c r="I267" s="262"/>
      <c r="J267" s="245"/>
    </row>
    <row r="268" ht="15.75" customHeight="1">
      <c r="A268" s="244" t="s">
        <v>3213</v>
      </c>
      <c r="B268" s="245">
        <v>13.0</v>
      </c>
      <c r="C268" s="246"/>
      <c r="D268" s="247"/>
      <c r="E268" s="245"/>
      <c r="F268" s="245"/>
      <c r="G268" s="245"/>
      <c r="H268" s="248"/>
      <c r="I268" s="262"/>
      <c r="J268" s="245"/>
    </row>
    <row r="269" ht="15.75" customHeight="1">
      <c r="A269" s="244" t="s">
        <v>3213</v>
      </c>
      <c r="B269" s="245">
        <v>14.0</v>
      </c>
      <c r="C269" s="246"/>
      <c r="D269" s="247"/>
      <c r="E269" s="245"/>
      <c r="F269" s="245"/>
      <c r="G269" s="245"/>
      <c r="H269" s="248"/>
      <c r="I269" s="262"/>
      <c r="J269" s="245"/>
    </row>
    <row r="270" ht="15.75" customHeight="1">
      <c r="A270" s="244" t="s">
        <v>3213</v>
      </c>
      <c r="B270" s="245">
        <v>15.0</v>
      </c>
      <c r="C270" s="246"/>
      <c r="D270" s="247"/>
      <c r="E270" s="245"/>
      <c r="F270" s="245"/>
      <c r="G270" s="245"/>
      <c r="H270" s="248"/>
      <c r="I270" s="262"/>
      <c r="J270" s="245"/>
    </row>
    <row r="271" ht="15.75" customHeight="1">
      <c r="A271" s="244" t="s">
        <v>3213</v>
      </c>
      <c r="B271" s="245">
        <v>16.0</v>
      </c>
      <c r="C271" s="246"/>
      <c r="D271" s="247"/>
      <c r="E271" s="245"/>
      <c r="F271" s="245"/>
      <c r="G271" s="245"/>
      <c r="H271" s="248"/>
      <c r="I271" s="262"/>
      <c r="J271" s="245"/>
    </row>
    <row r="272" ht="15.75" customHeight="1">
      <c r="A272" s="244" t="s">
        <v>3213</v>
      </c>
      <c r="B272" s="245">
        <v>17.0</v>
      </c>
      <c r="C272" s="246"/>
      <c r="D272" s="247"/>
      <c r="E272" s="245"/>
      <c r="F272" s="245"/>
      <c r="G272" s="245"/>
      <c r="H272" s="248"/>
      <c r="I272" s="262"/>
      <c r="J272" s="245"/>
    </row>
    <row r="273" ht="15.75" customHeight="1">
      <c r="A273" s="244" t="s">
        <v>3213</v>
      </c>
      <c r="B273" s="245">
        <v>18.0</v>
      </c>
      <c r="C273" s="246"/>
      <c r="D273" s="247"/>
      <c r="E273" s="245"/>
      <c r="F273" s="245"/>
      <c r="G273" s="245"/>
      <c r="H273" s="248"/>
      <c r="I273" s="262"/>
      <c r="J273" s="245"/>
    </row>
    <row r="274" ht="15.75" customHeight="1">
      <c r="A274" s="244" t="s">
        <v>3213</v>
      </c>
      <c r="B274" s="245">
        <v>19.0</v>
      </c>
      <c r="C274" s="246"/>
      <c r="D274" s="247"/>
      <c r="E274" s="245"/>
      <c r="F274" s="245"/>
      <c r="G274" s="245"/>
      <c r="H274" s="248"/>
      <c r="I274" s="262"/>
      <c r="J274" s="245"/>
    </row>
    <row r="275" ht="15.75" customHeight="1">
      <c r="A275" s="244" t="s">
        <v>3213</v>
      </c>
      <c r="B275" s="245">
        <v>20.0</v>
      </c>
      <c r="C275" s="246"/>
      <c r="D275" s="247"/>
      <c r="E275" s="245"/>
      <c r="F275" s="245"/>
      <c r="G275" s="245"/>
      <c r="H275" s="248"/>
      <c r="I275" s="262"/>
      <c r="J275" s="245"/>
    </row>
    <row r="276" ht="15.75" customHeight="1">
      <c r="A276" s="244" t="s">
        <v>3213</v>
      </c>
      <c r="B276" s="245">
        <v>21.0</v>
      </c>
      <c r="C276" s="246"/>
      <c r="D276" s="247"/>
      <c r="E276" s="245"/>
      <c r="F276" s="245"/>
      <c r="G276" s="245"/>
      <c r="H276" s="248"/>
      <c r="I276" s="262"/>
      <c r="J276" s="245"/>
    </row>
    <row r="277" ht="15.75" customHeight="1">
      <c r="A277" s="244" t="s">
        <v>3213</v>
      </c>
      <c r="B277" s="245">
        <v>22.0</v>
      </c>
      <c r="C277" s="246"/>
      <c r="D277" s="247"/>
      <c r="E277" s="245"/>
      <c r="F277" s="245"/>
      <c r="G277" s="245"/>
      <c r="H277" s="248"/>
      <c r="I277" s="262"/>
      <c r="J277" s="245"/>
    </row>
    <row r="278" ht="15.75" customHeight="1">
      <c r="A278" s="244" t="s">
        <v>3213</v>
      </c>
      <c r="B278" s="245">
        <v>23.0</v>
      </c>
      <c r="C278" s="246"/>
      <c r="D278" s="247"/>
      <c r="E278" s="245"/>
      <c r="F278" s="245"/>
      <c r="G278" s="245"/>
      <c r="H278" s="248"/>
      <c r="I278" s="262"/>
      <c r="J278" s="245"/>
    </row>
    <row r="279" ht="15.75" customHeight="1">
      <c r="A279" s="256"/>
      <c r="B279" s="257"/>
      <c r="C279" s="257"/>
      <c r="D279" s="258"/>
      <c r="E279" s="257"/>
      <c r="F279" s="257"/>
      <c r="G279" s="257"/>
      <c r="H279" s="259"/>
      <c r="I279" s="260"/>
      <c r="J279" s="257"/>
    </row>
    <row r="280" ht="15.75" customHeight="1">
      <c r="A280" s="244" t="s">
        <v>3214</v>
      </c>
      <c r="B280" s="245">
        <v>1.0</v>
      </c>
      <c r="C280" s="246"/>
      <c r="D280" s="247"/>
      <c r="E280" s="245"/>
      <c r="F280" s="245"/>
      <c r="G280" s="245"/>
      <c r="H280" s="248"/>
      <c r="I280" s="262"/>
      <c r="J280" s="245"/>
    </row>
    <row r="281" ht="15.75" customHeight="1">
      <c r="A281" s="244" t="s">
        <v>3214</v>
      </c>
      <c r="B281" s="245">
        <v>2.0</v>
      </c>
      <c r="C281" s="246"/>
      <c r="D281" s="247"/>
      <c r="E281" s="245"/>
      <c r="F281" s="245"/>
      <c r="G281" s="245"/>
      <c r="H281" s="248"/>
      <c r="I281" s="262"/>
      <c r="J281" s="245"/>
    </row>
    <row r="282" ht="15.75" customHeight="1">
      <c r="A282" s="244" t="s">
        <v>3214</v>
      </c>
      <c r="B282" s="245">
        <v>3.0</v>
      </c>
      <c r="C282" s="246"/>
      <c r="D282" s="247"/>
      <c r="E282" s="245"/>
      <c r="F282" s="245"/>
      <c r="G282" s="245"/>
      <c r="H282" s="248"/>
      <c r="I282" s="262"/>
      <c r="J282" s="245"/>
    </row>
    <row r="283" ht="15.75" customHeight="1">
      <c r="A283" s="244" t="s">
        <v>3214</v>
      </c>
      <c r="B283" s="245">
        <v>4.0</v>
      </c>
      <c r="C283" s="246"/>
      <c r="D283" s="247"/>
      <c r="E283" s="245"/>
      <c r="F283" s="245"/>
      <c r="G283" s="245"/>
      <c r="H283" s="248"/>
      <c r="I283" s="262"/>
      <c r="J283" s="245"/>
    </row>
    <row r="284" ht="15.75" customHeight="1">
      <c r="A284" s="244" t="s">
        <v>3214</v>
      </c>
      <c r="B284" s="245">
        <v>5.0</v>
      </c>
      <c r="C284" s="246"/>
      <c r="D284" s="247"/>
      <c r="E284" s="245"/>
      <c r="F284" s="245"/>
      <c r="G284" s="245"/>
      <c r="H284" s="248"/>
      <c r="I284" s="249"/>
      <c r="J284" s="250"/>
    </row>
    <row r="285" ht="15.75" customHeight="1">
      <c r="A285" s="244" t="s">
        <v>3214</v>
      </c>
      <c r="B285" s="245">
        <v>6.0</v>
      </c>
      <c r="C285" s="246"/>
      <c r="D285" s="247"/>
      <c r="E285" s="245"/>
      <c r="F285" s="245"/>
      <c r="G285" s="245"/>
      <c r="H285" s="248"/>
      <c r="I285" s="262"/>
      <c r="J285" s="245"/>
    </row>
    <row r="286" ht="15.75" customHeight="1">
      <c r="A286" s="244" t="s">
        <v>3214</v>
      </c>
      <c r="B286" s="245">
        <v>7.0</v>
      </c>
      <c r="C286" s="246"/>
      <c r="D286" s="247"/>
      <c r="E286" s="245"/>
      <c r="F286" s="245"/>
      <c r="G286" s="245"/>
      <c r="H286" s="248"/>
      <c r="I286" s="262"/>
      <c r="J286" s="245"/>
    </row>
    <row r="287" ht="15.75" customHeight="1">
      <c r="A287" s="244" t="s">
        <v>3214</v>
      </c>
      <c r="B287" s="245">
        <v>8.0</v>
      </c>
      <c r="C287" s="246"/>
      <c r="D287" s="247"/>
      <c r="E287" s="245"/>
      <c r="F287" s="245"/>
      <c r="G287" s="245"/>
      <c r="H287" s="248"/>
      <c r="I287" s="262"/>
      <c r="J287" s="245"/>
    </row>
    <row r="288" ht="15.75" customHeight="1">
      <c r="A288" s="244" t="s">
        <v>3214</v>
      </c>
      <c r="B288" s="245">
        <v>9.0</v>
      </c>
      <c r="C288" s="246"/>
      <c r="D288" s="247"/>
      <c r="E288" s="245"/>
      <c r="F288" s="245"/>
      <c r="G288" s="245"/>
      <c r="H288" s="248"/>
      <c r="I288" s="262"/>
      <c r="J288" s="245"/>
    </row>
    <row r="289" ht="15.75" customHeight="1">
      <c r="A289" s="244" t="s">
        <v>3214</v>
      </c>
      <c r="B289" s="245">
        <v>10.0</v>
      </c>
      <c r="C289" s="246"/>
      <c r="D289" s="247"/>
      <c r="E289" s="245"/>
      <c r="F289" s="245"/>
      <c r="G289" s="245"/>
      <c r="H289" s="248"/>
      <c r="I289" s="262"/>
      <c r="J289" s="245"/>
    </row>
    <row r="290" ht="15.75" customHeight="1">
      <c r="A290" s="244" t="s">
        <v>3214</v>
      </c>
      <c r="B290" s="245">
        <v>11.0</v>
      </c>
      <c r="C290" s="246"/>
      <c r="D290" s="247"/>
      <c r="E290" s="245"/>
      <c r="F290" s="245"/>
      <c r="G290" s="245"/>
      <c r="H290" s="248"/>
      <c r="I290" s="262"/>
      <c r="J290" s="245"/>
    </row>
    <row r="291" ht="15.75" customHeight="1">
      <c r="A291" s="244" t="s">
        <v>3214</v>
      </c>
      <c r="B291" s="245">
        <v>12.0</v>
      </c>
      <c r="C291" s="246"/>
      <c r="D291" s="247"/>
      <c r="E291" s="245"/>
      <c r="F291" s="245"/>
      <c r="G291" s="245"/>
      <c r="H291" s="248"/>
      <c r="I291" s="262"/>
      <c r="J291" s="245"/>
    </row>
    <row r="292" ht="15.75" customHeight="1">
      <c r="A292" s="244" t="s">
        <v>3214</v>
      </c>
      <c r="B292" s="245">
        <v>13.0</v>
      </c>
      <c r="C292" s="246"/>
      <c r="D292" s="247"/>
      <c r="E292" s="245"/>
      <c r="F292" s="245"/>
      <c r="G292" s="245"/>
      <c r="H292" s="248"/>
      <c r="I292" s="262"/>
      <c r="J292" s="245"/>
    </row>
    <row r="293" ht="15.75" customHeight="1">
      <c r="A293" s="244" t="s">
        <v>3214</v>
      </c>
      <c r="B293" s="245">
        <v>14.0</v>
      </c>
      <c r="C293" s="246"/>
      <c r="D293" s="247"/>
      <c r="E293" s="245"/>
      <c r="F293" s="245"/>
      <c r="G293" s="245"/>
      <c r="H293" s="248"/>
      <c r="I293" s="262"/>
      <c r="J293" s="245"/>
    </row>
    <row r="294" ht="15.75" customHeight="1">
      <c r="A294" s="244" t="s">
        <v>3214</v>
      </c>
      <c r="B294" s="245">
        <v>15.0</v>
      </c>
      <c r="C294" s="246"/>
      <c r="D294" s="247"/>
      <c r="E294" s="245"/>
      <c r="F294" s="245"/>
      <c r="G294" s="245"/>
      <c r="H294" s="248"/>
      <c r="I294" s="262"/>
      <c r="J294" s="245"/>
    </row>
    <row r="295" ht="15.75" customHeight="1">
      <c r="A295" s="244" t="s">
        <v>3214</v>
      </c>
      <c r="B295" s="245">
        <v>16.0</v>
      </c>
      <c r="C295" s="246"/>
      <c r="D295" s="247"/>
      <c r="E295" s="245"/>
      <c r="F295" s="245"/>
      <c r="G295" s="245"/>
      <c r="H295" s="248"/>
      <c r="I295" s="262"/>
      <c r="J295" s="245"/>
    </row>
    <row r="296" ht="15.75" customHeight="1">
      <c r="A296" s="244" t="s">
        <v>3214</v>
      </c>
      <c r="B296" s="245">
        <v>17.0</v>
      </c>
      <c r="C296" s="246"/>
      <c r="D296" s="247"/>
      <c r="E296" s="245"/>
      <c r="F296" s="245"/>
      <c r="G296" s="245"/>
      <c r="H296" s="248"/>
      <c r="I296" s="262"/>
      <c r="J296" s="245"/>
    </row>
    <row r="297" ht="15.75" customHeight="1">
      <c r="A297" s="244" t="s">
        <v>3214</v>
      </c>
      <c r="B297" s="245">
        <v>18.0</v>
      </c>
      <c r="C297" s="246"/>
      <c r="D297" s="247"/>
      <c r="E297" s="245"/>
      <c r="F297" s="245"/>
      <c r="G297" s="245"/>
      <c r="H297" s="248"/>
      <c r="I297" s="262"/>
      <c r="J297" s="245"/>
    </row>
    <row r="298" ht="15.75" customHeight="1">
      <c r="A298" s="244" t="s">
        <v>3214</v>
      </c>
      <c r="B298" s="245">
        <v>19.0</v>
      </c>
      <c r="C298" s="246"/>
      <c r="D298" s="247"/>
      <c r="E298" s="245"/>
      <c r="F298" s="245"/>
      <c r="G298" s="245"/>
      <c r="H298" s="248"/>
      <c r="I298" s="262"/>
      <c r="J298" s="245"/>
    </row>
    <row r="299" ht="15.75" customHeight="1">
      <c r="A299" s="244" t="s">
        <v>3214</v>
      </c>
      <c r="B299" s="245">
        <v>20.0</v>
      </c>
      <c r="C299" s="246"/>
      <c r="D299" s="247"/>
      <c r="E299" s="245"/>
      <c r="F299" s="245"/>
      <c r="G299" s="245"/>
      <c r="H299" s="248"/>
      <c r="I299" s="262"/>
      <c r="J299" s="245"/>
    </row>
    <row r="300" ht="15.75" customHeight="1">
      <c r="A300" s="244" t="s">
        <v>3214</v>
      </c>
      <c r="B300" s="245">
        <v>21.0</v>
      </c>
      <c r="C300" s="246"/>
      <c r="D300" s="247"/>
      <c r="E300" s="245"/>
      <c r="F300" s="245"/>
      <c r="G300" s="245"/>
      <c r="H300" s="248"/>
      <c r="I300" s="262"/>
      <c r="J300" s="245"/>
    </row>
    <row r="301" ht="15.75" customHeight="1">
      <c r="A301" s="244" t="s">
        <v>3214</v>
      </c>
      <c r="B301" s="245">
        <v>22.0</v>
      </c>
      <c r="C301" s="246"/>
      <c r="D301" s="247"/>
      <c r="E301" s="245"/>
      <c r="F301" s="245"/>
      <c r="G301" s="245"/>
      <c r="H301" s="248"/>
      <c r="I301" s="262"/>
      <c r="J301" s="245"/>
    </row>
    <row r="302" ht="15.75" customHeight="1">
      <c r="A302" s="244" t="s">
        <v>3214</v>
      </c>
      <c r="B302" s="245">
        <v>23.0</v>
      </c>
      <c r="C302" s="246"/>
      <c r="D302" s="247"/>
      <c r="E302" s="245"/>
      <c r="F302" s="245"/>
      <c r="G302" s="245"/>
      <c r="H302" s="248"/>
      <c r="I302" s="262"/>
      <c r="J302" s="245"/>
    </row>
    <row r="303" ht="15.75" customHeight="1">
      <c r="A303" s="256"/>
      <c r="B303" s="257"/>
      <c r="C303" s="257"/>
      <c r="D303" s="258"/>
      <c r="E303" s="257"/>
      <c r="F303" s="257"/>
      <c r="G303" s="257"/>
      <c r="H303" s="259"/>
      <c r="I303" s="260"/>
      <c r="J303" s="257"/>
    </row>
    <row r="304" ht="15.75" customHeight="1">
      <c r="A304" s="245"/>
      <c r="B304" s="245"/>
      <c r="C304" s="245"/>
      <c r="D304" s="247"/>
      <c r="E304" s="245"/>
      <c r="F304" s="245"/>
      <c r="G304" s="245"/>
      <c r="H304" s="248"/>
      <c r="I304" s="262"/>
      <c r="J304" s="245"/>
    </row>
    <row r="305" ht="15.75" customHeight="1">
      <c r="A305" s="245"/>
      <c r="B305" s="245"/>
      <c r="C305" s="245"/>
      <c r="D305" s="247"/>
      <c r="E305" s="245"/>
      <c r="F305" s="245"/>
      <c r="G305" s="263" t="s">
        <v>3215</v>
      </c>
      <c r="H305" s="263" t="s">
        <v>3216</v>
      </c>
      <c r="I305" s="264" t="s">
        <v>3217</v>
      </c>
      <c r="J305" s="263" t="s">
        <v>3218</v>
      </c>
    </row>
    <row r="306" ht="15.75" customHeight="1">
      <c r="A306" s="245"/>
      <c r="B306" s="245"/>
      <c r="C306" s="245"/>
      <c r="D306" s="247"/>
      <c r="E306" s="245"/>
      <c r="F306" s="245"/>
      <c r="G306" s="245"/>
      <c r="H306" s="248"/>
      <c r="I306" s="262"/>
      <c r="J306" s="245"/>
    </row>
    <row r="307" ht="15.75" customHeight="1">
      <c r="A307" s="265" t="s">
        <v>3219</v>
      </c>
      <c r="B307" s="238"/>
      <c r="C307" s="238"/>
      <c r="D307" s="238"/>
      <c r="E307" s="238"/>
      <c r="F307" s="238"/>
      <c r="G307" s="238"/>
      <c r="H307" s="238"/>
      <c r="I307" s="238"/>
      <c r="J307" s="239"/>
    </row>
    <row r="308" ht="15.75" customHeight="1">
      <c r="A308" s="240" t="s">
        <v>11</v>
      </c>
      <c r="B308" s="240" t="s">
        <v>12</v>
      </c>
      <c r="C308" s="240" t="s">
        <v>3206</v>
      </c>
      <c r="D308" s="241" t="s">
        <v>468</v>
      </c>
      <c r="E308" s="240" t="s">
        <v>3207</v>
      </c>
      <c r="F308" s="240" t="s">
        <v>16</v>
      </c>
      <c r="G308" s="240" t="s">
        <v>3208</v>
      </c>
      <c r="H308" s="242" t="s">
        <v>18</v>
      </c>
      <c r="I308" s="243" t="s">
        <v>3209</v>
      </c>
      <c r="J308" s="240" t="s">
        <v>3210</v>
      </c>
    </row>
    <row r="309" ht="15.75" customHeight="1">
      <c r="A309" s="244" t="s">
        <v>3211</v>
      </c>
      <c r="B309" s="245">
        <v>1.0</v>
      </c>
      <c r="C309" s="246" t="s">
        <v>3220</v>
      </c>
      <c r="D309" s="247" t="s">
        <v>3221</v>
      </c>
      <c r="E309" s="245" t="s">
        <v>1155</v>
      </c>
      <c r="F309" s="245" t="s">
        <v>3222</v>
      </c>
      <c r="G309" s="245" t="s">
        <v>3223</v>
      </c>
      <c r="H309" s="248" t="s">
        <v>3224</v>
      </c>
      <c r="I309" s="249" t="s">
        <v>3225</v>
      </c>
      <c r="J309" s="250" t="s">
        <v>3226</v>
      </c>
    </row>
    <row r="310" ht="15.75" customHeight="1">
      <c r="A310" s="244" t="s">
        <v>3211</v>
      </c>
      <c r="B310" s="245">
        <v>2.0</v>
      </c>
      <c r="C310" s="246" t="s">
        <v>3220</v>
      </c>
      <c r="D310" s="247" t="s">
        <v>3221</v>
      </c>
      <c r="E310" s="245" t="s">
        <v>1155</v>
      </c>
      <c r="F310" s="245" t="s">
        <v>3222</v>
      </c>
      <c r="G310" s="245" t="s">
        <v>3227</v>
      </c>
      <c r="H310" s="248" t="s">
        <v>3224</v>
      </c>
      <c r="I310" s="249" t="s">
        <v>3225</v>
      </c>
      <c r="J310" s="250" t="s">
        <v>3226</v>
      </c>
    </row>
    <row r="311" ht="15.75" customHeight="1">
      <c r="A311" s="244" t="s">
        <v>3211</v>
      </c>
      <c r="B311" s="245">
        <v>3.0</v>
      </c>
      <c r="C311" s="246" t="s">
        <v>3220</v>
      </c>
      <c r="D311" s="247" t="s">
        <v>3221</v>
      </c>
      <c r="E311" s="245" t="s">
        <v>1155</v>
      </c>
      <c r="F311" s="245" t="s">
        <v>3222</v>
      </c>
      <c r="G311" s="245" t="s">
        <v>3228</v>
      </c>
      <c r="H311" s="248" t="s">
        <v>3229</v>
      </c>
      <c r="I311" s="249" t="s">
        <v>3230</v>
      </c>
      <c r="J311" s="251" t="s">
        <v>3231</v>
      </c>
    </row>
    <row r="312" ht="15.75" customHeight="1">
      <c r="A312" s="244" t="s">
        <v>3211</v>
      </c>
      <c r="B312" s="245">
        <v>4.0</v>
      </c>
      <c r="C312" s="246" t="s">
        <v>3220</v>
      </c>
      <c r="D312" s="247" t="s">
        <v>3221</v>
      </c>
      <c r="E312" s="245" t="s">
        <v>1155</v>
      </c>
      <c r="F312" s="245" t="s">
        <v>3222</v>
      </c>
      <c r="G312" s="245" t="s">
        <v>3228</v>
      </c>
      <c r="H312" s="248" t="s">
        <v>3229</v>
      </c>
      <c r="I312" s="249" t="s">
        <v>3230</v>
      </c>
      <c r="J312" s="251" t="s">
        <v>3231</v>
      </c>
    </row>
    <row r="313" ht="15.75" customHeight="1">
      <c r="A313" s="244" t="s">
        <v>3211</v>
      </c>
      <c r="B313" s="245">
        <v>5.0</v>
      </c>
      <c r="C313" s="246" t="s">
        <v>3220</v>
      </c>
      <c r="D313" s="247" t="s">
        <v>3221</v>
      </c>
      <c r="E313" s="245" t="s">
        <v>1155</v>
      </c>
      <c r="F313" s="245" t="s">
        <v>3222</v>
      </c>
      <c r="G313" s="245">
        <v>2.0</v>
      </c>
      <c r="H313" s="248" t="s">
        <v>3232</v>
      </c>
      <c r="I313" s="249" t="s">
        <v>3233</v>
      </c>
      <c r="J313" s="251" t="s">
        <v>3231</v>
      </c>
    </row>
    <row r="314" ht="15.75" customHeight="1">
      <c r="A314" s="244" t="s">
        <v>3211</v>
      </c>
      <c r="B314" s="245">
        <v>6.0</v>
      </c>
      <c r="C314" s="246" t="s">
        <v>3220</v>
      </c>
      <c r="D314" s="247" t="s">
        <v>3221</v>
      </c>
      <c r="E314" s="245" t="s">
        <v>1155</v>
      </c>
      <c r="F314" s="245" t="s">
        <v>3222</v>
      </c>
      <c r="G314" s="245">
        <v>3.0</v>
      </c>
      <c r="H314" s="248" t="s">
        <v>3232</v>
      </c>
      <c r="I314" s="249" t="s">
        <v>3233</v>
      </c>
      <c r="J314" s="251" t="s">
        <v>3231</v>
      </c>
    </row>
    <row r="315" ht="15.75" customHeight="1">
      <c r="A315" s="266" t="s">
        <v>3211</v>
      </c>
      <c r="B315" s="267">
        <v>7.0</v>
      </c>
      <c r="C315" s="267" t="s">
        <v>3234</v>
      </c>
      <c r="D315" s="267" t="s">
        <v>3235</v>
      </c>
      <c r="E315" s="267" t="s">
        <v>3236</v>
      </c>
      <c r="F315" s="267" t="s">
        <v>3237</v>
      </c>
      <c r="G315" s="267"/>
      <c r="H315" s="268" t="s">
        <v>3238</v>
      </c>
      <c r="I315" s="269"/>
      <c r="J315" s="267"/>
    </row>
    <row r="316" ht="15.75" customHeight="1">
      <c r="A316" s="266" t="s">
        <v>3211</v>
      </c>
      <c r="B316" s="267">
        <v>8.0</v>
      </c>
      <c r="C316" s="267" t="s">
        <v>3234</v>
      </c>
      <c r="D316" s="267" t="s">
        <v>3235</v>
      </c>
      <c r="E316" s="267" t="s">
        <v>3236</v>
      </c>
      <c r="F316" s="267" t="s">
        <v>3237</v>
      </c>
      <c r="G316" s="267"/>
      <c r="H316" s="268" t="s">
        <v>3238</v>
      </c>
      <c r="I316" s="269"/>
      <c r="J316" s="267"/>
    </row>
    <row r="317" ht="15.75" customHeight="1">
      <c r="A317" s="244" t="s">
        <v>3211</v>
      </c>
      <c r="B317" s="245">
        <v>9.0</v>
      </c>
      <c r="C317" s="246" t="s">
        <v>3239</v>
      </c>
      <c r="D317" s="247" t="s">
        <v>3240</v>
      </c>
      <c r="E317" s="245" t="s">
        <v>1155</v>
      </c>
      <c r="F317" s="245" t="s">
        <v>3241</v>
      </c>
      <c r="G317" s="245" t="s">
        <v>3228</v>
      </c>
      <c r="H317" s="248" t="s">
        <v>3242</v>
      </c>
      <c r="I317" s="249" t="s">
        <v>3243</v>
      </c>
      <c r="J317" s="251" t="s">
        <v>3231</v>
      </c>
    </row>
    <row r="318" ht="15.75" customHeight="1">
      <c r="A318" s="244" t="s">
        <v>3211</v>
      </c>
      <c r="B318" s="245">
        <v>10.0</v>
      </c>
      <c r="C318" s="246" t="s">
        <v>3239</v>
      </c>
      <c r="D318" s="247" t="s">
        <v>3240</v>
      </c>
      <c r="E318" s="245" t="s">
        <v>1155</v>
      </c>
      <c r="F318" s="245" t="s">
        <v>3241</v>
      </c>
      <c r="G318" s="245">
        <v>2.0</v>
      </c>
      <c r="H318" s="248" t="s">
        <v>3244</v>
      </c>
      <c r="I318" s="249" t="s">
        <v>3243</v>
      </c>
      <c r="J318" s="251" t="s">
        <v>3231</v>
      </c>
    </row>
    <row r="319" ht="15.75" customHeight="1">
      <c r="A319" s="244" t="s">
        <v>3211</v>
      </c>
      <c r="B319" s="245">
        <v>11.0</v>
      </c>
      <c r="C319" s="246" t="s">
        <v>3239</v>
      </c>
      <c r="D319" s="247" t="s">
        <v>3240</v>
      </c>
      <c r="E319" s="245" t="s">
        <v>1155</v>
      </c>
      <c r="F319" s="245" t="s">
        <v>3241</v>
      </c>
      <c r="G319" s="245">
        <v>3.0</v>
      </c>
      <c r="H319" s="248" t="s">
        <v>3245</v>
      </c>
      <c r="I319" s="249" t="s">
        <v>3246</v>
      </c>
      <c r="J319" s="251" t="s">
        <v>3231</v>
      </c>
    </row>
    <row r="320" ht="15.75" customHeight="1">
      <c r="A320" s="244" t="s">
        <v>3211</v>
      </c>
      <c r="B320" s="245">
        <v>12.0</v>
      </c>
      <c r="C320" s="246" t="s">
        <v>3239</v>
      </c>
      <c r="D320" s="247" t="s">
        <v>3240</v>
      </c>
      <c r="E320" s="245" t="s">
        <v>1155</v>
      </c>
      <c r="F320" s="245" t="s">
        <v>3241</v>
      </c>
      <c r="G320" s="245">
        <v>4.0</v>
      </c>
      <c r="H320" s="248" t="s">
        <v>3247</v>
      </c>
      <c r="I320" s="249" t="s">
        <v>3246</v>
      </c>
      <c r="J320" s="251" t="s">
        <v>3231</v>
      </c>
    </row>
    <row r="321" ht="15.75" customHeight="1">
      <c r="A321" s="244" t="s">
        <v>3211</v>
      </c>
      <c r="B321" s="245">
        <v>13.0</v>
      </c>
      <c r="C321" s="246" t="s">
        <v>3239</v>
      </c>
      <c r="D321" s="247" t="s">
        <v>3240</v>
      </c>
      <c r="E321" s="245" t="s">
        <v>1155</v>
      </c>
      <c r="F321" s="245" t="s">
        <v>3241</v>
      </c>
      <c r="G321" s="245">
        <v>2.0</v>
      </c>
      <c r="H321" s="248" t="s">
        <v>3245</v>
      </c>
      <c r="I321" s="249" t="s">
        <v>3248</v>
      </c>
      <c r="J321" s="251" t="s">
        <v>3231</v>
      </c>
    </row>
    <row r="322" ht="15.75" customHeight="1">
      <c r="A322" s="244" t="s">
        <v>3211</v>
      </c>
      <c r="B322" s="245">
        <v>14.0</v>
      </c>
      <c r="C322" s="246" t="s">
        <v>3239</v>
      </c>
      <c r="D322" s="247" t="s">
        <v>3240</v>
      </c>
      <c r="E322" s="245" t="s">
        <v>1155</v>
      </c>
      <c r="F322" s="245" t="s">
        <v>3241</v>
      </c>
      <c r="G322" s="245">
        <v>3.0</v>
      </c>
      <c r="H322" s="248" t="s">
        <v>3249</v>
      </c>
      <c r="I322" s="249" t="s">
        <v>3248</v>
      </c>
      <c r="J322" s="251" t="s">
        <v>3231</v>
      </c>
    </row>
    <row r="323" ht="15.75" customHeight="1">
      <c r="A323" s="244" t="s">
        <v>3211</v>
      </c>
      <c r="B323" s="245">
        <v>15.0</v>
      </c>
      <c r="C323" s="246" t="s">
        <v>3239</v>
      </c>
      <c r="D323" s="247" t="s">
        <v>3240</v>
      </c>
      <c r="E323" s="245" t="s">
        <v>1155</v>
      </c>
      <c r="F323" s="245" t="s">
        <v>3241</v>
      </c>
      <c r="G323" s="245">
        <v>3.0</v>
      </c>
      <c r="H323" s="248" t="s">
        <v>3250</v>
      </c>
      <c r="I323" s="249" t="s">
        <v>3251</v>
      </c>
      <c r="J323" s="250" t="s">
        <v>2236</v>
      </c>
    </row>
    <row r="324" ht="15.75" customHeight="1">
      <c r="A324" s="244" t="s">
        <v>3211</v>
      </c>
      <c r="B324" s="245">
        <v>16.0</v>
      </c>
      <c r="C324" s="246" t="s">
        <v>3239</v>
      </c>
      <c r="D324" s="247" t="s">
        <v>3240</v>
      </c>
      <c r="E324" s="245" t="s">
        <v>1155</v>
      </c>
      <c r="F324" s="245" t="s">
        <v>3241</v>
      </c>
      <c r="G324" s="245">
        <v>4.0</v>
      </c>
      <c r="H324" s="248" t="s">
        <v>3252</v>
      </c>
      <c r="I324" s="249" t="s">
        <v>3251</v>
      </c>
      <c r="J324" s="250" t="s">
        <v>2236</v>
      </c>
    </row>
    <row r="325" ht="15.75" customHeight="1">
      <c r="A325" s="266" t="s">
        <v>3211</v>
      </c>
      <c r="B325" s="267">
        <v>17.0</v>
      </c>
      <c r="C325" s="267" t="s">
        <v>3234</v>
      </c>
      <c r="D325" s="267" t="s">
        <v>3235</v>
      </c>
      <c r="E325" s="267" t="s">
        <v>3236</v>
      </c>
      <c r="F325" s="267" t="s">
        <v>3237</v>
      </c>
      <c r="G325" s="267"/>
      <c r="H325" s="268" t="s">
        <v>3253</v>
      </c>
      <c r="I325" s="269"/>
      <c r="J325" s="267"/>
    </row>
    <row r="326" ht="15.75" customHeight="1">
      <c r="A326" s="266" t="s">
        <v>3211</v>
      </c>
      <c r="B326" s="267">
        <v>18.0</v>
      </c>
      <c r="C326" s="267" t="s">
        <v>3234</v>
      </c>
      <c r="D326" s="267" t="s">
        <v>3235</v>
      </c>
      <c r="E326" s="267" t="s">
        <v>3236</v>
      </c>
      <c r="F326" s="267" t="s">
        <v>3237</v>
      </c>
      <c r="G326" s="267"/>
      <c r="H326" s="268" t="s">
        <v>3253</v>
      </c>
      <c r="I326" s="269"/>
      <c r="J326" s="267"/>
    </row>
    <row r="327" ht="15.75" customHeight="1">
      <c r="A327" s="244" t="s">
        <v>3211</v>
      </c>
      <c r="B327" s="245">
        <v>19.0</v>
      </c>
      <c r="C327" s="248" t="s">
        <v>3254</v>
      </c>
      <c r="D327" s="247" t="s">
        <v>3255</v>
      </c>
      <c r="E327" s="245" t="s">
        <v>1155</v>
      </c>
      <c r="F327" s="245" t="s">
        <v>3256</v>
      </c>
      <c r="G327" s="245">
        <v>2.0</v>
      </c>
      <c r="H327" s="248" t="s">
        <v>3257</v>
      </c>
      <c r="I327" s="249" t="s">
        <v>3258</v>
      </c>
      <c r="J327" s="250" t="s">
        <v>3259</v>
      </c>
    </row>
    <row r="328" ht="15.75" customHeight="1">
      <c r="A328" s="244" t="s">
        <v>3211</v>
      </c>
      <c r="B328" s="245">
        <v>20.0</v>
      </c>
      <c r="C328" s="248" t="s">
        <v>3254</v>
      </c>
      <c r="D328" s="247" t="s">
        <v>3255</v>
      </c>
      <c r="E328" s="245" t="s">
        <v>1155</v>
      </c>
      <c r="F328" s="245" t="s">
        <v>3256</v>
      </c>
      <c r="G328" s="245">
        <v>3.0</v>
      </c>
      <c r="H328" s="248" t="s">
        <v>3257</v>
      </c>
      <c r="I328" s="249" t="s">
        <v>3258</v>
      </c>
      <c r="J328" s="250" t="s">
        <v>3259</v>
      </c>
    </row>
    <row r="329" ht="15.75" customHeight="1">
      <c r="A329" s="244" t="s">
        <v>3211</v>
      </c>
      <c r="B329" s="245">
        <v>21.0</v>
      </c>
      <c r="C329" s="246" t="s">
        <v>3239</v>
      </c>
      <c r="D329" s="247" t="s">
        <v>3260</v>
      </c>
      <c r="E329" s="245" t="s">
        <v>1155</v>
      </c>
      <c r="F329" s="245" t="s">
        <v>3261</v>
      </c>
      <c r="G329" s="245">
        <v>2.0</v>
      </c>
      <c r="H329" s="270" t="s">
        <v>3262</v>
      </c>
      <c r="I329" s="249" t="s">
        <v>3263</v>
      </c>
      <c r="J329" s="250" t="s">
        <v>2236</v>
      </c>
    </row>
    <row r="330" ht="15.75" customHeight="1">
      <c r="A330" s="244" t="s">
        <v>3211</v>
      </c>
      <c r="B330" s="245">
        <v>22.0</v>
      </c>
      <c r="C330" s="246" t="s">
        <v>3239</v>
      </c>
      <c r="D330" s="247" t="s">
        <v>3260</v>
      </c>
      <c r="E330" s="245" t="s">
        <v>1155</v>
      </c>
      <c r="F330" s="245" t="s">
        <v>3261</v>
      </c>
      <c r="G330" s="245">
        <v>3.0</v>
      </c>
      <c r="H330" s="270" t="s">
        <v>3262</v>
      </c>
      <c r="I330" s="249" t="s">
        <v>3263</v>
      </c>
      <c r="J330" s="250" t="s">
        <v>2236</v>
      </c>
    </row>
    <row r="331" ht="15.75" customHeight="1">
      <c r="A331" s="244" t="s">
        <v>3211</v>
      </c>
      <c r="B331" s="245">
        <v>23.0</v>
      </c>
      <c r="C331" s="248" t="s">
        <v>3254</v>
      </c>
      <c r="D331" s="247" t="s">
        <v>3255</v>
      </c>
      <c r="E331" s="245" t="s">
        <v>1155</v>
      </c>
      <c r="F331" s="245" t="s">
        <v>3256</v>
      </c>
      <c r="G331" s="245">
        <v>3.0</v>
      </c>
      <c r="H331" s="248" t="s">
        <v>3264</v>
      </c>
      <c r="I331" s="249" t="s">
        <v>3263</v>
      </c>
      <c r="J331" s="250" t="s">
        <v>2236</v>
      </c>
    </row>
    <row r="332" ht="15.75" customHeight="1">
      <c r="A332" s="244" t="s">
        <v>3211</v>
      </c>
      <c r="B332" s="245">
        <v>24.0</v>
      </c>
      <c r="C332" s="248" t="s">
        <v>3254</v>
      </c>
      <c r="D332" s="247" t="s">
        <v>3255</v>
      </c>
      <c r="E332" s="245" t="s">
        <v>1155</v>
      </c>
      <c r="F332" s="245" t="s">
        <v>3256</v>
      </c>
      <c r="G332" s="245">
        <v>4.0</v>
      </c>
      <c r="H332" s="248" t="s">
        <v>3264</v>
      </c>
      <c r="I332" s="249" t="s">
        <v>3263</v>
      </c>
      <c r="J332" s="250" t="s">
        <v>2236</v>
      </c>
    </row>
    <row r="333" ht="15.75" customHeight="1">
      <c r="A333" s="244" t="s">
        <v>3211</v>
      </c>
      <c r="B333" s="245">
        <v>25.0</v>
      </c>
      <c r="C333" s="248" t="s">
        <v>3254</v>
      </c>
      <c r="D333" s="247" t="s">
        <v>3255</v>
      </c>
      <c r="E333" s="245" t="s">
        <v>1155</v>
      </c>
      <c r="F333" s="245" t="s">
        <v>3256</v>
      </c>
      <c r="G333" s="245">
        <v>3.0</v>
      </c>
      <c r="H333" s="248" t="s">
        <v>3265</v>
      </c>
      <c r="I333" s="249" t="s">
        <v>3263</v>
      </c>
      <c r="J333" s="250" t="s">
        <v>2236</v>
      </c>
    </row>
    <row r="334" ht="15.75" customHeight="1">
      <c r="A334" s="244" t="s">
        <v>3211</v>
      </c>
      <c r="B334" s="245">
        <v>26.0</v>
      </c>
      <c r="C334" s="248" t="s">
        <v>3254</v>
      </c>
      <c r="D334" s="247" t="s">
        <v>3255</v>
      </c>
      <c r="E334" s="245" t="s">
        <v>1155</v>
      </c>
      <c r="F334" s="245" t="s">
        <v>3256</v>
      </c>
      <c r="G334" s="245">
        <v>4.0</v>
      </c>
      <c r="H334" s="248" t="s">
        <v>3265</v>
      </c>
      <c r="I334" s="249" t="s">
        <v>3263</v>
      </c>
      <c r="J334" s="250" t="s">
        <v>2236</v>
      </c>
    </row>
    <row r="335" ht="15.75" customHeight="1">
      <c r="A335" s="266" t="s">
        <v>3211</v>
      </c>
      <c r="B335" s="267">
        <v>27.0</v>
      </c>
      <c r="C335" s="267" t="s">
        <v>3234</v>
      </c>
      <c r="D335" s="267" t="s">
        <v>3235</v>
      </c>
      <c r="E335" s="267" t="s">
        <v>3236</v>
      </c>
      <c r="F335" s="267" t="s">
        <v>3237</v>
      </c>
      <c r="G335" s="267"/>
      <c r="H335" s="268" t="s">
        <v>3266</v>
      </c>
      <c r="I335" s="269"/>
      <c r="J335" s="267"/>
    </row>
    <row r="336" ht="15.75" customHeight="1">
      <c r="A336" s="266" t="s">
        <v>3211</v>
      </c>
      <c r="B336" s="267">
        <v>28.0</v>
      </c>
      <c r="C336" s="267" t="s">
        <v>3234</v>
      </c>
      <c r="D336" s="267" t="s">
        <v>3235</v>
      </c>
      <c r="E336" s="267" t="s">
        <v>3236</v>
      </c>
      <c r="F336" s="267" t="s">
        <v>3237</v>
      </c>
      <c r="G336" s="267"/>
      <c r="H336" s="268" t="s">
        <v>3266</v>
      </c>
      <c r="I336" s="269"/>
      <c r="J336" s="267"/>
    </row>
    <row r="337" ht="15.75" customHeight="1">
      <c r="A337" s="244" t="s">
        <v>3211</v>
      </c>
      <c r="B337" s="245">
        <v>29.0</v>
      </c>
      <c r="C337" s="248" t="s">
        <v>3267</v>
      </c>
      <c r="D337" s="247" t="s">
        <v>3268</v>
      </c>
      <c r="E337" s="245" t="s">
        <v>1155</v>
      </c>
      <c r="F337" s="245" t="s">
        <v>3269</v>
      </c>
      <c r="G337" s="245">
        <v>2.0</v>
      </c>
      <c r="H337" s="271" t="s">
        <v>3270</v>
      </c>
      <c r="I337" s="249" t="s">
        <v>3271</v>
      </c>
      <c r="J337" s="250"/>
    </row>
    <row r="338" ht="15.75" customHeight="1">
      <c r="A338" s="244" t="s">
        <v>3211</v>
      </c>
      <c r="B338" s="245">
        <v>30.0</v>
      </c>
      <c r="C338" s="248" t="s">
        <v>3267</v>
      </c>
      <c r="D338" s="247" t="s">
        <v>3268</v>
      </c>
      <c r="E338" s="245" t="s">
        <v>1155</v>
      </c>
      <c r="F338" s="245" t="s">
        <v>3269</v>
      </c>
      <c r="G338" s="245">
        <v>3.0</v>
      </c>
      <c r="H338" s="271" t="s">
        <v>3270</v>
      </c>
      <c r="I338" s="249" t="s">
        <v>3271</v>
      </c>
      <c r="J338" s="250"/>
    </row>
    <row r="339" ht="15.75" customHeight="1">
      <c r="A339" s="244" t="s">
        <v>3211</v>
      </c>
      <c r="B339" s="245">
        <v>31.0</v>
      </c>
      <c r="C339" s="248" t="s">
        <v>3267</v>
      </c>
      <c r="D339" s="247" t="s">
        <v>3268</v>
      </c>
      <c r="E339" s="245" t="s">
        <v>1155</v>
      </c>
      <c r="F339" s="245" t="s">
        <v>3269</v>
      </c>
      <c r="G339" s="245">
        <v>3.0</v>
      </c>
      <c r="H339" s="272" t="s">
        <v>3272</v>
      </c>
      <c r="I339" s="249" t="s">
        <v>3273</v>
      </c>
      <c r="J339" s="250"/>
    </row>
    <row r="340" ht="15.75" customHeight="1">
      <c r="A340" s="244" t="s">
        <v>3211</v>
      </c>
      <c r="B340" s="245">
        <v>32.0</v>
      </c>
      <c r="C340" s="248" t="s">
        <v>3267</v>
      </c>
      <c r="D340" s="247" t="s">
        <v>3268</v>
      </c>
      <c r="E340" s="245" t="s">
        <v>1155</v>
      </c>
      <c r="F340" s="245" t="s">
        <v>3269</v>
      </c>
      <c r="G340" s="245">
        <v>4.0</v>
      </c>
      <c r="H340" s="272" t="s">
        <v>3272</v>
      </c>
      <c r="I340" s="249" t="s">
        <v>3273</v>
      </c>
      <c r="J340" s="250"/>
    </row>
    <row r="341" ht="15.75" customHeight="1">
      <c r="A341" s="244" t="s">
        <v>3211</v>
      </c>
      <c r="B341" s="245">
        <v>33.0</v>
      </c>
      <c r="C341" s="248" t="s">
        <v>3267</v>
      </c>
      <c r="D341" s="247" t="s">
        <v>3274</v>
      </c>
      <c r="E341" s="245" t="s">
        <v>1155</v>
      </c>
      <c r="F341" s="245" t="s">
        <v>3275</v>
      </c>
      <c r="G341" s="245">
        <v>2.0</v>
      </c>
      <c r="H341" s="272" t="s">
        <v>3276</v>
      </c>
      <c r="I341" s="249" t="s">
        <v>3277</v>
      </c>
    </row>
    <row r="342" ht="15.75" customHeight="1">
      <c r="A342" s="244" t="s">
        <v>3211</v>
      </c>
      <c r="B342" s="245">
        <v>34.0</v>
      </c>
      <c r="C342" s="248" t="s">
        <v>3267</v>
      </c>
      <c r="D342" s="247" t="s">
        <v>3274</v>
      </c>
      <c r="E342" s="245" t="s">
        <v>1155</v>
      </c>
      <c r="F342" s="245" t="s">
        <v>3275</v>
      </c>
      <c r="G342" s="245">
        <v>3.0</v>
      </c>
      <c r="H342" s="272" t="s">
        <v>3276</v>
      </c>
      <c r="I342" s="249" t="s">
        <v>3277</v>
      </c>
    </row>
    <row r="343" ht="15.75" customHeight="1">
      <c r="A343" s="244" t="s">
        <v>3211</v>
      </c>
      <c r="B343" s="245">
        <v>35.0</v>
      </c>
      <c r="C343" s="248" t="s">
        <v>3267</v>
      </c>
      <c r="D343" s="247" t="s">
        <v>3278</v>
      </c>
      <c r="E343" s="245" t="s">
        <v>1155</v>
      </c>
      <c r="F343" s="245" t="s">
        <v>3279</v>
      </c>
      <c r="G343" s="245">
        <v>2.0</v>
      </c>
      <c r="H343" s="272" t="s">
        <v>3280</v>
      </c>
      <c r="I343" s="249" t="s">
        <v>3281</v>
      </c>
    </row>
    <row r="344" ht="15.75" customHeight="1">
      <c r="A344" s="244" t="s">
        <v>3211</v>
      </c>
      <c r="B344" s="245">
        <v>36.0</v>
      </c>
      <c r="C344" s="248" t="s">
        <v>3267</v>
      </c>
      <c r="D344" s="247" t="s">
        <v>3278</v>
      </c>
      <c r="E344" s="245" t="s">
        <v>1155</v>
      </c>
      <c r="F344" s="245" t="s">
        <v>3279</v>
      </c>
      <c r="G344" s="245">
        <v>3.0</v>
      </c>
      <c r="H344" s="272" t="s">
        <v>3280</v>
      </c>
      <c r="I344" s="249" t="s">
        <v>3281</v>
      </c>
    </row>
    <row r="345" ht="15.75" customHeight="1">
      <c r="A345" s="266" t="s">
        <v>3211</v>
      </c>
      <c r="B345" s="267">
        <v>37.0</v>
      </c>
      <c r="C345" s="267" t="s">
        <v>3282</v>
      </c>
      <c r="D345" s="273" t="s">
        <v>3283</v>
      </c>
      <c r="E345" s="267" t="s">
        <v>3236</v>
      </c>
      <c r="F345" s="267" t="s">
        <v>3284</v>
      </c>
      <c r="G345" s="267"/>
      <c r="H345" s="268" t="s">
        <v>3285</v>
      </c>
      <c r="I345" s="269"/>
      <c r="J345" s="267"/>
    </row>
    <row r="346" ht="15.75" customHeight="1">
      <c r="A346" s="266" t="s">
        <v>3211</v>
      </c>
      <c r="B346" s="267">
        <v>38.0</v>
      </c>
      <c r="C346" s="267" t="s">
        <v>3282</v>
      </c>
      <c r="D346" s="273" t="s">
        <v>3283</v>
      </c>
      <c r="E346" s="267" t="s">
        <v>3236</v>
      </c>
      <c r="F346" s="267" t="s">
        <v>3284</v>
      </c>
      <c r="G346" s="267"/>
      <c r="H346" s="268" t="s">
        <v>3285</v>
      </c>
      <c r="I346" s="269"/>
      <c r="J346" s="267"/>
    </row>
    <row r="347" ht="15.75" customHeight="1">
      <c r="A347" s="252" t="s">
        <v>3211</v>
      </c>
      <c r="B347" s="250">
        <v>39.0</v>
      </c>
      <c r="C347" s="246" t="s">
        <v>3239</v>
      </c>
      <c r="D347" s="251" t="s">
        <v>3286</v>
      </c>
      <c r="E347" s="245" t="s">
        <v>1155</v>
      </c>
      <c r="F347" s="272" t="s">
        <v>3287</v>
      </c>
      <c r="G347" s="245" t="s">
        <v>3228</v>
      </c>
      <c r="H347" s="272" t="s">
        <v>3288</v>
      </c>
      <c r="I347" s="249" t="s">
        <v>3289</v>
      </c>
      <c r="J347" s="250"/>
    </row>
    <row r="348" ht="15.75" customHeight="1">
      <c r="A348" s="252" t="s">
        <v>3211</v>
      </c>
      <c r="B348" s="250">
        <v>40.0</v>
      </c>
      <c r="C348" s="246" t="s">
        <v>3239</v>
      </c>
      <c r="D348" s="251" t="s">
        <v>3286</v>
      </c>
      <c r="E348" s="245" t="s">
        <v>1155</v>
      </c>
      <c r="F348" s="272" t="s">
        <v>3287</v>
      </c>
      <c r="G348" s="245">
        <v>2.0</v>
      </c>
      <c r="H348" s="272" t="s">
        <v>3288</v>
      </c>
      <c r="I348" s="249" t="s">
        <v>3289</v>
      </c>
      <c r="J348" s="250"/>
    </row>
    <row r="349" ht="15.75" customHeight="1">
      <c r="A349" s="252" t="s">
        <v>3211</v>
      </c>
      <c r="B349" s="250">
        <v>41.0</v>
      </c>
      <c r="C349" s="246" t="s">
        <v>3239</v>
      </c>
      <c r="D349" s="251" t="s">
        <v>3286</v>
      </c>
      <c r="E349" s="245" t="s">
        <v>1155</v>
      </c>
      <c r="F349" s="272" t="s">
        <v>3287</v>
      </c>
      <c r="G349" s="245">
        <v>3.0</v>
      </c>
      <c r="H349" s="272" t="s">
        <v>3290</v>
      </c>
      <c r="I349" s="249" t="s">
        <v>3277</v>
      </c>
      <c r="J349" s="250"/>
    </row>
    <row r="350" ht="15.75" customHeight="1">
      <c r="A350" s="252" t="s">
        <v>3211</v>
      </c>
      <c r="B350" s="250">
        <v>42.0</v>
      </c>
      <c r="C350" s="246" t="s">
        <v>3239</v>
      </c>
      <c r="D350" s="251" t="s">
        <v>3286</v>
      </c>
      <c r="E350" s="245" t="s">
        <v>1155</v>
      </c>
      <c r="F350" s="272" t="s">
        <v>3287</v>
      </c>
      <c r="G350" s="245">
        <v>4.0</v>
      </c>
      <c r="H350" s="272" t="s">
        <v>3290</v>
      </c>
      <c r="I350" s="249" t="s">
        <v>3277</v>
      </c>
      <c r="J350" s="250"/>
    </row>
    <row r="351" ht="15.75" customHeight="1">
      <c r="A351" s="252" t="s">
        <v>3211</v>
      </c>
      <c r="B351" s="250">
        <v>43.0</v>
      </c>
      <c r="C351" s="246" t="s">
        <v>3239</v>
      </c>
      <c r="D351" s="251" t="s">
        <v>3286</v>
      </c>
      <c r="E351" s="245" t="s">
        <v>1155</v>
      </c>
      <c r="F351" s="272" t="s">
        <v>3287</v>
      </c>
      <c r="G351" s="245">
        <v>3.0</v>
      </c>
      <c r="H351" s="253" t="s">
        <v>3291</v>
      </c>
      <c r="I351" s="249" t="s">
        <v>3277</v>
      </c>
      <c r="J351" s="250"/>
    </row>
    <row r="352" ht="15.75" customHeight="1">
      <c r="A352" s="252" t="s">
        <v>3211</v>
      </c>
      <c r="B352" s="250">
        <v>44.0</v>
      </c>
      <c r="C352" s="246" t="s">
        <v>3239</v>
      </c>
      <c r="D352" s="251" t="s">
        <v>3286</v>
      </c>
      <c r="E352" s="245" t="s">
        <v>1155</v>
      </c>
      <c r="F352" s="272" t="s">
        <v>3287</v>
      </c>
      <c r="G352" s="250">
        <v>4.0</v>
      </c>
      <c r="H352" s="253" t="s">
        <v>3291</v>
      </c>
      <c r="I352" s="249" t="s">
        <v>3277</v>
      </c>
      <c r="J352" s="250"/>
    </row>
    <row r="353" ht="15.75" customHeight="1">
      <c r="A353" s="256"/>
      <c r="B353" s="257"/>
      <c r="C353" s="257"/>
      <c r="D353" s="258"/>
      <c r="E353" s="257"/>
      <c r="F353" s="257"/>
      <c r="G353" s="257"/>
      <c r="H353" s="259"/>
      <c r="I353" s="260"/>
      <c r="J353" s="257"/>
    </row>
    <row r="354" ht="15.75" customHeight="1">
      <c r="A354" s="244" t="s">
        <v>3212</v>
      </c>
      <c r="B354" s="245">
        <v>1.0</v>
      </c>
      <c r="C354" s="246" t="s">
        <v>3220</v>
      </c>
      <c r="D354" s="247" t="s">
        <v>3292</v>
      </c>
      <c r="E354" s="245" t="s">
        <v>1155</v>
      </c>
      <c r="F354" s="245" t="s">
        <v>3293</v>
      </c>
      <c r="G354" s="245" t="s">
        <v>3228</v>
      </c>
      <c r="H354" s="248" t="s">
        <v>3294</v>
      </c>
      <c r="I354" s="261" t="s">
        <v>3295</v>
      </c>
    </row>
    <row r="355" ht="15.75" customHeight="1">
      <c r="A355" s="244" t="s">
        <v>3212</v>
      </c>
      <c r="B355" s="245">
        <v>3.0</v>
      </c>
      <c r="C355" s="246" t="s">
        <v>3220</v>
      </c>
      <c r="D355" s="247" t="s">
        <v>3296</v>
      </c>
      <c r="E355" s="245" t="s">
        <v>1155</v>
      </c>
      <c r="F355" s="245" t="s">
        <v>3297</v>
      </c>
      <c r="G355" s="245">
        <v>2.0</v>
      </c>
      <c r="H355" s="248" t="s">
        <v>3298</v>
      </c>
      <c r="I355" s="262" t="s">
        <v>3299</v>
      </c>
      <c r="J355" s="245" t="s">
        <v>3300</v>
      </c>
    </row>
    <row r="356" ht="15.75" customHeight="1">
      <c r="A356" s="244" t="s">
        <v>3212</v>
      </c>
      <c r="B356" s="245">
        <v>4.0</v>
      </c>
      <c r="C356" s="246" t="s">
        <v>3220</v>
      </c>
      <c r="D356" s="247" t="s">
        <v>3296</v>
      </c>
      <c r="E356" s="245" t="s">
        <v>1155</v>
      </c>
      <c r="F356" s="245" t="s">
        <v>3297</v>
      </c>
      <c r="G356" s="245">
        <v>3.0</v>
      </c>
      <c r="H356" s="248" t="s">
        <v>3298</v>
      </c>
      <c r="I356" s="262" t="s">
        <v>3299</v>
      </c>
      <c r="J356" s="245" t="s">
        <v>3300</v>
      </c>
    </row>
    <row r="357" ht="15.75" customHeight="1">
      <c r="A357" s="244" t="s">
        <v>3212</v>
      </c>
      <c r="B357" s="245">
        <v>5.0</v>
      </c>
      <c r="C357" s="246" t="s">
        <v>3239</v>
      </c>
      <c r="D357" s="247" t="s">
        <v>3240</v>
      </c>
      <c r="E357" s="245" t="s">
        <v>1155</v>
      </c>
      <c r="F357" s="245" t="s">
        <v>3241</v>
      </c>
      <c r="G357" s="245">
        <v>4.0</v>
      </c>
      <c r="H357" s="248" t="s">
        <v>3301</v>
      </c>
      <c r="I357" s="262" t="s">
        <v>3302</v>
      </c>
      <c r="J357" s="245" t="s">
        <v>3303</v>
      </c>
    </row>
    <row r="358" ht="15.75" customHeight="1">
      <c r="A358" s="244" t="s">
        <v>3212</v>
      </c>
      <c r="B358" s="245">
        <v>6.0</v>
      </c>
      <c r="C358" s="246" t="s">
        <v>3239</v>
      </c>
      <c r="D358" s="247" t="s">
        <v>3304</v>
      </c>
      <c r="E358" s="245" t="s">
        <v>1155</v>
      </c>
      <c r="F358" s="245" t="s">
        <v>3305</v>
      </c>
      <c r="G358" s="245">
        <v>4.0</v>
      </c>
      <c r="H358" s="248" t="s">
        <v>3306</v>
      </c>
      <c r="I358" s="262" t="s">
        <v>3302</v>
      </c>
      <c r="J358" s="245" t="s">
        <v>3303</v>
      </c>
    </row>
    <row r="359" ht="15.75" customHeight="1">
      <c r="A359" s="266" t="s">
        <v>3212</v>
      </c>
      <c r="B359" s="267">
        <v>7.0</v>
      </c>
      <c r="C359" s="267"/>
      <c r="D359" s="273" t="s">
        <v>3307</v>
      </c>
      <c r="E359" s="267" t="s">
        <v>3236</v>
      </c>
      <c r="F359" s="267" t="s">
        <v>3308</v>
      </c>
      <c r="G359" s="267"/>
      <c r="H359" s="268" t="s">
        <v>3309</v>
      </c>
      <c r="I359" s="269"/>
      <c r="J359" s="267"/>
    </row>
    <row r="360" ht="15.75" customHeight="1">
      <c r="A360" s="266" t="s">
        <v>3212</v>
      </c>
      <c r="B360" s="267">
        <v>8.0</v>
      </c>
      <c r="C360" s="267"/>
      <c r="D360" s="273" t="s">
        <v>3307</v>
      </c>
      <c r="E360" s="267" t="s">
        <v>3236</v>
      </c>
      <c r="F360" s="267" t="s">
        <v>3308</v>
      </c>
      <c r="G360" s="267"/>
      <c r="H360" s="268" t="s">
        <v>3309</v>
      </c>
      <c r="I360" s="269"/>
      <c r="J360" s="267"/>
    </row>
    <row r="361" ht="15.75" customHeight="1">
      <c r="A361" s="244" t="s">
        <v>3212</v>
      </c>
      <c r="B361" s="245">
        <v>9.0</v>
      </c>
      <c r="C361" s="245" t="s">
        <v>3310</v>
      </c>
      <c r="D361" s="247" t="s">
        <v>3311</v>
      </c>
      <c r="E361" s="245" t="s">
        <v>1155</v>
      </c>
      <c r="F361" s="245" t="s">
        <v>3312</v>
      </c>
      <c r="G361" s="245" t="s">
        <v>3228</v>
      </c>
      <c r="H361" s="248" t="s">
        <v>3313</v>
      </c>
      <c r="I361" s="262" t="s">
        <v>3314</v>
      </c>
      <c r="J361" s="245" t="s">
        <v>3315</v>
      </c>
    </row>
    <row r="362" ht="15.75" customHeight="1">
      <c r="A362" s="244" t="s">
        <v>3212</v>
      </c>
      <c r="B362" s="245">
        <v>10.0</v>
      </c>
      <c r="C362" s="245" t="s">
        <v>3310</v>
      </c>
      <c r="D362" s="247" t="s">
        <v>3311</v>
      </c>
      <c r="E362" s="245" t="s">
        <v>1155</v>
      </c>
      <c r="F362" s="245" t="s">
        <v>3312</v>
      </c>
      <c r="G362" s="245">
        <v>2.0</v>
      </c>
      <c r="H362" s="248" t="s">
        <v>3316</v>
      </c>
      <c r="I362" s="262" t="s">
        <v>3314</v>
      </c>
      <c r="J362" s="245" t="s">
        <v>3315</v>
      </c>
    </row>
    <row r="363" ht="15.75" customHeight="1">
      <c r="A363" s="244" t="s">
        <v>3212</v>
      </c>
      <c r="B363" s="245">
        <v>11.0</v>
      </c>
      <c r="C363" s="245" t="s">
        <v>3310</v>
      </c>
      <c r="D363" s="247" t="s">
        <v>3311</v>
      </c>
      <c r="E363" s="245" t="s">
        <v>1155</v>
      </c>
      <c r="F363" s="245" t="s">
        <v>3312</v>
      </c>
      <c r="G363" s="245">
        <v>2.0</v>
      </c>
      <c r="H363" s="248" t="s">
        <v>3317</v>
      </c>
      <c r="I363" s="262" t="s">
        <v>3318</v>
      </c>
      <c r="J363" s="245" t="s">
        <v>3315</v>
      </c>
    </row>
    <row r="364" ht="15.75" customHeight="1">
      <c r="A364" s="244" t="s">
        <v>3212</v>
      </c>
      <c r="B364" s="245">
        <v>12.0</v>
      </c>
      <c r="C364" s="245" t="s">
        <v>3310</v>
      </c>
      <c r="D364" s="247" t="s">
        <v>3311</v>
      </c>
      <c r="E364" s="245" t="s">
        <v>1155</v>
      </c>
      <c r="F364" s="245" t="s">
        <v>3312</v>
      </c>
      <c r="G364" s="245">
        <v>3.0</v>
      </c>
      <c r="H364" s="248" t="s">
        <v>3319</v>
      </c>
      <c r="I364" s="262" t="s">
        <v>3318</v>
      </c>
      <c r="J364" s="245" t="s">
        <v>3315</v>
      </c>
    </row>
    <row r="365" ht="15.75" customHeight="1">
      <c r="A365" s="244" t="s">
        <v>3212</v>
      </c>
      <c r="B365" s="245">
        <v>13.0</v>
      </c>
      <c r="C365" s="245" t="s">
        <v>3282</v>
      </c>
      <c r="D365" s="247" t="s">
        <v>3320</v>
      </c>
      <c r="E365" s="245" t="s">
        <v>1155</v>
      </c>
      <c r="F365" s="245" t="s">
        <v>3321</v>
      </c>
      <c r="G365" s="245">
        <v>4.0</v>
      </c>
      <c r="H365" s="248" t="s">
        <v>3322</v>
      </c>
      <c r="I365" s="262" t="s">
        <v>3323</v>
      </c>
      <c r="J365" s="245" t="s">
        <v>3235</v>
      </c>
    </row>
    <row r="366" ht="15.75" customHeight="1">
      <c r="A366" s="244" t="s">
        <v>3212</v>
      </c>
      <c r="B366" s="245">
        <v>14.0</v>
      </c>
      <c r="C366" s="245" t="s">
        <v>3282</v>
      </c>
      <c r="D366" s="247" t="s">
        <v>3320</v>
      </c>
      <c r="E366" s="245" t="s">
        <v>1155</v>
      </c>
      <c r="F366" s="245" t="s">
        <v>3321</v>
      </c>
      <c r="G366" s="245">
        <v>4.0</v>
      </c>
      <c r="H366" s="248" t="s">
        <v>3322</v>
      </c>
      <c r="I366" s="262" t="s">
        <v>3323</v>
      </c>
      <c r="J366" s="245" t="s">
        <v>3235</v>
      </c>
    </row>
    <row r="367" ht="15.75" customHeight="1">
      <c r="A367" s="266" t="s">
        <v>3212</v>
      </c>
      <c r="B367" s="267">
        <v>15.0</v>
      </c>
      <c r="C367" s="267" t="s">
        <v>3310</v>
      </c>
      <c r="D367" s="273" t="s">
        <v>3324</v>
      </c>
      <c r="E367" s="267" t="s">
        <v>3236</v>
      </c>
      <c r="F367" s="267" t="s">
        <v>3325</v>
      </c>
      <c r="G367" s="267"/>
      <c r="H367" s="268" t="s">
        <v>3326</v>
      </c>
      <c r="I367" s="269"/>
      <c r="J367" s="267"/>
    </row>
    <row r="368" ht="15.75" customHeight="1">
      <c r="A368" s="266" t="s">
        <v>3212</v>
      </c>
      <c r="B368" s="267">
        <v>16.0</v>
      </c>
      <c r="C368" s="267" t="s">
        <v>3310</v>
      </c>
      <c r="D368" s="273" t="s">
        <v>3327</v>
      </c>
      <c r="E368" s="267" t="s">
        <v>3236</v>
      </c>
      <c r="F368" s="267" t="s">
        <v>3325</v>
      </c>
      <c r="G368" s="267"/>
      <c r="H368" s="268" t="s">
        <v>3326</v>
      </c>
      <c r="I368" s="269"/>
      <c r="J368" s="267"/>
    </row>
    <row r="369" ht="15.75" customHeight="1">
      <c r="A369" s="244" t="s">
        <v>3212</v>
      </c>
      <c r="B369" s="245">
        <v>17.0</v>
      </c>
      <c r="C369" s="245" t="s">
        <v>3282</v>
      </c>
      <c r="D369" s="247" t="s">
        <v>3268</v>
      </c>
      <c r="E369" s="245" t="s">
        <v>1155</v>
      </c>
      <c r="F369" s="245" t="s">
        <v>3269</v>
      </c>
      <c r="G369" s="245" t="s">
        <v>3228</v>
      </c>
      <c r="H369" s="248" t="s">
        <v>3328</v>
      </c>
      <c r="I369" s="261" t="s">
        <v>3329</v>
      </c>
    </row>
    <row r="370" ht="15.75" customHeight="1">
      <c r="A370" s="244" t="s">
        <v>3212</v>
      </c>
      <c r="B370" s="245">
        <v>18.0</v>
      </c>
      <c r="C370" s="245" t="s">
        <v>3282</v>
      </c>
      <c r="D370" s="247" t="s">
        <v>3268</v>
      </c>
      <c r="E370" s="245" t="s">
        <v>1155</v>
      </c>
      <c r="F370" s="245" t="s">
        <v>3269</v>
      </c>
      <c r="G370" s="245">
        <v>2.0</v>
      </c>
      <c r="H370" s="248" t="s">
        <v>3330</v>
      </c>
      <c r="I370" s="261" t="s">
        <v>3331</v>
      </c>
      <c r="J370" s="245"/>
    </row>
    <row r="371" ht="15.75" customHeight="1">
      <c r="A371" s="244" t="s">
        <v>3212</v>
      </c>
      <c r="B371" s="245">
        <v>19.0</v>
      </c>
      <c r="C371" s="245" t="s">
        <v>3282</v>
      </c>
      <c r="D371" s="247" t="s">
        <v>3268</v>
      </c>
      <c r="E371" s="245" t="s">
        <v>1155</v>
      </c>
      <c r="F371" s="245" t="s">
        <v>3269</v>
      </c>
      <c r="G371" s="245">
        <v>2.0</v>
      </c>
      <c r="H371" s="248" t="s">
        <v>3332</v>
      </c>
      <c r="I371" s="262" t="s">
        <v>3333</v>
      </c>
      <c r="J371" s="245" t="s">
        <v>3334</v>
      </c>
    </row>
    <row r="372" ht="15.75" customHeight="1">
      <c r="A372" s="244" t="s">
        <v>3212</v>
      </c>
      <c r="B372" s="245">
        <v>20.0</v>
      </c>
      <c r="C372" s="245" t="s">
        <v>3282</v>
      </c>
      <c r="D372" s="247" t="s">
        <v>3335</v>
      </c>
      <c r="E372" s="245" t="s">
        <v>1155</v>
      </c>
      <c r="F372" s="245" t="s">
        <v>3336</v>
      </c>
      <c r="G372" s="245">
        <v>3.0</v>
      </c>
      <c r="H372" s="248" t="s">
        <v>3337</v>
      </c>
      <c r="I372" s="262" t="s">
        <v>3333</v>
      </c>
      <c r="J372" s="245" t="s">
        <v>3334</v>
      </c>
    </row>
    <row r="373" ht="15.75" customHeight="1">
      <c r="A373" s="244" t="s">
        <v>3212</v>
      </c>
      <c r="B373" s="245">
        <v>21.0</v>
      </c>
      <c r="C373" s="245" t="s">
        <v>3282</v>
      </c>
      <c r="D373" s="247" t="s">
        <v>3338</v>
      </c>
      <c r="E373" s="245" t="s">
        <v>1155</v>
      </c>
      <c r="F373" s="245" t="s">
        <v>3339</v>
      </c>
      <c r="G373" s="245">
        <v>4.0</v>
      </c>
      <c r="H373" s="248" t="s">
        <v>3340</v>
      </c>
      <c r="I373" s="261" t="s">
        <v>3323</v>
      </c>
      <c r="J373" s="245"/>
    </row>
    <row r="374" ht="15.75" customHeight="1">
      <c r="A374" s="244" t="s">
        <v>3212</v>
      </c>
      <c r="B374" s="245">
        <v>22.0</v>
      </c>
      <c r="C374" s="245" t="s">
        <v>3282</v>
      </c>
      <c r="D374" s="247" t="s">
        <v>3320</v>
      </c>
      <c r="E374" s="245" t="s">
        <v>1155</v>
      </c>
      <c r="F374" s="245" t="s">
        <v>3339</v>
      </c>
      <c r="G374" s="245">
        <v>4.0</v>
      </c>
      <c r="H374" s="248" t="s">
        <v>3341</v>
      </c>
      <c r="I374" s="261" t="s">
        <v>3323</v>
      </c>
      <c r="J374" s="245"/>
    </row>
    <row r="375" ht="15.75" customHeight="1">
      <c r="A375" s="266" t="s">
        <v>3212</v>
      </c>
      <c r="B375" s="267">
        <v>23.0</v>
      </c>
      <c r="C375" s="267" t="s">
        <v>3282</v>
      </c>
      <c r="D375" s="273" t="s">
        <v>3283</v>
      </c>
      <c r="E375" s="267" t="s">
        <v>3236</v>
      </c>
      <c r="F375" s="267" t="s">
        <v>3284</v>
      </c>
      <c r="G375" s="267"/>
      <c r="H375" s="268" t="s">
        <v>3342</v>
      </c>
      <c r="I375" s="269"/>
      <c r="J375" s="267"/>
    </row>
    <row r="376" ht="15.75" customHeight="1">
      <c r="A376" s="266" t="s">
        <v>3212</v>
      </c>
      <c r="B376" s="267">
        <v>24.0</v>
      </c>
      <c r="C376" s="267" t="s">
        <v>3282</v>
      </c>
      <c r="D376" s="273" t="s">
        <v>3343</v>
      </c>
      <c r="E376" s="267" t="s">
        <v>3236</v>
      </c>
      <c r="F376" s="267" t="s">
        <v>3344</v>
      </c>
      <c r="G376" s="267"/>
      <c r="H376" s="268" t="s">
        <v>3342</v>
      </c>
      <c r="I376" s="269"/>
      <c r="J376" s="267"/>
    </row>
    <row r="377" ht="15.75" customHeight="1">
      <c r="A377" s="244" t="s">
        <v>3212</v>
      </c>
      <c r="B377" s="245">
        <v>25.0</v>
      </c>
      <c r="C377" s="245" t="s">
        <v>3345</v>
      </c>
      <c r="D377" s="247" t="s">
        <v>3260</v>
      </c>
      <c r="E377" s="245" t="s">
        <v>1155</v>
      </c>
      <c r="F377" s="245" t="s">
        <v>3346</v>
      </c>
      <c r="G377" s="245">
        <v>2.0</v>
      </c>
      <c r="H377" s="248" t="s">
        <v>3347</v>
      </c>
      <c r="I377" s="261" t="s">
        <v>3323</v>
      </c>
      <c r="J377" s="245"/>
    </row>
    <row r="378" ht="15.75" customHeight="1">
      <c r="A378" s="244" t="s">
        <v>3212</v>
      </c>
      <c r="B378" s="245">
        <v>26.0</v>
      </c>
      <c r="C378" s="245" t="s">
        <v>3345</v>
      </c>
      <c r="D378" s="247" t="s">
        <v>3348</v>
      </c>
      <c r="E378" s="245" t="s">
        <v>1155</v>
      </c>
      <c r="F378" s="245" t="s">
        <v>3349</v>
      </c>
      <c r="G378" s="245">
        <v>2.0</v>
      </c>
      <c r="H378" s="248" t="s">
        <v>3350</v>
      </c>
      <c r="I378" s="261" t="s">
        <v>3323</v>
      </c>
      <c r="J378" s="245"/>
    </row>
    <row r="379" ht="15.75" customHeight="1">
      <c r="A379" s="244" t="s">
        <v>3212</v>
      </c>
      <c r="B379" s="245">
        <v>27.0</v>
      </c>
      <c r="C379" s="245" t="s">
        <v>3254</v>
      </c>
      <c r="D379" s="247" t="s">
        <v>3351</v>
      </c>
      <c r="E379" s="245" t="s">
        <v>1155</v>
      </c>
      <c r="F379" s="245" t="s">
        <v>3352</v>
      </c>
      <c r="G379" s="245">
        <v>3.0</v>
      </c>
      <c r="H379" s="248" t="s">
        <v>3353</v>
      </c>
      <c r="I379" s="262" t="s">
        <v>3354</v>
      </c>
      <c r="J379" s="245" t="s">
        <v>3355</v>
      </c>
    </row>
    <row r="380" ht="15.75" customHeight="1">
      <c r="A380" s="244" t="s">
        <v>3212</v>
      </c>
      <c r="B380" s="245">
        <v>28.0</v>
      </c>
      <c r="C380" s="245" t="s">
        <v>3254</v>
      </c>
      <c r="D380" s="247" t="s">
        <v>3356</v>
      </c>
      <c r="E380" s="245" t="s">
        <v>1155</v>
      </c>
      <c r="F380" s="245" t="s">
        <v>3357</v>
      </c>
      <c r="G380" s="245">
        <v>4.0</v>
      </c>
      <c r="H380" s="248" t="s">
        <v>3358</v>
      </c>
      <c r="I380" s="262" t="s">
        <v>3354</v>
      </c>
      <c r="J380" s="245" t="s">
        <v>3355</v>
      </c>
    </row>
    <row r="381" ht="15.75" customHeight="1">
      <c r="A381" s="244" t="s">
        <v>3212</v>
      </c>
      <c r="B381" s="245">
        <v>29.0</v>
      </c>
      <c r="C381" s="245" t="s">
        <v>3345</v>
      </c>
      <c r="D381" s="247" t="s">
        <v>3359</v>
      </c>
      <c r="E381" s="245" t="s">
        <v>1155</v>
      </c>
      <c r="F381" s="245" t="s">
        <v>3360</v>
      </c>
      <c r="G381" s="245">
        <v>5.0</v>
      </c>
      <c r="H381" s="248" t="s">
        <v>3361</v>
      </c>
      <c r="I381" s="262" t="s">
        <v>3354</v>
      </c>
      <c r="J381" s="245" t="s">
        <v>3355</v>
      </c>
    </row>
    <row r="382" ht="15.75" customHeight="1">
      <c r="A382" s="244" t="s">
        <v>3212</v>
      </c>
      <c r="B382" s="245">
        <v>30.0</v>
      </c>
      <c r="C382" s="245" t="s">
        <v>3345</v>
      </c>
      <c r="D382" s="247" t="s">
        <v>3359</v>
      </c>
      <c r="E382" s="245" t="s">
        <v>1155</v>
      </c>
      <c r="F382" s="245" t="s">
        <v>3360</v>
      </c>
      <c r="G382" s="245">
        <v>6.0</v>
      </c>
      <c r="H382" s="248" t="s">
        <v>3361</v>
      </c>
      <c r="I382" s="262" t="s">
        <v>3354</v>
      </c>
      <c r="J382" s="245" t="s">
        <v>3355</v>
      </c>
    </row>
    <row r="383" ht="15.75" customHeight="1">
      <c r="A383" s="273" t="s">
        <v>3212</v>
      </c>
      <c r="B383" s="273">
        <v>31.0</v>
      </c>
      <c r="C383" s="273" t="s">
        <v>3345</v>
      </c>
      <c r="D383" s="273" t="s">
        <v>3362</v>
      </c>
      <c r="E383" s="273" t="s">
        <v>3236</v>
      </c>
      <c r="F383" s="273" t="s">
        <v>3363</v>
      </c>
      <c r="G383" s="273"/>
      <c r="H383" s="268" t="s">
        <v>3364</v>
      </c>
      <c r="I383" s="269"/>
      <c r="J383" s="273" t="s">
        <v>3335</v>
      </c>
    </row>
    <row r="384" ht="15.75" customHeight="1">
      <c r="A384" s="273" t="s">
        <v>3212</v>
      </c>
      <c r="B384" s="273">
        <v>32.0</v>
      </c>
      <c r="C384" s="273" t="s">
        <v>3345</v>
      </c>
      <c r="D384" s="273" t="s">
        <v>3365</v>
      </c>
      <c r="E384" s="273" t="s">
        <v>3236</v>
      </c>
      <c r="F384" s="273" t="s">
        <v>3366</v>
      </c>
      <c r="G384" s="273"/>
      <c r="H384" s="268" t="s">
        <v>3364</v>
      </c>
      <c r="I384" s="269"/>
      <c r="J384" s="273" t="s">
        <v>3335</v>
      </c>
    </row>
    <row r="385" ht="15.75" customHeight="1">
      <c r="A385" s="244" t="s">
        <v>3212</v>
      </c>
      <c r="B385" s="245">
        <v>33.0</v>
      </c>
      <c r="C385" s="245" t="s">
        <v>3267</v>
      </c>
      <c r="D385" s="247" t="s">
        <v>3367</v>
      </c>
      <c r="E385" s="245" t="s">
        <v>1155</v>
      </c>
      <c r="F385" s="245" t="s">
        <v>3339</v>
      </c>
      <c r="G385" s="245">
        <v>2.0</v>
      </c>
      <c r="H385" s="248" t="s">
        <v>3368</v>
      </c>
      <c r="I385" s="262" t="s">
        <v>3369</v>
      </c>
      <c r="J385" s="245"/>
    </row>
    <row r="386" ht="15.75" customHeight="1">
      <c r="A386" s="244" t="s">
        <v>3212</v>
      </c>
      <c r="B386" s="245">
        <v>34.0</v>
      </c>
      <c r="C386" s="245" t="s">
        <v>3267</v>
      </c>
      <c r="D386" s="247" t="s">
        <v>3367</v>
      </c>
      <c r="E386" s="245" t="s">
        <v>1155</v>
      </c>
      <c r="F386" s="245" t="s">
        <v>3339</v>
      </c>
      <c r="G386" s="245">
        <v>2.0</v>
      </c>
      <c r="H386" s="248" t="s">
        <v>3370</v>
      </c>
      <c r="I386" s="262" t="s">
        <v>3369</v>
      </c>
      <c r="J386" s="245"/>
    </row>
    <row r="387" ht="15.75" customHeight="1">
      <c r="A387" s="244" t="s">
        <v>3212</v>
      </c>
      <c r="B387" s="245">
        <v>35.0</v>
      </c>
      <c r="C387" s="245" t="s">
        <v>3345</v>
      </c>
      <c r="D387" s="247" t="s">
        <v>3371</v>
      </c>
      <c r="E387" s="245" t="s">
        <v>1155</v>
      </c>
      <c r="F387" s="245" t="s">
        <v>3305</v>
      </c>
      <c r="G387" s="245">
        <v>3.0</v>
      </c>
      <c r="H387" s="248" t="s">
        <v>3372</v>
      </c>
      <c r="I387" s="262" t="s">
        <v>3373</v>
      </c>
      <c r="J387" s="247" t="s">
        <v>3374</v>
      </c>
    </row>
    <row r="388" ht="15.75" customHeight="1">
      <c r="A388" s="244" t="s">
        <v>3212</v>
      </c>
      <c r="B388" s="245">
        <v>36.0</v>
      </c>
      <c r="C388" s="245" t="s">
        <v>3345</v>
      </c>
      <c r="D388" s="247" t="s">
        <v>3371</v>
      </c>
      <c r="E388" s="245" t="s">
        <v>1155</v>
      </c>
      <c r="F388" s="245" t="s">
        <v>3305</v>
      </c>
      <c r="G388" s="245">
        <v>4.0</v>
      </c>
      <c r="H388" s="248" t="s">
        <v>3372</v>
      </c>
      <c r="I388" s="262" t="s">
        <v>3373</v>
      </c>
      <c r="J388" s="247" t="s">
        <v>3374</v>
      </c>
    </row>
    <row r="389" ht="15.75" customHeight="1">
      <c r="A389" s="244" t="s">
        <v>3212</v>
      </c>
      <c r="B389" s="245">
        <v>37.0</v>
      </c>
      <c r="C389" s="245" t="s">
        <v>3345</v>
      </c>
      <c r="D389" s="247" t="s">
        <v>3371</v>
      </c>
      <c r="E389" s="245" t="s">
        <v>1155</v>
      </c>
      <c r="F389" s="245" t="s">
        <v>3305</v>
      </c>
      <c r="G389" s="245">
        <v>4.0</v>
      </c>
      <c r="H389" s="248" t="s">
        <v>3375</v>
      </c>
      <c r="I389" s="262"/>
      <c r="J389" s="245"/>
    </row>
    <row r="390" ht="15.75" customHeight="1">
      <c r="A390" s="244" t="s">
        <v>3212</v>
      </c>
      <c r="B390" s="245">
        <v>38.0</v>
      </c>
      <c r="C390" s="245" t="s">
        <v>3345</v>
      </c>
      <c r="D390" s="247" t="s">
        <v>3371</v>
      </c>
      <c r="E390" s="245" t="s">
        <v>1155</v>
      </c>
      <c r="F390" s="245" t="s">
        <v>3305</v>
      </c>
      <c r="G390" s="245">
        <v>5.0</v>
      </c>
      <c r="H390" s="248" t="s">
        <v>3375</v>
      </c>
      <c r="I390" s="262"/>
      <c r="J390" s="245"/>
    </row>
    <row r="391" ht="15.75" customHeight="1">
      <c r="A391" s="266" t="s">
        <v>3212</v>
      </c>
      <c r="B391" s="267">
        <v>39.0</v>
      </c>
      <c r="C391" s="267"/>
      <c r="D391" s="273" t="s">
        <v>3376</v>
      </c>
      <c r="E391" s="267" t="s">
        <v>3236</v>
      </c>
      <c r="F391" s="267" t="s">
        <v>3377</v>
      </c>
      <c r="G391" s="267"/>
      <c r="H391" s="268" t="s">
        <v>3378</v>
      </c>
      <c r="I391" s="269"/>
      <c r="J391" s="267"/>
    </row>
    <row r="392" ht="15.75" customHeight="1">
      <c r="A392" s="266" t="s">
        <v>3212</v>
      </c>
      <c r="B392" s="267">
        <v>40.0</v>
      </c>
      <c r="C392" s="267"/>
      <c r="D392" s="273" t="s">
        <v>3376</v>
      </c>
      <c r="E392" s="267" t="s">
        <v>3236</v>
      </c>
      <c r="F392" s="267" t="s">
        <v>3377</v>
      </c>
      <c r="G392" s="267"/>
      <c r="H392" s="268" t="s">
        <v>3378</v>
      </c>
      <c r="I392" s="269"/>
      <c r="J392" s="267"/>
    </row>
    <row r="393" ht="15.75" customHeight="1">
      <c r="A393" s="244" t="s">
        <v>3212</v>
      </c>
      <c r="B393" s="245">
        <v>41.0</v>
      </c>
      <c r="C393" s="245" t="s">
        <v>3345</v>
      </c>
      <c r="D393" s="247" t="s">
        <v>3371</v>
      </c>
      <c r="E393" s="245" t="s">
        <v>1155</v>
      </c>
      <c r="F393" s="245" t="s">
        <v>3305</v>
      </c>
      <c r="G393" s="245">
        <v>3.0</v>
      </c>
      <c r="H393" s="248" t="s">
        <v>3379</v>
      </c>
      <c r="I393" s="262" t="s">
        <v>3380</v>
      </c>
      <c r="J393" s="245" t="s">
        <v>3381</v>
      </c>
    </row>
    <row r="394" ht="15.75" customHeight="1">
      <c r="A394" s="244" t="s">
        <v>3212</v>
      </c>
      <c r="B394" s="245">
        <v>42.0</v>
      </c>
      <c r="C394" s="245" t="s">
        <v>3345</v>
      </c>
      <c r="D394" s="247" t="s">
        <v>3371</v>
      </c>
      <c r="E394" s="245" t="s">
        <v>1155</v>
      </c>
      <c r="F394" s="245" t="s">
        <v>3305</v>
      </c>
      <c r="G394" s="245">
        <v>4.0</v>
      </c>
      <c r="H394" s="248" t="s">
        <v>3379</v>
      </c>
      <c r="I394" s="262" t="s">
        <v>3382</v>
      </c>
      <c r="J394" s="245" t="s">
        <v>3383</v>
      </c>
    </row>
    <row r="395" ht="15.75" customHeight="1">
      <c r="A395" s="244" t="s">
        <v>3212</v>
      </c>
      <c r="B395" s="245">
        <v>43.0</v>
      </c>
      <c r="C395" s="245"/>
      <c r="D395" s="247"/>
      <c r="E395" s="245"/>
      <c r="F395" s="245"/>
      <c r="G395" s="245"/>
      <c r="H395" s="248"/>
      <c r="I395" s="262"/>
      <c r="J395" s="245"/>
    </row>
    <row r="396" ht="15.75" customHeight="1">
      <c r="A396" s="244" t="s">
        <v>3212</v>
      </c>
      <c r="B396" s="245">
        <v>44.0</v>
      </c>
      <c r="C396" s="245"/>
      <c r="D396" s="247"/>
      <c r="E396" s="245"/>
      <c r="F396" s="245"/>
      <c r="G396" s="245"/>
      <c r="H396" s="248"/>
      <c r="I396" s="262"/>
      <c r="J396" s="245"/>
    </row>
    <row r="397" ht="15.75" customHeight="1">
      <c r="A397" s="256"/>
      <c r="B397" s="257"/>
      <c r="C397" s="257"/>
      <c r="D397" s="258"/>
      <c r="E397" s="257"/>
      <c r="F397" s="257"/>
      <c r="G397" s="257"/>
      <c r="H397" s="259"/>
      <c r="I397" s="260"/>
      <c r="J397" s="257"/>
    </row>
    <row r="398" ht="15.75" customHeight="1">
      <c r="A398" s="244" t="s">
        <v>3213</v>
      </c>
      <c r="B398" s="245">
        <v>1.0</v>
      </c>
      <c r="C398" s="246" t="s">
        <v>3220</v>
      </c>
      <c r="D398" s="274" t="s">
        <v>3384</v>
      </c>
      <c r="E398" s="245" t="s">
        <v>1155</v>
      </c>
      <c r="F398" s="245" t="s">
        <v>3385</v>
      </c>
      <c r="G398" s="245">
        <v>3.0</v>
      </c>
      <c r="H398" s="248" t="s">
        <v>3386</v>
      </c>
      <c r="I398" s="262" t="s">
        <v>3387</v>
      </c>
      <c r="J398" s="245" t="s">
        <v>3388</v>
      </c>
    </row>
    <row r="399" ht="15.75" customHeight="1">
      <c r="A399" s="244" t="s">
        <v>3213</v>
      </c>
      <c r="B399" s="245">
        <v>2.0</v>
      </c>
      <c r="C399" s="246" t="s">
        <v>3220</v>
      </c>
      <c r="D399" s="274" t="s">
        <v>3384</v>
      </c>
      <c r="E399" s="245" t="s">
        <v>1155</v>
      </c>
      <c r="F399" s="245" t="s">
        <v>3385</v>
      </c>
      <c r="G399" s="245">
        <v>4.0</v>
      </c>
      <c r="H399" s="248" t="s">
        <v>3386</v>
      </c>
      <c r="I399" s="262" t="s">
        <v>3387</v>
      </c>
      <c r="J399" s="245" t="s">
        <v>3388</v>
      </c>
    </row>
    <row r="400" ht="15.75" customHeight="1">
      <c r="A400" s="244" t="s">
        <v>3213</v>
      </c>
      <c r="B400" s="245">
        <v>3.0</v>
      </c>
      <c r="C400" s="246" t="s">
        <v>3220</v>
      </c>
      <c r="D400" s="251" t="s">
        <v>3389</v>
      </c>
      <c r="E400" s="245" t="s">
        <v>1155</v>
      </c>
      <c r="F400" s="245" t="s">
        <v>3390</v>
      </c>
      <c r="G400" s="245">
        <v>3.0</v>
      </c>
      <c r="H400" s="248" t="s">
        <v>3391</v>
      </c>
      <c r="I400" s="262" t="s">
        <v>3392</v>
      </c>
      <c r="J400" s="245" t="s">
        <v>3393</v>
      </c>
    </row>
    <row r="401" ht="15.75" customHeight="1">
      <c r="A401" s="244" t="s">
        <v>3213</v>
      </c>
      <c r="B401" s="245">
        <v>4.0</v>
      </c>
      <c r="C401" s="246" t="s">
        <v>3220</v>
      </c>
      <c r="D401" s="251" t="s">
        <v>3389</v>
      </c>
      <c r="E401" s="245" t="s">
        <v>1155</v>
      </c>
      <c r="F401" s="245" t="s">
        <v>3390</v>
      </c>
      <c r="G401" s="245">
        <v>4.0</v>
      </c>
      <c r="H401" s="248" t="s">
        <v>3391</v>
      </c>
      <c r="I401" s="262" t="s">
        <v>3392</v>
      </c>
      <c r="J401" s="245" t="s">
        <v>3393</v>
      </c>
    </row>
    <row r="402" ht="15.75" customHeight="1">
      <c r="A402" s="244" t="s">
        <v>3213</v>
      </c>
      <c r="B402" s="245">
        <v>5.0</v>
      </c>
      <c r="C402" s="246" t="s">
        <v>3220</v>
      </c>
      <c r="D402" s="247" t="s">
        <v>3394</v>
      </c>
      <c r="E402" s="245" t="s">
        <v>3287</v>
      </c>
      <c r="F402" s="245" t="s">
        <v>3308</v>
      </c>
      <c r="G402" s="245">
        <v>4.0</v>
      </c>
      <c r="H402" s="248" t="s">
        <v>3395</v>
      </c>
      <c r="I402" s="262"/>
      <c r="J402" s="245"/>
    </row>
    <row r="403" ht="15.75" customHeight="1">
      <c r="A403" s="244" t="s">
        <v>3213</v>
      </c>
      <c r="B403" s="245">
        <v>6.0</v>
      </c>
      <c r="C403" s="246" t="s">
        <v>3220</v>
      </c>
      <c r="D403" s="247" t="s">
        <v>3394</v>
      </c>
      <c r="E403" s="245" t="s">
        <v>3287</v>
      </c>
      <c r="F403" s="245" t="s">
        <v>3308</v>
      </c>
      <c r="G403" s="245">
        <v>4.0</v>
      </c>
      <c r="H403" s="248" t="s">
        <v>3395</v>
      </c>
      <c r="I403" s="262"/>
      <c r="J403" s="245"/>
    </row>
    <row r="404" ht="15.75" customHeight="1">
      <c r="A404" s="244" t="s">
        <v>3213</v>
      </c>
      <c r="B404" s="245">
        <v>7.0</v>
      </c>
      <c r="C404" s="246" t="s">
        <v>3220</v>
      </c>
      <c r="D404" s="274" t="s">
        <v>3384</v>
      </c>
      <c r="E404" s="245" t="s">
        <v>1155</v>
      </c>
      <c r="F404" s="245" t="s">
        <v>3385</v>
      </c>
      <c r="G404" s="245">
        <v>4.0</v>
      </c>
      <c r="H404" s="248" t="s">
        <v>3396</v>
      </c>
      <c r="I404" s="262" t="s">
        <v>3397</v>
      </c>
      <c r="J404" s="245"/>
    </row>
    <row r="405" ht="15.75" customHeight="1">
      <c r="A405" s="244" t="s">
        <v>3213</v>
      </c>
      <c r="B405" s="245">
        <v>8.0</v>
      </c>
      <c r="C405" s="246" t="s">
        <v>3220</v>
      </c>
      <c r="D405" s="274" t="s">
        <v>3384</v>
      </c>
      <c r="E405" s="245" t="s">
        <v>1155</v>
      </c>
      <c r="F405" s="245" t="s">
        <v>3385</v>
      </c>
      <c r="G405" s="245">
        <v>5.0</v>
      </c>
      <c r="H405" s="248" t="s">
        <v>3396</v>
      </c>
      <c r="I405" s="262" t="s">
        <v>3397</v>
      </c>
      <c r="J405" s="245"/>
    </row>
    <row r="406" ht="15.75" customHeight="1">
      <c r="A406" s="266" t="s">
        <v>3213</v>
      </c>
      <c r="B406" s="267">
        <v>9.0</v>
      </c>
      <c r="C406" s="275"/>
      <c r="D406" s="273" t="s">
        <v>3398</v>
      </c>
      <c r="E406" s="267" t="s">
        <v>1168</v>
      </c>
      <c r="F406" s="267" t="s">
        <v>3308</v>
      </c>
      <c r="G406" s="267"/>
      <c r="H406" s="268" t="s">
        <v>3399</v>
      </c>
      <c r="I406" s="269"/>
      <c r="J406" s="267"/>
    </row>
    <row r="407" ht="15.75" customHeight="1">
      <c r="A407" s="266" t="s">
        <v>3213</v>
      </c>
      <c r="B407" s="267">
        <v>10.0</v>
      </c>
      <c r="C407" s="275"/>
      <c r="D407" s="273" t="s">
        <v>3398</v>
      </c>
      <c r="E407" s="267" t="s">
        <v>1168</v>
      </c>
      <c r="F407" s="267" t="s">
        <v>3308</v>
      </c>
      <c r="G407" s="267"/>
      <c r="H407" s="268" t="s">
        <v>3399</v>
      </c>
      <c r="I407" s="269"/>
      <c r="J407" s="267"/>
    </row>
    <row r="408" ht="15.75" customHeight="1">
      <c r="A408" s="244" t="s">
        <v>3213</v>
      </c>
      <c r="B408" s="245">
        <v>11.0</v>
      </c>
      <c r="C408" s="246" t="s">
        <v>3220</v>
      </c>
      <c r="D408" s="247" t="s">
        <v>3384</v>
      </c>
      <c r="E408" s="245" t="s">
        <v>1155</v>
      </c>
      <c r="F408" s="245" t="s">
        <v>3400</v>
      </c>
      <c r="G408" s="245">
        <v>5.0</v>
      </c>
      <c r="H408" s="248" t="s">
        <v>3401</v>
      </c>
      <c r="I408" s="262" t="s">
        <v>3333</v>
      </c>
      <c r="J408" s="245" t="s">
        <v>3402</v>
      </c>
    </row>
    <row r="409" ht="15.75" customHeight="1">
      <c r="A409" s="244" t="s">
        <v>3213</v>
      </c>
      <c r="B409" s="245">
        <v>12.0</v>
      </c>
      <c r="C409" s="246" t="s">
        <v>3220</v>
      </c>
      <c r="D409" s="247" t="s">
        <v>3384</v>
      </c>
      <c r="E409" s="245" t="s">
        <v>1155</v>
      </c>
      <c r="F409" s="245" t="s">
        <v>3385</v>
      </c>
      <c r="G409" s="245">
        <v>6.0</v>
      </c>
      <c r="H409" s="248" t="s">
        <v>3401</v>
      </c>
      <c r="I409" s="262" t="s">
        <v>3333</v>
      </c>
      <c r="J409" s="245" t="s">
        <v>3402</v>
      </c>
    </row>
    <row r="410" ht="15.75" customHeight="1">
      <c r="A410" s="244" t="s">
        <v>3213</v>
      </c>
      <c r="B410" s="245">
        <v>13.0</v>
      </c>
      <c r="C410" s="246" t="s">
        <v>3220</v>
      </c>
      <c r="D410" s="274" t="s">
        <v>3403</v>
      </c>
      <c r="E410" s="245" t="s">
        <v>3404</v>
      </c>
      <c r="F410" s="245" t="s">
        <v>3405</v>
      </c>
      <c r="G410" s="245"/>
      <c r="H410" s="248" t="s">
        <v>3406</v>
      </c>
      <c r="I410" s="262" t="s">
        <v>3333</v>
      </c>
      <c r="J410" s="245" t="s">
        <v>3402</v>
      </c>
    </row>
    <row r="411" ht="15.75" customHeight="1">
      <c r="A411" s="244" t="s">
        <v>3213</v>
      </c>
      <c r="B411" s="245">
        <v>14.0</v>
      </c>
      <c r="C411" s="246" t="s">
        <v>3220</v>
      </c>
      <c r="D411" s="274" t="s">
        <v>3403</v>
      </c>
      <c r="E411" s="245" t="s">
        <v>3404</v>
      </c>
      <c r="F411" s="245" t="s">
        <v>3405</v>
      </c>
      <c r="G411" s="245"/>
      <c r="H411" s="248" t="s">
        <v>3406</v>
      </c>
      <c r="I411" s="262" t="s">
        <v>3333</v>
      </c>
      <c r="J411" s="245" t="s">
        <v>3402</v>
      </c>
    </row>
    <row r="412" ht="15.75" customHeight="1">
      <c r="A412" s="244" t="s">
        <v>3213</v>
      </c>
      <c r="B412" s="245">
        <v>15.0</v>
      </c>
      <c r="C412" s="246" t="s">
        <v>3234</v>
      </c>
      <c r="D412" s="247" t="s">
        <v>3394</v>
      </c>
      <c r="E412" s="245" t="s">
        <v>3287</v>
      </c>
      <c r="F412" s="245" t="s">
        <v>3308</v>
      </c>
      <c r="G412" s="245">
        <v>4.0</v>
      </c>
      <c r="H412" s="248" t="s">
        <v>3407</v>
      </c>
      <c r="I412" s="262"/>
      <c r="J412" s="245"/>
    </row>
    <row r="413" ht="15.75" customHeight="1">
      <c r="A413" s="244" t="s">
        <v>3213</v>
      </c>
      <c r="B413" s="245">
        <v>16.0</v>
      </c>
      <c r="C413" s="246" t="s">
        <v>3234</v>
      </c>
      <c r="D413" s="247" t="s">
        <v>3394</v>
      </c>
      <c r="E413" s="245" t="s">
        <v>3287</v>
      </c>
      <c r="F413" s="245" t="s">
        <v>3308</v>
      </c>
      <c r="G413" s="245">
        <v>4.0</v>
      </c>
      <c r="H413" s="248" t="s">
        <v>3407</v>
      </c>
      <c r="I413" s="262"/>
      <c r="J413" s="245"/>
    </row>
    <row r="414" ht="15.75" customHeight="1">
      <c r="A414" s="244" t="s">
        <v>3213</v>
      </c>
      <c r="B414" s="245">
        <v>17.0</v>
      </c>
      <c r="C414" s="246" t="s">
        <v>3220</v>
      </c>
      <c r="D414" s="247" t="s">
        <v>3384</v>
      </c>
      <c r="E414" s="245" t="s">
        <v>1155</v>
      </c>
      <c r="F414" s="245" t="s">
        <v>3385</v>
      </c>
      <c r="G414" s="245">
        <v>4.0</v>
      </c>
      <c r="H414" s="248" t="s">
        <v>3408</v>
      </c>
      <c r="I414" s="262" t="s">
        <v>3409</v>
      </c>
      <c r="J414" s="245" t="s">
        <v>3410</v>
      </c>
    </row>
    <row r="415" ht="15.75" customHeight="1">
      <c r="A415" s="244" t="s">
        <v>3213</v>
      </c>
      <c r="B415" s="245">
        <v>18.0</v>
      </c>
      <c r="C415" s="246" t="s">
        <v>3220</v>
      </c>
      <c r="D415" s="247" t="s">
        <v>3384</v>
      </c>
      <c r="E415" s="245" t="s">
        <v>1155</v>
      </c>
      <c r="F415" s="245" t="s">
        <v>3385</v>
      </c>
      <c r="G415" s="245">
        <v>4.0</v>
      </c>
      <c r="H415" s="248" t="s">
        <v>3408</v>
      </c>
      <c r="I415" s="262" t="s">
        <v>3409</v>
      </c>
      <c r="J415" s="245" t="s">
        <v>3410</v>
      </c>
    </row>
    <row r="416" ht="15.75" customHeight="1">
      <c r="A416" s="266" t="s">
        <v>3213</v>
      </c>
      <c r="B416" s="267">
        <v>19.0</v>
      </c>
      <c r="C416" s="275"/>
      <c r="D416" s="273" t="s">
        <v>3398</v>
      </c>
      <c r="E416" s="267" t="s">
        <v>1168</v>
      </c>
      <c r="F416" s="267" t="s">
        <v>3308</v>
      </c>
      <c r="G416" s="267"/>
      <c r="H416" s="268" t="s">
        <v>3411</v>
      </c>
      <c r="I416" s="269"/>
      <c r="J416" s="267"/>
    </row>
    <row r="417" ht="15.75" customHeight="1">
      <c r="A417" s="266" t="s">
        <v>3213</v>
      </c>
      <c r="B417" s="267">
        <v>20.0</v>
      </c>
      <c r="C417" s="275"/>
      <c r="D417" s="273" t="s">
        <v>3398</v>
      </c>
      <c r="E417" s="267" t="s">
        <v>1168</v>
      </c>
      <c r="F417" s="267" t="s">
        <v>3308</v>
      </c>
      <c r="G417" s="267"/>
      <c r="H417" s="268" t="s">
        <v>3411</v>
      </c>
      <c r="I417" s="269"/>
      <c r="J417" s="267"/>
    </row>
    <row r="418" ht="15.75" customHeight="1">
      <c r="A418" s="244" t="s">
        <v>3213</v>
      </c>
      <c r="B418" s="245">
        <v>21.0</v>
      </c>
      <c r="C418" s="246" t="s">
        <v>3239</v>
      </c>
      <c r="D418" s="247" t="s">
        <v>3412</v>
      </c>
      <c r="E418" s="245" t="s">
        <v>1155</v>
      </c>
      <c r="F418" s="245" t="s">
        <v>3349</v>
      </c>
      <c r="G418" s="245">
        <v>4.0</v>
      </c>
      <c r="H418" s="248" t="s">
        <v>3413</v>
      </c>
      <c r="I418" s="262" t="s">
        <v>3414</v>
      </c>
      <c r="J418" s="245"/>
    </row>
    <row r="419" ht="15.75" customHeight="1">
      <c r="A419" s="244" t="s">
        <v>3213</v>
      </c>
      <c r="B419" s="245">
        <v>22.0</v>
      </c>
      <c r="C419" s="246" t="s">
        <v>3239</v>
      </c>
      <c r="D419" s="247" t="s">
        <v>3412</v>
      </c>
      <c r="E419" s="245" t="s">
        <v>1155</v>
      </c>
      <c r="F419" s="245" t="s">
        <v>3349</v>
      </c>
      <c r="G419" s="245">
        <v>5.0</v>
      </c>
      <c r="H419" s="248" t="s">
        <v>3413</v>
      </c>
      <c r="I419" s="262" t="s">
        <v>3414</v>
      </c>
      <c r="J419" s="245"/>
    </row>
    <row r="420" ht="15.75" customHeight="1">
      <c r="A420" s="244" t="s">
        <v>3213</v>
      </c>
      <c r="B420" s="245">
        <v>23.0</v>
      </c>
      <c r="C420" s="246" t="s">
        <v>3239</v>
      </c>
      <c r="D420" s="247" t="s">
        <v>3415</v>
      </c>
      <c r="E420" s="245" t="s">
        <v>1155</v>
      </c>
      <c r="F420" s="245" t="s">
        <v>3349</v>
      </c>
      <c r="G420" s="245">
        <v>5.0</v>
      </c>
      <c r="H420" s="248" t="s">
        <v>3416</v>
      </c>
      <c r="I420" s="262" t="s">
        <v>3417</v>
      </c>
      <c r="J420" s="245" t="s">
        <v>3300</v>
      </c>
    </row>
    <row r="421" ht="15.75" customHeight="1">
      <c r="A421" s="244" t="s">
        <v>3213</v>
      </c>
      <c r="B421" s="245">
        <v>24.0</v>
      </c>
      <c r="C421" s="246" t="s">
        <v>3239</v>
      </c>
      <c r="D421" s="247" t="s">
        <v>3359</v>
      </c>
      <c r="E421" s="245" t="s">
        <v>1155</v>
      </c>
      <c r="F421" s="245" t="s">
        <v>3349</v>
      </c>
      <c r="G421" s="245">
        <v>6.0</v>
      </c>
      <c r="H421" s="248" t="s">
        <v>3416</v>
      </c>
      <c r="I421" s="262" t="s">
        <v>3417</v>
      </c>
      <c r="J421" s="245" t="s">
        <v>3300</v>
      </c>
    </row>
    <row r="422" ht="15.75" customHeight="1">
      <c r="A422" s="244" t="s">
        <v>3213</v>
      </c>
      <c r="B422" s="245">
        <v>25.0</v>
      </c>
      <c r="C422" s="246" t="s">
        <v>3239</v>
      </c>
      <c r="D422" s="247" t="s">
        <v>3412</v>
      </c>
      <c r="E422" s="245" t="s">
        <v>1155</v>
      </c>
      <c r="F422" s="245" t="s">
        <v>3349</v>
      </c>
      <c r="G422" s="245">
        <v>4.0</v>
      </c>
      <c r="H422" s="248" t="s">
        <v>3418</v>
      </c>
      <c r="I422" s="262" t="s">
        <v>3419</v>
      </c>
      <c r="J422" s="245"/>
    </row>
    <row r="423" ht="15.75" customHeight="1">
      <c r="A423" s="244" t="s">
        <v>3213</v>
      </c>
      <c r="B423" s="245">
        <v>26.0</v>
      </c>
      <c r="C423" s="246" t="s">
        <v>3239</v>
      </c>
      <c r="D423" s="247" t="s">
        <v>3412</v>
      </c>
      <c r="E423" s="245" t="s">
        <v>1155</v>
      </c>
      <c r="F423" s="245" t="s">
        <v>3349</v>
      </c>
      <c r="G423" s="245">
        <v>5.0</v>
      </c>
      <c r="H423" s="248" t="s">
        <v>3418</v>
      </c>
      <c r="I423" s="262" t="s">
        <v>3419</v>
      </c>
      <c r="J423" s="245"/>
    </row>
    <row r="424" ht="15.75" customHeight="1">
      <c r="A424" s="266" t="s">
        <v>3213</v>
      </c>
      <c r="B424" s="267">
        <v>27.0</v>
      </c>
      <c r="C424" s="275"/>
      <c r="D424" s="273" t="s">
        <v>3398</v>
      </c>
      <c r="E424" s="267" t="s">
        <v>1168</v>
      </c>
      <c r="F424" s="267" t="s">
        <v>3308</v>
      </c>
      <c r="G424" s="267"/>
      <c r="H424" s="268" t="s">
        <v>3420</v>
      </c>
      <c r="I424" s="269"/>
      <c r="J424" s="267"/>
    </row>
    <row r="425" ht="15.75" customHeight="1">
      <c r="A425" s="266" t="s">
        <v>3213</v>
      </c>
      <c r="B425" s="267">
        <v>28.0</v>
      </c>
      <c r="C425" s="275"/>
      <c r="D425" s="273" t="s">
        <v>3398</v>
      </c>
      <c r="E425" s="267" t="s">
        <v>1168</v>
      </c>
      <c r="F425" s="267" t="s">
        <v>3308</v>
      </c>
      <c r="G425" s="267"/>
      <c r="H425" s="268" t="s">
        <v>3420</v>
      </c>
      <c r="I425" s="269"/>
      <c r="J425" s="267"/>
    </row>
    <row r="426" ht="15.75" customHeight="1">
      <c r="A426" s="244" t="s">
        <v>3213</v>
      </c>
      <c r="B426" s="245">
        <v>29.0</v>
      </c>
      <c r="C426" s="246" t="s">
        <v>3239</v>
      </c>
      <c r="D426" s="247" t="s">
        <v>3359</v>
      </c>
      <c r="E426" s="245" t="s">
        <v>1155</v>
      </c>
      <c r="F426" s="245" t="s">
        <v>3421</v>
      </c>
      <c r="G426" s="245">
        <v>5.0</v>
      </c>
      <c r="H426" s="248" t="s">
        <v>3422</v>
      </c>
      <c r="I426" s="262" t="s">
        <v>3423</v>
      </c>
      <c r="J426" s="245" t="s">
        <v>3300</v>
      </c>
    </row>
    <row r="427" ht="15.75" customHeight="1">
      <c r="A427" s="244" t="s">
        <v>3213</v>
      </c>
      <c r="B427" s="245">
        <v>30.0</v>
      </c>
      <c r="C427" s="246" t="s">
        <v>3239</v>
      </c>
      <c r="D427" s="247" t="s">
        <v>3424</v>
      </c>
      <c r="E427" s="245" t="s">
        <v>1155</v>
      </c>
      <c r="F427" s="245" t="s">
        <v>3421</v>
      </c>
      <c r="G427" s="245">
        <v>5.0</v>
      </c>
      <c r="H427" s="248" t="s">
        <v>3422</v>
      </c>
      <c r="I427" s="262" t="s">
        <v>3423</v>
      </c>
      <c r="J427" s="245" t="s">
        <v>3300</v>
      </c>
    </row>
    <row r="428" ht="15.75" customHeight="1">
      <c r="A428" s="244" t="s">
        <v>3213</v>
      </c>
      <c r="B428" s="245">
        <v>31.0</v>
      </c>
      <c r="C428" s="246" t="s">
        <v>3239</v>
      </c>
      <c r="D428" s="247" t="s">
        <v>3424</v>
      </c>
      <c r="E428" s="245" t="s">
        <v>1155</v>
      </c>
      <c r="F428" s="245" t="s">
        <v>3421</v>
      </c>
      <c r="G428" s="245">
        <v>5.0</v>
      </c>
      <c r="H428" s="248" t="s">
        <v>3425</v>
      </c>
      <c r="I428" s="262" t="s">
        <v>3426</v>
      </c>
      <c r="J428" s="245"/>
    </row>
    <row r="429" ht="15.75" customHeight="1">
      <c r="A429" s="244" t="s">
        <v>3213</v>
      </c>
      <c r="B429" s="245">
        <v>32.0</v>
      </c>
      <c r="C429" s="246" t="s">
        <v>3239</v>
      </c>
      <c r="D429" s="247" t="s">
        <v>3424</v>
      </c>
      <c r="E429" s="245" t="s">
        <v>1155</v>
      </c>
      <c r="F429" s="245" t="s">
        <v>3421</v>
      </c>
      <c r="G429" s="245">
        <v>6.0</v>
      </c>
      <c r="H429" s="248" t="s">
        <v>3425</v>
      </c>
      <c r="I429" s="262" t="s">
        <v>3426</v>
      </c>
      <c r="J429" s="245"/>
    </row>
    <row r="430" ht="15.75" customHeight="1">
      <c r="A430" s="244" t="s">
        <v>3213</v>
      </c>
      <c r="B430" s="245">
        <v>33.0</v>
      </c>
      <c r="C430" s="246" t="s">
        <v>3239</v>
      </c>
      <c r="D430" s="247" t="s">
        <v>3415</v>
      </c>
      <c r="E430" s="245" t="s">
        <v>1155</v>
      </c>
      <c r="F430" s="245" t="s">
        <v>3427</v>
      </c>
      <c r="G430" s="245">
        <v>5.0</v>
      </c>
      <c r="H430" s="248" t="s">
        <v>3428</v>
      </c>
      <c r="I430" s="276"/>
      <c r="J430" s="262" t="s">
        <v>3286</v>
      </c>
    </row>
    <row r="431" ht="15.75" customHeight="1">
      <c r="A431" s="244" t="s">
        <v>3213</v>
      </c>
      <c r="B431" s="245">
        <v>34.0</v>
      </c>
      <c r="C431" s="246" t="s">
        <v>3239</v>
      </c>
      <c r="D431" s="247" t="s">
        <v>3415</v>
      </c>
      <c r="E431" s="245" t="s">
        <v>1155</v>
      </c>
      <c r="F431" s="245" t="s">
        <v>3427</v>
      </c>
      <c r="G431" s="245">
        <v>6.0</v>
      </c>
      <c r="H431" s="248" t="s">
        <v>3428</v>
      </c>
      <c r="I431" s="262"/>
      <c r="J431" s="262" t="s">
        <v>3286</v>
      </c>
    </row>
    <row r="432" ht="15.75" customHeight="1">
      <c r="A432" s="266" t="s">
        <v>3213</v>
      </c>
      <c r="B432" s="267">
        <v>35.0</v>
      </c>
      <c r="C432" s="275" t="s">
        <v>3429</v>
      </c>
      <c r="D432" s="273" t="s">
        <v>3398</v>
      </c>
      <c r="E432" s="267" t="s">
        <v>1168</v>
      </c>
      <c r="F432" s="267" t="s">
        <v>3377</v>
      </c>
      <c r="G432" s="267"/>
      <c r="H432" s="268" t="s">
        <v>3430</v>
      </c>
      <c r="I432" s="269"/>
      <c r="J432" s="267"/>
    </row>
    <row r="433" ht="15.75" customHeight="1">
      <c r="A433" s="266" t="s">
        <v>3213</v>
      </c>
      <c r="B433" s="267">
        <v>36.0</v>
      </c>
      <c r="C433" s="275"/>
      <c r="D433" s="273" t="s">
        <v>3398</v>
      </c>
      <c r="E433" s="267" t="s">
        <v>1168</v>
      </c>
      <c r="F433" s="267" t="s">
        <v>3377</v>
      </c>
      <c r="G433" s="267"/>
      <c r="H433" s="268" t="s">
        <v>3430</v>
      </c>
      <c r="I433" s="269"/>
      <c r="J433" s="267"/>
    </row>
    <row r="434" ht="15.75" customHeight="1">
      <c r="A434" s="244" t="s">
        <v>3213</v>
      </c>
      <c r="B434" s="245">
        <v>37.0</v>
      </c>
      <c r="C434" s="246" t="s">
        <v>3267</v>
      </c>
      <c r="D434" s="247" t="s">
        <v>3431</v>
      </c>
      <c r="E434" s="245" t="s">
        <v>1155</v>
      </c>
      <c r="F434" s="245" t="s">
        <v>3432</v>
      </c>
      <c r="G434" s="245">
        <v>4.0</v>
      </c>
      <c r="H434" s="248" t="s">
        <v>3433</v>
      </c>
      <c r="I434" s="262" t="s">
        <v>3434</v>
      </c>
      <c r="J434" s="245"/>
    </row>
    <row r="435" ht="15.75" customHeight="1">
      <c r="A435" s="244" t="s">
        <v>3213</v>
      </c>
      <c r="B435" s="245">
        <v>38.0</v>
      </c>
      <c r="C435" s="246" t="s">
        <v>3267</v>
      </c>
      <c r="D435" s="247" t="s">
        <v>3431</v>
      </c>
      <c r="E435" s="245" t="s">
        <v>1155</v>
      </c>
      <c r="F435" s="245" t="s">
        <v>3432</v>
      </c>
      <c r="G435" s="245">
        <v>4.0</v>
      </c>
      <c r="H435" s="248" t="s">
        <v>3433</v>
      </c>
      <c r="I435" s="262" t="s">
        <v>3434</v>
      </c>
      <c r="J435" s="245"/>
    </row>
    <row r="436" ht="15.75" customHeight="1">
      <c r="A436" s="244" t="s">
        <v>3213</v>
      </c>
      <c r="B436" s="245">
        <v>39.0</v>
      </c>
      <c r="C436" s="246" t="s">
        <v>3267</v>
      </c>
      <c r="D436" s="247" t="s">
        <v>3431</v>
      </c>
      <c r="E436" s="245" t="s">
        <v>1155</v>
      </c>
      <c r="F436" s="245" t="s">
        <v>3432</v>
      </c>
      <c r="G436" s="245">
        <v>4.0</v>
      </c>
      <c r="H436" s="248" t="s">
        <v>3435</v>
      </c>
      <c r="I436" s="262" t="s">
        <v>3436</v>
      </c>
      <c r="J436" s="245"/>
    </row>
    <row r="437" ht="15.75" customHeight="1">
      <c r="A437" s="244" t="s">
        <v>3213</v>
      </c>
      <c r="B437" s="245">
        <v>40.0</v>
      </c>
      <c r="C437" s="246" t="s">
        <v>3267</v>
      </c>
      <c r="D437" s="247" t="s">
        <v>3431</v>
      </c>
      <c r="E437" s="245" t="s">
        <v>1155</v>
      </c>
      <c r="F437" s="245" t="s">
        <v>3432</v>
      </c>
      <c r="G437" s="245">
        <v>4.0</v>
      </c>
      <c r="H437" s="248" t="s">
        <v>3435</v>
      </c>
      <c r="I437" s="262" t="s">
        <v>3436</v>
      </c>
      <c r="J437" s="245"/>
    </row>
    <row r="438" ht="15.75" customHeight="1">
      <c r="A438" s="244" t="s">
        <v>3213</v>
      </c>
      <c r="B438" s="245">
        <v>41.0</v>
      </c>
      <c r="C438" s="246" t="s">
        <v>3267</v>
      </c>
      <c r="D438" s="247" t="s">
        <v>3431</v>
      </c>
      <c r="E438" s="245" t="s">
        <v>1155</v>
      </c>
      <c r="F438" s="245" t="s">
        <v>3432</v>
      </c>
      <c r="G438" s="245">
        <v>5.0</v>
      </c>
      <c r="H438" s="248" t="s">
        <v>3437</v>
      </c>
      <c r="I438" s="262"/>
      <c r="J438" s="245"/>
    </row>
    <row r="439" ht="15.75" customHeight="1">
      <c r="A439" s="244" t="s">
        <v>3213</v>
      </c>
      <c r="B439" s="245">
        <v>42.0</v>
      </c>
      <c r="C439" s="246" t="s">
        <v>3267</v>
      </c>
      <c r="D439" s="247" t="s">
        <v>3431</v>
      </c>
      <c r="E439" s="245" t="s">
        <v>1155</v>
      </c>
      <c r="F439" s="245" t="s">
        <v>3432</v>
      </c>
      <c r="G439" s="245">
        <v>5.0</v>
      </c>
      <c r="H439" s="248" t="s">
        <v>3437</v>
      </c>
      <c r="I439" s="262"/>
      <c r="J439" s="245"/>
    </row>
    <row r="440" ht="15.75" customHeight="1">
      <c r="A440" s="266" t="s">
        <v>3213</v>
      </c>
      <c r="B440" s="267">
        <v>43.0</v>
      </c>
      <c r="C440" s="275"/>
      <c r="D440" s="273" t="s">
        <v>3398</v>
      </c>
      <c r="E440" s="267" t="s">
        <v>1168</v>
      </c>
      <c r="F440" s="267" t="s">
        <v>3438</v>
      </c>
      <c r="G440" s="267"/>
      <c r="H440" s="268" t="s">
        <v>3439</v>
      </c>
      <c r="I440" s="269"/>
      <c r="J440" s="267"/>
    </row>
    <row r="441" ht="15.75" customHeight="1">
      <c r="A441" s="266" t="s">
        <v>3213</v>
      </c>
      <c r="B441" s="267">
        <v>44.0</v>
      </c>
      <c r="C441" s="275"/>
      <c r="D441" s="273" t="s">
        <v>3398</v>
      </c>
      <c r="E441" s="267" t="s">
        <v>1168</v>
      </c>
      <c r="F441" s="267" t="s">
        <v>3438</v>
      </c>
      <c r="G441" s="267"/>
      <c r="H441" s="268" t="s">
        <v>3439</v>
      </c>
      <c r="I441" s="269"/>
      <c r="J441" s="267"/>
    </row>
    <row r="442" ht="15.75" customHeight="1">
      <c r="A442" s="256"/>
      <c r="B442" s="257"/>
      <c r="C442" s="257"/>
      <c r="D442" s="258"/>
      <c r="E442" s="257"/>
      <c r="F442" s="257"/>
      <c r="G442" s="257"/>
      <c r="H442" s="259"/>
      <c r="I442" s="260"/>
      <c r="J442" s="257"/>
    </row>
    <row r="443" ht="15.75" customHeight="1">
      <c r="A443" s="244" t="s">
        <v>3214</v>
      </c>
      <c r="B443" s="245">
        <v>1.0</v>
      </c>
      <c r="C443" s="246" t="s">
        <v>3220</v>
      </c>
      <c r="D443" s="247" t="s">
        <v>3384</v>
      </c>
      <c r="E443" s="245" t="s">
        <v>1155</v>
      </c>
      <c r="F443" s="245" t="s">
        <v>3440</v>
      </c>
      <c r="G443" s="245">
        <v>4.0</v>
      </c>
      <c r="H443" s="248" t="s">
        <v>3441</v>
      </c>
      <c r="I443" s="262" t="s">
        <v>3442</v>
      </c>
      <c r="J443" s="245"/>
    </row>
    <row r="444" ht="15.75" customHeight="1">
      <c r="A444" s="244" t="s">
        <v>3214</v>
      </c>
      <c r="B444" s="245">
        <v>2.0</v>
      </c>
      <c r="C444" s="246" t="s">
        <v>3220</v>
      </c>
      <c r="D444" s="247" t="s">
        <v>3384</v>
      </c>
      <c r="E444" s="245" t="s">
        <v>1155</v>
      </c>
      <c r="F444" s="245" t="s">
        <v>3440</v>
      </c>
      <c r="G444" s="245">
        <v>5.0</v>
      </c>
      <c r="H444" s="248" t="s">
        <v>3441</v>
      </c>
      <c r="I444" s="262" t="s">
        <v>3442</v>
      </c>
      <c r="J444" s="245"/>
    </row>
    <row r="445" ht="15.75" customHeight="1">
      <c r="A445" s="244" t="s">
        <v>3214</v>
      </c>
      <c r="B445" s="245">
        <v>3.0</v>
      </c>
      <c r="C445" s="246" t="s">
        <v>3220</v>
      </c>
      <c r="D445" s="247" t="s">
        <v>3384</v>
      </c>
      <c r="E445" s="245" t="s">
        <v>1155</v>
      </c>
      <c r="F445" s="245" t="s">
        <v>3440</v>
      </c>
      <c r="G445" s="245">
        <v>4.0</v>
      </c>
      <c r="H445" s="248" t="s">
        <v>3443</v>
      </c>
      <c r="I445" s="262"/>
      <c r="J445" s="245"/>
    </row>
    <row r="446" ht="15.75" customHeight="1">
      <c r="A446" s="244" t="s">
        <v>3214</v>
      </c>
      <c r="B446" s="245">
        <v>4.0</v>
      </c>
      <c r="C446" s="246" t="s">
        <v>3220</v>
      </c>
      <c r="D446" s="247" t="s">
        <v>3384</v>
      </c>
      <c r="E446" s="245" t="s">
        <v>1155</v>
      </c>
      <c r="F446" s="245" t="s">
        <v>3440</v>
      </c>
      <c r="G446" s="245">
        <v>4.0</v>
      </c>
      <c r="H446" s="248" t="s">
        <v>3443</v>
      </c>
      <c r="I446" s="262"/>
      <c r="J446" s="245"/>
    </row>
    <row r="447" ht="15.75" customHeight="1">
      <c r="A447" s="244" t="s">
        <v>3214</v>
      </c>
      <c r="B447" s="245">
        <v>5.0</v>
      </c>
      <c r="C447" s="246" t="s">
        <v>3220</v>
      </c>
      <c r="D447" s="247" t="s">
        <v>3389</v>
      </c>
      <c r="E447" s="245" t="s">
        <v>1155</v>
      </c>
      <c r="F447" s="245" t="s">
        <v>3390</v>
      </c>
      <c r="G447" s="245">
        <v>5.0</v>
      </c>
      <c r="H447" s="248" t="s">
        <v>3444</v>
      </c>
      <c r="I447" s="249" t="s">
        <v>3263</v>
      </c>
      <c r="J447" s="250" t="s">
        <v>2236</v>
      </c>
    </row>
    <row r="448" ht="15.75" customHeight="1">
      <c r="A448" s="244" t="s">
        <v>3214</v>
      </c>
      <c r="B448" s="245">
        <v>6.0</v>
      </c>
      <c r="C448" s="246" t="s">
        <v>3220</v>
      </c>
      <c r="D448" s="247" t="s">
        <v>3389</v>
      </c>
      <c r="E448" s="245" t="s">
        <v>1155</v>
      </c>
      <c r="F448" s="245" t="s">
        <v>3390</v>
      </c>
      <c r="G448" s="245">
        <v>5.0</v>
      </c>
      <c r="H448" s="248" t="s">
        <v>3444</v>
      </c>
      <c r="I448" s="249" t="s">
        <v>3263</v>
      </c>
      <c r="J448" s="250" t="s">
        <v>2236</v>
      </c>
    </row>
    <row r="449" ht="15.75" customHeight="1">
      <c r="A449" s="266" t="s">
        <v>3214</v>
      </c>
      <c r="B449" s="267">
        <v>7.0</v>
      </c>
      <c r="C449" s="275"/>
      <c r="D449" s="273" t="s">
        <v>3398</v>
      </c>
      <c r="E449" s="267" t="s">
        <v>1168</v>
      </c>
      <c r="F449" s="267" t="s">
        <v>3308</v>
      </c>
      <c r="G449" s="267"/>
      <c r="H449" s="268" t="s">
        <v>3445</v>
      </c>
      <c r="I449" s="269"/>
      <c r="J449" s="267"/>
    </row>
    <row r="450" ht="15.75" customHeight="1">
      <c r="A450" s="266" t="s">
        <v>3214</v>
      </c>
      <c r="B450" s="267">
        <v>8.0</v>
      </c>
      <c r="C450" s="275"/>
      <c r="D450" s="273" t="s">
        <v>3398</v>
      </c>
      <c r="E450" s="267" t="s">
        <v>1168</v>
      </c>
      <c r="F450" s="267" t="s">
        <v>3308</v>
      </c>
      <c r="G450" s="267"/>
      <c r="H450" s="268" t="s">
        <v>3445</v>
      </c>
      <c r="I450" s="269"/>
      <c r="J450" s="267"/>
    </row>
    <row r="451" ht="15.75" customHeight="1">
      <c r="A451" s="244" t="s">
        <v>3214</v>
      </c>
      <c r="B451" s="245">
        <v>9.0</v>
      </c>
      <c r="C451" s="246" t="s">
        <v>3220</v>
      </c>
      <c r="D451" s="274" t="s">
        <v>3446</v>
      </c>
      <c r="E451" s="245" t="s">
        <v>1155</v>
      </c>
      <c r="F451" s="245" t="s">
        <v>3440</v>
      </c>
      <c r="G451" s="245">
        <v>5.0</v>
      </c>
      <c r="H451" s="248" t="s">
        <v>3447</v>
      </c>
      <c r="I451" s="262" t="s">
        <v>3448</v>
      </c>
      <c r="J451" s="245"/>
    </row>
    <row r="452" ht="15.75" customHeight="1">
      <c r="A452" s="244" t="s">
        <v>3214</v>
      </c>
      <c r="B452" s="245">
        <v>10.0</v>
      </c>
      <c r="C452" s="246" t="s">
        <v>3220</v>
      </c>
      <c r="D452" s="274" t="s">
        <v>3446</v>
      </c>
      <c r="E452" s="245" t="s">
        <v>1155</v>
      </c>
      <c r="F452" s="245" t="s">
        <v>3440</v>
      </c>
      <c r="G452" s="245">
        <v>6.0</v>
      </c>
      <c r="H452" s="248" t="s">
        <v>3447</v>
      </c>
      <c r="I452" s="262" t="s">
        <v>3448</v>
      </c>
      <c r="J452" s="245"/>
    </row>
    <row r="453" ht="15.75" customHeight="1">
      <c r="A453" s="244" t="s">
        <v>3214</v>
      </c>
      <c r="B453" s="245">
        <v>11.0</v>
      </c>
      <c r="C453" s="246" t="s">
        <v>3220</v>
      </c>
      <c r="D453" s="274" t="s">
        <v>3446</v>
      </c>
      <c r="E453" s="245" t="s">
        <v>1155</v>
      </c>
      <c r="F453" s="245" t="s">
        <v>3440</v>
      </c>
      <c r="G453" s="245">
        <v>5.0</v>
      </c>
      <c r="H453" s="248" t="s">
        <v>3449</v>
      </c>
      <c r="I453" s="262" t="s">
        <v>3450</v>
      </c>
      <c r="J453" s="245"/>
    </row>
    <row r="454" ht="15.75" customHeight="1">
      <c r="A454" s="244" t="s">
        <v>3214</v>
      </c>
      <c r="B454" s="245">
        <v>12.0</v>
      </c>
      <c r="C454" s="246" t="s">
        <v>3220</v>
      </c>
      <c r="D454" s="274" t="s">
        <v>3446</v>
      </c>
      <c r="E454" s="245" t="s">
        <v>1155</v>
      </c>
      <c r="F454" s="245" t="s">
        <v>3440</v>
      </c>
      <c r="G454" s="245">
        <v>6.0</v>
      </c>
      <c r="H454" s="248" t="s">
        <v>3449</v>
      </c>
      <c r="I454" s="262" t="s">
        <v>3450</v>
      </c>
      <c r="J454" s="245"/>
    </row>
    <row r="455" ht="15.75" customHeight="1">
      <c r="A455" s="244" t="s">
        <v>3214</v>
      </c>
      <c r="B455" s="245">
        <v>13.0</v>
      </c>
      <c r="C455" s="246" t="s">
        <v>3220</v>
      </c>
      <c r="D455" s="274" t="s">
        <v>3446</v>
      </c>
      <c r="E455" s="245" t="s">
        <v>1155</v>
      </c>
      <c r="F455" s="245" t="s">
        <v>3440</v>
      </c>
      <c r="G455" s="245">
        <v>5.0</v>
      </c>
      <c r="H455" s="248" t="s">
        <v>3451</v>
      </c>
      <c r="I455" s="262" t="s">
        <v>3450</v>
      </c>
      <c r="J455" s="245"/>
    </row>
    <row r="456" ht="15.75" customHeight="1">
      <c r="A456" s="244" t="s">
        <v>3214</v>
      </c>
      <c r="B456" s="245">
        <v>14.0</v>
      </c>
      <c r="C456" s="246" t="s">
        <v>3220</v>
      </c>
      <c r="D456" s="274" t="s">
        <v>3446</v>
      </c>
      <c r="E456" s="245" t="s">
        <v>1155</v>
      </c>
      <c r="F456" s="245" t="s">
        <v>3440</v>
      </c>
      <c r="G456" s="245">
        <v>6.0</v>
      </c>
      <c r="H456" s="248" t="s">
        <v>3451</v>
      </c>
      <c r="I456" s="262" t="s">
        <v>3450</v>
      </c>
      <c r="J456" s="245"/>
    </row>
    <row r="457" ht="15.75" customHeight="1">
      <c r="A457" s="266" t="s">
        <v>3214</v>
      </c>
      <c r="B457" s="267">
        <v>15.0</v>
      </c>
      <c r="C457" s="275"/>
      <c r="D457" s="273" t="s">
        <v>3398</v>
      </c>
      <c r="E457" s="267" t="s">
        <v>1168</v>
      </c>
      <c r="F457" s="267" t="s">
        <v>3308</v>
      </c>
      <c r="G457" s="267"/>
      <c r="H457" s="268" t="s">
        <v>3452</v>
      </c>
      <c r="I457" s="269"/>
      <c r="J457" s="267"/>
    </row>
    <row r="458" ht="15.75" customHeight="1">
      <c r="A458" s="266" t="s">
        <v>3214</v>
      </c>
      <c r="B458" s="267">
        <v>16.0</v>
      </c>
      <c r="C458" s="275"/>
      <c r="D458" s="273" t="s">
        <v>3398</v>
      </c>
      <c r="E458" s="267" t="s">
        <v>1168</v>
      </c>
      <c r="F458" s="267" t="s">
        <v>3308</v>
      </c>
      <c r="G458" s="267"/>
      <c r="H458" s="268" t="s">
        <v>3452</v>
      </c>
      <c r="I458" s="269"/>
      <c r="J458" s="267"/>
    </row>
    <row r="459" ht="15.75" customHeight="1">
      <c r="A459" s="244" t="s">
        <v>3214</v>
      </c>
      <c r="B459" s="245">
        <v>17.0</v>
      </c>
      <c r="C459" s="246" t="s">
        <v>3239</v>
      </c>
      <c r="D459" s="247" t="s">
        <v>3453</v>
      </c>
      <c r="E459" s="245" t="s">
        <v>1155</v>
      </c>
      <c r="F459" s="245" t="s">
        <v>3349</v>
      </c>
      <c r="G459" s="245">
        <v>5.0</v>
      </c>
      <c r="H459" s="248" t="s">
        <v>3454</v>
      </c>
      <c r="I459" s="262" t="s">
        <v>3455</v>
      </c>
      <c r="J459" s="245"/>
    </row>
    <row r="460" ht="15.75" customHeight="1">
      <c r="A460" s="244" t="s">
        <v>3214</v>
      </c>
      <c r="B460" s="245">
        <v>18.0</v>
      </c>
      <c r="C460" s="246" t="s">
        <v>3239</v>
      </c>
      <c r="D460" s="247" t="s">
        <v>3453</v>
      </c>
      <c r="E460" s="245" t="s">
        <v>1155</v>
      </c>
      <c r="F460" s="245" t="s">
        <v>3349</v>
      </c>
      <c r="G460" s="245">
        <v>6.0</v>
      </c>
      <c r="H460" s="248" t="s">
        <v>3454</v>
      </c>
      <c r="I460" s="262" t="s">
        <v>3455</v>
      </c>
      <c r="J460" s="245"/>
    </row>
    <row r="461" ht="15.75" customHeight="1">
      <c r="A461" s="244" t="s">
        <v>3214</v>
      </c>
      <c r="B461" s="245">
        <v>19.0</v>
      </c>
      <c r="C461" s="246" t="s">
        <v>3239</v>
      </c>
      <c r="D461" s="247" t="s">
        <v>3359</v>
      </c>
      <c r="E461" s="245" t="s">
        <v>1155</v>
      </c>
      <c r="F461" s="245" t="s">
        <v>3241</v>
      </c>
      <c r="G461" s="245">
        <v>5.0</v>
      </c>
      <c r="H461" s="248" t="s">
        <v>3456</v>
      </c>
      <c r="I461" s="262" t="s">
        <v>3457</v>
      </c>
      <c r="J461" s="245"/>
    </row>
    <row r="462" ht="15.75" customHeight="1">
      <c r="A462" s="244" t="s">
        <v>3214</v>
      </c>
      <c r="B462" s="245">
        <v>20.0</v>
      </c>
      <c r="C462" s="246" t="s">
        <v>3239</v>
      </c>
      <c r="D462" s="247" t="s">
        <v>3359</v>
      </c>
      <c r="E462" s="245" t="s">
        <v>1155</v>
      </c>
      <c r="F462" s="245" t="s">
        <v>3241</v>
      </c>
      <c r="G462" s="245">
        <v>6.0</v>
      </c>
      <c r="H462" s="248" t="s">
        <v>3456</v>
      </c>
      <c r="I462" s="262" t="s">
        <v>3457</v>
      </c>
      <c r="J462" s="245"/>
    </row>
    <row r="463" ht="15.75" customHeight="1">
      <c r="A463" s="244" t="s">
        <v>3214</v>
      </c>
      <c r="B463" s="245">
        <v>21.0</v>
      </c>
      <c r="C463" s="246" t="s">
        <v>3239</v>
      </c>
      <c r="D463" s="274" t="s">
        <v>3458</v>
      </c>
      <c r="E463" s="245" t="s">
        <v>3404</v>
      </c>
      <c r="F463" s="245" t="s">
        <v>3405</v>
      </c>
      <c r="G463" s="245"/>
      <c r="H463" s="248" t="s">
        <v>3459</v>
      </c>
      <c r="I463" s="249" t="s">
        <v>3263</v>
      </c>
      <c r="J463" s="250" t="s">
        <v>2236</v>
      </c>
    </row>
    <row r="464" ht="15.75" customHeight="1">
      <c r="A464" s="244" t="s">
        <v>3214</v>
      </c>
      <c r="B464" s="245">
        <v>22.0</v>
      </c>
      <c r="C464" s="246" t="s">
        <v>3239</v>
      </c>
      <c r="D464" s="274" t="s">
        <v>3458</v>
      </c>
      <c r="E464" s="245" t="s">
        <v>3404</v>
      </c>
      <c r="F464" s="245" t="s">
        <v>3405</v>
      </c>
      <c r="G464" s="245"/>
      <c r="H464" s="248" t="s">
        <v>3459</v>
      </c>
      <c r="I464" s="249" t="s">
        <v>3263</v>
      </c>
      <c r="J464" s="250" t="s">
        <v>2236</v>
      </c>
    </row>
    <row r="465" ht="15.75" customHeight="1">
      <c r="A465" s="244" t="s">
        <v>3214</v>
      </c>
      <c r="B465" s="245">
        <v>23.0</v>
      </c>
      <c r="C465" s="246" t="s">
        <v>3254</v>
      </c>
      <c r="D465" s="247" t="s">
        <v>3460</v>
      </c>
      <c r="E465" s="245" t="s">
        <v>1155</v>
      </c>
      <c r="F465" s="245" t="s">
        <v>3349</v>
      </c>
      <c r="G465" s="245">
        <v>5.0</v>
      </c>
      <c r="H465" s="248" t="s">
        <v>3461</v>
      </c>
      <c r="I465" s="262" t="s">
        <v>3462</v>
      </c>
      <c r="J465" s="245"/>
    </row>
    <row r="466" ht="15.75" customHeight="1">
      <c r="A466" s="244" t="s">
        <v>3214</v>
      </c>
      <c r="B466" s="245">
        <v>24.0</v>
      </c>
      <c r="C466" s="246" t="s">
        <v>3254</v>
      </c>
      <c r="D466" s="247" t="s">
        <v>3460</v>
      </c>
      <c r="E466" s="245" t="s">
        <v>1155</v>
      </c>
      <c r="F466" s="245" t="s">
        <v>3349</v>
      </c>
      <c r="G466" s="245">
        <v>6.0</v>
      </c>
      <c r="H466" s="248" t="s">
        <v>3461</v>
      </c>
      <c r="I466" s="262" t="s">
        <v>3462</v>
      </c>
      <c r="J466" s="245"/>
    </row>
    <row r="467" ht="15.75" customHeight="1">
      <c r="A467" s="266" t="s">
        <v>3214</v>
      </c>
      <c r="B467" s="267">
        <v>25.0</v>
      </c>
      <c r="C467" s="275"/>
      <c r="D467" s="273" t="s">
        <v>3463</v>
      </c>
      <c r="E467" s="267" t="s">
        <v>1168</v>
      </c>
      <c r="F467" s="267" t="s">
        <v>3464</v>
      </c>
      <c r="G467" s="267"/>
      <c r="H467" s="268" t="s">
        <v>3465</v>
      </c>
      <c r="I467" s="269"/>
      <c r="J467" s="267"/>
    </row>
    <row r="468" ht="15.75" customHeight="1">
      <c r="A468" s="266" t="s">
        <v>3214</v>
      </c>
      <c r="B468" s="267">
        <v>26.0</v>
      </c>
      <c r="C468" s="275"/>
      <c r="D468" s="273" t="s">
        <v>3463</v>
      </c>
      <c r="E468" s="267" t="s">
        <v>1168</v>
      </c>
      <c r="F468" s="267" t="s">
        <v>3464</v>
      </c>
      <c r="G468" s="267"/>
      <c r="H468" s="268" t="s">
        <v>3465</v>
      </c>
      <c r="I468" s="269"/>
      <c r="J468" s="267"/>
    </row>
    <row r="469" ht="15.75" customHeight="1">
      <c r="A469" s="244" t="s">
        <v>3214</v>
      </c>
      <c r="B469" s="245">
        <v>27.0</v>
      </c>
      <c r="C469" s="246" t="s">
        <v>3254</v>
      </c>
      <c r="D469" s="274" t="s">
        <v>3255</v>
      </c>
      <c r="E469" s="245" t="s">
        <v>1155</v>
      </c>
      <c r="F469" s="245" t="s">
        <v>3256</v>
      </c>
      <c r="G469" s="245">
        <v>5.0</v>
      </c>
      <c r="H469" s="248" t="s">
        <v>3466</v>
      </c>
      <c r="I469" s="262" t="s">
        <v>3467</v>
      </c>
      <c r="J469" s="245"/>
    </row>
    <row r="470" ht="15.75" customHeight="1">
      <c r="A470" s="244" t="s">
        <v>3214</v>
      </c>
      <c r="B470" s="245">
        <v>28.0</v>
      </c>
      <c r="C470" s="246" t="s">
        <v>3254</v>
      </c>
      <c r="D470" s="274" t="s">
        <v>3255</v>
      </c>
      <c r="E470" s="245" t="s">
        <v>1155</v>
      </c>
      <c r="F470" s="245" t="s">
        <v>3256</v>
      </c>
      <c r="G470" s="245">
        <v>6.0</v>
      </c>
      <c r="H470" s="248" t="s">
        <v>3466</v>
      </c>
      <c r="I470" s="262" t="s">
        <v>3467</v>
      </c>
      <c r="J470" s="245"/>
    </row>
    <row r="471" ht="15.75" customHeight="1">
      <c r="A471" s="244" t="s">
        <v>3214</v>
      </c>
      <c r="B471" s="245">
        <v>29.0</v>
      </c>
      <c r="C471" s="246" t="s">
        <v>3254</v>
      </c>
      <c r="D471" s="274" t="s">
        <v>3255</v>
      </c>
      <c r="E471" s="245" t="s">
        <v>1155</v>
      </c>
      <c r="F471" s="245" t="s">
        <v>3256</v>
      </c>
      <c r="G471" s="245">
        <v>5.0</v>
      </c>
      <c r="H471" s="248" t="s">
        <v>3468</v>
      </c>
      <c r="I471" s="262" t="s">
        <v>3469</v>
      </c>
      <c r="J471" s="245"/>
    </row>
    <row r="472" ht="15.75" customHeight="1">
      <c r="A472" s="244" t="s">
        <v>3214</v>
      </c>
      <c r="B472" s="245">
        <v>30.0</v>
      </c>
      <c r="C472" s="246" t="s">
        <v>3254</v>
      </c>
      <c r="D472" s="274" t="s">
        <v>3255</v>
      </c>
      <c r="E472" s="245" t="s">
        <v>1155</v>
      </c>
      <c r="F472" s="245" t="s">
        <v>3256</v>
      </c>
      <c r="G472" s="245">
        <v>6.0</v>
      </c>
      <c r="H472" s="248" t="s">
        <v>3468</v>
      </c>
      <c r="I472" s="262" t="s">
        <v>3469</v>
      </c>
      <c r="J472" s="245"/>
    </row>
    <row r="473" ht="15.75" customHeight="1">
      <c r="A473" s="244" t="s">
        <v>3214</v>
      </c>
      <c r="B473" s="245">
        <v>31.0</v>
      </c>
      <c r="C473" s="246" t="s">
        <v>3254</v>
      </c>
      <c r="D473" s="274" t="s">
        <v>3255</v>
      </c>
      <c r="E473" s="245" t="s">
        <v>1155</v>
      </c>
      <c r="F473" s="245" t="s">
        <v>3256</v>
      </c>
      <c r="G473" s="245">
        <v>5.0</v>
      </c>
      <c r="H473" s="248" t="s">
        <v>3470</v>
      </c>
      <c r="I473" s="262" t="s">
        <v>3323</v>
      </c>
      <c r="J473" s="245"/>
    </row>
    <row r="474" ht="15.75" customHeight="1">
      <c r="A474" s="244" t="s">
        <v>3214</v>
      </c>
      <c r="B474" s="245">
        <v>32.0</v>
      </c>
      <c r="C474" s="246" t="s">
        <v>3254</v>
      </c>
      <c r="D474" s="274" t="s">
        <v>3255</v>
      </c>
      <c r="E474" s="245" t="s">
        <v>1155</v>
      </c>
      <c r="F474" s="245" t="s">
        <v>3256</v>
      </c>
      <c r="G474" s="245">
        <v>6.0</v>
      </c>
      <c r="H474" s="248" t="s">
        <v>3470</v>
      </c>
      <c r="I474" s="262" t="s">
        <v>3323</v>
      </c>
      <c r="J474" s="245"/>
    </row>
    <row r="475" ht="15.75" customHeight="1">
      <c r="A475" s="266" t="s">
        <v>3214</v>
      </c>
      <c r="B475" s="267">
        <v>33.0</v>
      </c>
      <c r="C475" s="275"/>
      <c r="D475" s="273" t="s">
        <v>3471</v>
      </c>
      <c r="E475" s="267" t="s">
        <v>1168</v>
      </c>
      <c r="F475" s="267" t="s">
        <v>3472</v>
      </c>
      <c r="G475" s="267"/>
      <c r="H475" s="268" t="s">
        <v>3473</v>
      </c>
      <c r="I475" s="269"/>
      <c r="J475" s="267"/>
    </row>
    <row r="476" ht="15.75" customHeight="1">
      <c r="A476" s="266" t="s">
        <v>3214</v>
      </c>
      <c r="B476" s="267">
        <v>34.0</v>
      </c>
      <c r="C476" s="275"/>
      <c r="D476" s="273" t="s">
        <v>3471</v>
      </c>
      <c r="E476" s="267" t="s">
        <v>1168</v>
      </c>
      <c r="F476" s="267" t="s">
        <v>3472</v>
      </c>
      <c r="G476" s="267"/>
      <c r="H476" s="268" t="s">
        <v>3473</v>
      </c>
      <c r="I476" s="269"/>
      <c r="J476" s="267"/>
    </row>
    <row r="477" ht="15.75" customHeight="1">
      <c r="A477" s="244" t="s">
        <v>3214</v>
      </c>
      <c r="B477" s="245">
        <v>35.0</v>
      </c>
      <c r="C477" s="246" t="s">
        <v>3254</v>
      </c>
      <c r="D477" s="274" t="s">
        <v>3474</v>
      </c>
      <c r="E477" s="245" t="s">
        <v>1155</v>
      </c>
      <c r="F477" s="245" t="s">
        <v>3475</v>
      </c>
      <c r="G477" s="245">
        <v>4.0</v>
      </c>
      <c r="H477" s="248" t="s">
        <v>3476</v>
      </c>
      <c r="I477" s="262" t="s">
        <v>3477</v>
      </c>
      <c r="J477" s="245"/>
    </row>
    <row r="478" ht="15.75" customHeight="1">
      <c r="A478" s="244" t="s">
        <v>3214</v>
      </c>
      <c r="B478" s="245">
        <v>36.0</v>
      </c>
      <c r="C478" s="246" t="s">
        <v>3254</v>
      </c>
      <c r="D478" s="274" t="s">
        <v>3474</v>
      </c>
      <c r="E478" s="245" t="s">
        <v>1155</v>
      </c>
      <c r="F478" s="245" t="s">
        <v>3475</v>
      </c>
      <c r="G478" s="245">
        <v>5.0</v>
      </c>
      <c r="H478" s="248" t="s">
        <v>3476</v>
      </c>
      <c r="I478" s="262" t="s">
        <v>3477</v>
      </c>
      <c r="J478" s="245"/>
    </row>
    <row r="479" ht="15.75" customHeight="1">
      <c r="A479" s="244" t="s">
        <v>3214</v>
      </c>
      <c r="B479" s="245">
        <v>37.0</v>
      </c>
      <c r="C479" s="246" t="s">
        <v>3254</v>
      </c>
      <c r="D479" s="277" t="s">
        <v>3478</v>
      </c>
      <c r="E479" s="278" t="s">
        <v>1155</v>
      </c>
      <c r="F479" s="278" t="s">
        <v>3479</v>
      </c>
      <c r="G479" s="245"/>
      <c r="H479" s="248" t="s">
        <v>3480</v>
      </c>
      <c r="I479" s="262"/>
      <c r="J479" s="245"/>
    </row>
    <row r="480" ht="15.75" customHeight="1">
      <c r="A480" s="244" t="s">
        <v>3214</v>
      </c>
      <c r="B480" s="245">
        <v>38.0</v>
      </c>
      <c r="C480" s="246" t="s">
        <v>3254</v>
      </c>
      <c r="D480" s="277" t="s">
        <v>3478</v>
      </c>
      <c r="E480" s="278" t="s">
        <v>1155</v>
      </c>
      <c r="F480" s="278" t="s">
        <v>3479</v>
      </c>
      <c r="G480" s="245"/>
      <c r="H480" s="248" t="s">
        <v>3480</v>
      </c>
      <c r="I480" s="262"/>
      <c r="J480" s="245"/>
    </row>
    <row r="481" ht="15.75" customHeight="1">
      <c r="A481" s="244" t="s">
        <v>3214</v>
      </c>
      <c r="B481" s="245">
        <v>39.0</v>
      </c>
      <c r="C481" s="246" t="s">
        <v>3254</v>
      </c>
      <c r="D481" s="274" t="s">
        <v>3481</v>
      </c>
      <c r="E481" s="245" t="s">
        <v>1155</v>
      </c>
      <c r="F481" s="245" t="s">
        <v>3482</v>
      </c>
      <c r="G481" s="245">
        <v>5.0</v>
      </c>
      <c r="H481" s="248" t="s">
        <v>3483</v>
      </c>
      <c r="I481" s="262" t="s">
        <v>3484</v>
      </c>
      <c r="J481" s="245"/>
    </row>
    <row r="482" ht="15.75" customHeight="1">
      <c r="A482" s="244" t="s">
        <v>3214</v>
      </c>
      <c r="B482" s="245">
        <v>40.0</v>
      </c>
      <c r="C482" s="246" t="s">
        <v>3254</v>
      </c>
      <c r="D482" s="274" t="s">
        <v>3481</v>
      </c>
      <c r="E482" s="245" t="s">
        <v>1155</v>
      </c>
      <c r="F482" s="245" t="s">
        <v>3482</v>
      </c>
      <c r="G482" s="245">
        <v>6.0</v>
      </c>
      <c r="H482" s="248" t="s">
        <v>3483</v>
      </c>
      <c r="I482" s="262" t="s">
        <v>3484</v>
      </c>
      <c r="J482" s="245"/>
    </row>
    <row r="483" ht="15.75" customHeight="1">
      <c r="A483" s="266" t="s">
        <v>3214</v>
      </c>
      <c r="B483" s="267">
        <v>41.0</v>
      </c>
      <c r="C483" s="275" t="s">
        <v>3429</v>
      </c>
      <c r="D483" s="273" t="s">
        <v>3398</v>
      </c>
      <c r="E483" s="267" t="s">
        <v>1168</v>
      </c>
      <c r="F483" s="267" t="s">
        <v>3472</v>
      </c>
      <c r="G483" s="267"/>
      <c r="H483" s="268" t="s">
        <v>3485</v>
      </c>
      <c r="I483" s="269"/>
      <c r="J483" s="267"/>
    </row>
    <row r="484" ht="15.75" customHeight="1">
      <c r="A484" s="266" t="s">
        <v>3214</v>
      </c>
      <c r="B484" s="267">
        <v>42.0</v>
      </c>
      <c r="C484" s="275"/>
      <c r="D484" s="273" t="s">
        <v>3398</v>
      </c>
      <c r="E484" s="267" t="s">
        <v>1168</v>
      </c>
      <c r="F484" s="267" t="s">
        <v>3472</v>
      </c>
      <c r="G484" s="267"/>
      <c r="H484" s="268" t="s">
        <v>3485</v>
      </c>
      <c r="I484" s="269"/>
      <c r="J484" s="267"/>
    </row>
    <row r="485" ht="15.75" customHeight="1">
      <c r="A485" s="244" t="s">
        <v>3214</v>
      </c>
      <c r="B485" s="245">
        <v>43.0</v>
      </c>
      <c r="C485" s="246" t="s">
        <v>3239</v>
      </c>
      <c r="D485" s="274" t="s">
        <v>3486</v>
      </c>
      <c r="E485" s="245" t="s">
        <v>1155</v>
      </c>
      <c r="F485" s="245" t="s">
        <v>3487</v>
      </c>
      <c r="G485" s="245">
        <v>4.0</v>
      </c>
      <c r="H485" s="248" t="s">
        <v>3488</v>
      </c>
      <c r="I485" s="262" t="s">
        <v>3323</v>
      </c>
      <c r="J485" s="245"/>
    </row>
    <row r="486" ht="15.75" customHeight="1">
      <c r="A486" s="244" t="s">
        <v>3214</v>
      </c>
      <c r="B486" s="245">
        <v>44.0</v>
      </c>
      <c r="C486" s="246" t="s">
        <v>3239</v>
      </c>
      <c r="D486" s="274" t="s">
        <v>3486</v>
      </c>
      <c r="E486" s="245" t="s">
        <v>1155</v>
      </c>
      <c r="F486" s="245" t="s">
        <v>3487</v>
      </c>
      <c r="G486" s="245">
        <v>5.0</v>
      </c>
      <c r="H486" s="248" t="s">
        <v>3489</v>
      </c>
      <c r="I486" s="262" t="s">
        <v>3323</v>
      </c>
      <c r="J486" s="245"/>
    </row>
    <row r="487" ht="15.75" customHeight="1">
      <c r="A487" s="245"/>
      <c r="B487" s="245"/>
      <c r="C487" s="245"/>
      <c r="D487" s="247"/>
      <c r="E487" s="245"/>
      <c r="F487" s="245"/>
      <c r="G487" s="245"/>
      <c r="H487" s="248"/>
      <c r="I487" s="262"/>
      <c r="J487" s="245"/>
    </row>
    <row r="488" ht="15.75" customHeight="1">
      <c r="A488" s="245"/>
      <c r="B488" s="245"/>
      <c r="C488" s="245"/>
      <c r="D488" s="247"/>
      <c r="E488" s="245"/>
      <c r="F488" s="245"/>
      <c r="G488" s="263" t="s">
        <v>3215</v>
      </c>
      <c r="H488" s="263" t="s">
        <v>3216</v>
      </c>
      <c r="I488" s="264" t="s">
        <v>3217</v>
      </c>
      <c r="J488" s="263" t="s">
        <v>3218</v>
      </c>
    </row>
    <row r="489" ht="15.75" customHeight="1">
      <c r="A489" s="245"/>
      <c r="B489" s="245"/>
      <c r="C489" s="245"/>
      <c r="D489" s="247"/>
      <c r="E489" s="245"/>
      <c r="F489" s="245"/>
      <c r="G489" s="245"/>
      <c r="H489" s="248"/>
      <c r="I489" s="262"/>
      <c r="J489" s="245"/>
    </row>
    <row r="490" ht="15.75" customHeight="1">
      <c r="A490" s="237" t="s">
        <v>3490</v>
      </c>
      <c r="B490" s="238"/>
      <c r="C490" s="238"/>
      <c r="D490" s="238"/>
      <c r="E490" s="238"/>
      <c r="F490" s="238"/>
      <c r="G490" s="238"/>
      <c r="H490" s="238"/>
      <c r="I490" s="238"/>
      <c r="J490" s="239"/>
    </row>
    <row r="491" ht="15.75" customHeight="1">
      <c r="A491" s="240" t="s">
        <v>11</v>
      </c>
      <c r="B491" s="240" t="s">
        <v>12</v>
      </c>
      <c r="C491" s="240" t="s">
        <v>3206</v>
      </c>
      <c r="D491" s="241" t="s">
        <v>468</v>
      </c>
      <c r="E491" s="240" t="s">
        <v>3207</v>
      </c>
      <c r="F491" s="240" t="s">
        <v>16</v>
      </c>
      <c r="G491" s="240" t="s">
        <v>3208</v>
      </c>
      <c r="H491" s="242" t="s">
        <v>18</v>
      </c>
      <c r="I491" s="243" t="s">
        <v>3209</v>
      </c>
      <c r="J491" s="240" t="s">
        <v>3210</v>
      </c>
    </row>
    <row r="492" ht="15.75" customHeight="1">
      <c r="A492" s="244" t="s">
        <v>3211</v>
      </c>
      <c r="B492" s="245">
        <v>1.0</v>
      </c>
      <c r="C492" s="246"/>
      <c r="D492" s="247"/>
      <c r="E492" s="245"/>
      <c r="F492" s="245"/>
      <c r="G492" s="245"/>
      <c r="H492" s="248"/>
      <c r="I492" s="249"/>
      <c r="J492" s="250"/>
    </row>
    <row r="493" ht="15.75" customHeight="1">
      <c r="A493" s="244" t="s">
        <v>3211</v>
      </c>
      <c r="B493" s="245">
        <v>2.0</v>
      </c>
      <c r="C493" s="246"/>
      <c r="D493" s="247"/>
      <c r="E493" s="245"/>
      <c r="F493" s="245"/>
      <c r="G493" s="245"/>
      <c r="H493" s="248"/>
      <c r="I493" s="249"/>
      <c r="J493" s="250"/>
    </row>
    <row r="494" ht="15.75" customHeight="1">
      <c r="A494" s="244" t="s">
        <v>3211</v>
      </c>
      <c r="B494" s="245">
        <v>3.0</v>
      </c>
      <c r="C494" s="246"/>
      <c r="D494" s="247"/>
      <c r="E494" s="245"/>
      <c r="F494" s="245"/>
      <c r="G494" s="245"/>
      <c r="H494" s="248"/>
      <c r="I494" s="249"/>
      <c r="J494" s="251"/>
    </row>
    <row r="495" ht="15.75" customHeight="1">
      <c r="A495" s="244" t="s">
        <v>3211</v>
      </c>
      <c r="B495" s="245">
        <v>4.0</v>
      </c>
      <c r="C495" s="246"/>
      <c r="D495" s="247"/>
      <c r="E495" s="245"/>
      <c r="F495" s="245"/>
      <c r="G495" s="245"/>
      <c r="H495" s="248"/>
      <c r="I495" s="249"/>
      <c r="J495" s="251"/>
    </row>
    <row r="496" ht="15.75" customHeight="1">
      <c r="A496" s="244" t="s">
        <v>3211</v>
      </c>
      <c r="B496" s="245">
        <v>5.0</v>
      </c>
      <c r="C496" s="246"/>
      <c r="D496" s="247"/>
      <c r="E496" s="245"/>
      <c r="F496" s="245"/>
      <c r="G496" s="245"/>
      <c r="H496" s="248"/>
      <c r="I496" s="249"/>
      <c r="J496" s="251"/>
    </row>
    <row r="497" ht="15.75" customHeight="1">
      <c r="A497" s="244" t="s">
        <v>3211</v>
      </c>
      <c r="B497" s="245">
        <v>6.0</v>
      </c>
      <c r="C497" s="246"/>
      <c r="D497" s="247"/>
      <c r="E497" s="245"/>
      <c r="F497" s="245"/>
      <c r="G497" s="245"/>
      <c r="H497" s="248"/>
      <c r="I497" s="249"/>
      <c r="J497" s="251"/>
    </row>
    <row r="498" ht="15.75" customHeight="1">
      <c r="A498" s="252" t="s">
        <v>3211</v>
      </c>
      <c r="B498" s="250">
        <v>7.0</v>
      </c>
      <c r="C498" s="250"/>
      <c r="D498" s="250"/>
      <c r="E498" s="250"/>
      <c r="F498" s="250"/>
      <c r="G498" s="250"/>
      <c r="H498" s="253"/>
      <c r="I498" s="249"/>
      <c r="J498" s="250"/>
    </row>
    <row r="499" ht="15.75" customHeight="1">
      <c r="A499" s="252" t="s">
        <v>3211</v>
      </c>
      <c r="B499" s="250">
        <v>8.0</v>
      </c>
      <c r="C499" s="250"/>
      <c r="D499" s="250"/>
      <c r="E499" s="250"/>
      <c r="F499" s="250"/>
      <c r="G499" s="250"/>
      <c r="H499" s="253"/>
      <c r="I499" s="249"/>
      <c r="J499" s="250"/>
    </row>
    <row r="500" ht="15.75" customHeight="1">
      <c r="A500" s="252" t="s">
        <v>3211</v>
      </c>
      <c r="B500" s="250">
        <v>9.0</v>
      </c>
      <c r="C500" s="254"/>
      <c r="D500" s="251"/>
      <c r="E500" s="250"/>
      <c r="F500" s="250"/>
      <c r="G500" s="250"/>
      <c r="H500" s="253"/>
      <c r="I500" s="249"/>
      <c r="J500" s="251"/>
    </row>
    <row r="501" ht="15.75" customHeight="1">
      <c r="A501" s="252" t="s">
        <v>3211</v>
      </c>
      <c r="B501" s="250">
        <v>10.0</v>
      </c>
      <c r="C501" s="254"/>
      <c r="D501" s="251"/>
      <c r="E501" s="250"/>
      <c r="F501" s="250"/>
      <c r="G501" s="250"/>
      <c r="H501" s="253"/>
      <c r="I501" s="249"/>
      <c r="J501" s="251"/>
    </row>
    <row r="502" ht="15.75" customHeight="1">
      <c r="A502" s="252" t="s">
        <v>3211</v>
      </c>
      <c r="B502" s="250">
        <v>11.0</v>
      </c>
      <c r="C502" s="254"/>
      <c r="D502" s="251"/>
      <c r="E502" s="250"/>
      <c r="F502" s="250"/>
      <c r="G502" s="250"/>
      <c r="H502" s="253"/>
      <c r="I502" s="249"/>
      <c r="J502" s="251"/>
    </row>
    <row r="503" ht="15.75" customHeight="1">
      <c r="A503" s="252" t="s">
        <v>3211</v>
      </c>
      <c r="B503" s="250">
        <v>12.0</v>
      </c>
      <c r="C503" s="254"/>
      <c r="D503" s="251"/>
      <c r="E503" s="250"/>
      <c r="F503" s="250"/>
      <c r="G503" s="250"/>
      <c r="H503" s="253"/>
      <c r="I503" s="249"/>
      <c r="J503" s="251"/>
    </row>
    <row r="504" ht="15.75" customHeight="1">
      <c r="A504" s="252" t="s">
        <v>3211</v>
      </c>
      <c r="B504" s="250">
        <v>13.0</v>
      </c>
      <c r="C504" s="254"/>
      <c r="D504" s="251"/>
      <c r="E504" s="250"/>
      <c r="F504" s="250"/>
      <c r="G504" s="250"/>
      <c r="H504" s="253"/>
      <c r="I504" s="249"/>
      <c r="J504" s="251"/>
    </row>
    <row r="505" ht="15.75" customHeight="1">
      <c r="A505" s="252" t="s">
        <v>3211</v>
      </c>
      <c r="B505" s="250">
        <v>14.0</v>
      </c>
      <c r="C505" s="254"/>
      <c r="D505" s="251"/>
      <c r="E505" s="250"/>
      <c r="F505" s="250"/>
      <c r="G505" s="250"/>
      <c r="H505" s="253"/>
      <c r="I505" s="249"/>
      <c r="J505" s="251"/>
    </row>
    <row r="506" ht="15.75" customHeight="1">
      <c r="A506" s="252" t="s">
        <v>3211</v>
      </c>
      <c r="B506" s="250">
        <v>15.0</v>
      </c>
      <c r="C506" s="254"/>
      <c r="D506" s="251"/>
      <c r="E506" s="250"/>
      <c r="F506" s="250"/>
      <c r="G506" s="250"/>
      <c r="H506" s="253"/>
      <c r="I506" s="249"/>
      <c r="J506" s="250"/>
    </row>
    <row r="507" ht="15.75" customHeight="1">
      <c r="A507" s="252" t="s">
        <v>3211</v>
      </c>
      <c r="B507" s="250">
        <v>16.0</v>
      </c>
      <c r="C507" s="254"/>
      <c r="D507" s="251"/>
      <c r="E507" s="250"/>
      <c r="F507" s="250"/>
      <c r="G507" s="250"/>
      <c r="H507" s="253"/>
      <c r="I507" s="249"/>
      <c r="J507" s="250"/>
    </row>
    <row r="508" ht="15.75" customHeight="1">
      <c r="A508" s="252" t="s">
        <v>3211</v>
      </c>
      <c r="B508" s="250">
        <v>17.0</v>
      </c>
      <c r="C508" s="250"/>
      <c r="D508" s="250"/>
      <c r="E508" s="250"/>
      <c r="F508" s="250"/>
      <c r="G508" s="250"/>
      <c r="H508" s="253"/>
      <c r="I508" s="249"/>
      <c r="J508" s="250"/>
    </row>
    <row r="509" ht="15.75" customHeight="1">
      <c r="A509" s="252" t="s">
        <v>3211</v>
      </c>
      <c r="B509" s="250">
        <v>18.0</v>
      </c>
      <c r="C509" s="250"/>
      <c r="D509" s="250"/>
      <c r="E509" s="250"/>
      <c r="F509" s="250"/>
      <c r="G509" s="250"/>
      <c r="H509" s="253"/>
      <c r="I509" s="249"/>
      <c r="J509" s="250"/>
    </row>
    <row r="510" ht="15.75" customHeight="1">
      <c r="A510" s="252" t="s">
        <v>3211</v>
      </c>
      <c r="B510" s="250">
        <v>19.0</v>
      </c>
      <c r="C510" s="253"/>
      <c r="D510" s="251"/>
      <c r="E510" s="250"/>
      <c r="F510" s="250"/>
      <c r="G510" s="250"/>
      <c r="H510" s="253"/>
      <c r="I510" s="249"/>
      <c r="J510" s="250"/>
    </row>
    <row r="511" ht="15.75" customHeight="1">
      <c r="A511" s="252" t="s">
        <v>3211</v>
      </c>
      <c r="B511" s="250">
        <v>20.0</v>
      </c>
      <c r="C511" s="253"/>
      <c r="D511" s="251"/>
      <c r="E511" s="250"/>
      <c r="F511" s="250"/>
      <c r="G511" s="250"/>
      <c r="H511" s="253"/>
      <c r="I511" s="249"/>
      <c r="J511" s="250"/>
    </row>
    <row r="512" ht="15.75" customHeight="1">
      <c r="A512" s="252" t="s">
        <v>3211</v>
      </c>
      <c r="B512" s="250">
        <v>21.0</v>
      </c>
      <c r="C512" s="254"/>
      <c r="D512" s="251"/>
      <c r="E512" s="250"/>
      <c r="F512" s="250"/>
      <c r="G512" s="250"/>
      <c r="H512" s="255"/>
      <c r="I512" s="249"/>
      <c r="J512" s="250"/>
    </row>
    <row r="513" ht="15.75" customHeight="1">
      <c r="A513" s="252" t="s">
        <v>3211</v>
      </c>
      <c r="B513" s="250">
        <v>22.0</v>
      </c>
      <c r="C513" s="254"/>
      <c r="D513" s="251"/>
      <c r="E513" s="250"/>
      <c r="F513" s="250"/>
      <c r="G513" s="250"/>
      <c r="H513" s="255"/>
      <c r="I513" s="249"/>
      <c r="J513" s="250"/>
    </row>
    <row r="514" ht="15.75" customHeight="1">
      <c r="A514" s="252" t="s">
        <v>3211</v>
      </c>
      <c r="B514" s="250">
        <v>23.0</v>
      </c>
      <c r="C514" s="253"/>
      <c r="D514" s="251"/>
      <c r="E514" s="250"/>
      <c r="F514" s="250"/>
      <c r="G514" s="250"/>
      <c r="H514" s="253"/>
      <c r="I514" s="249"/>
      <c r="J514" s="250"/>
    </row>
    <row r="515" ht="15.75" customHeight="1">
      <c r="A515" s="252" t="s">
        <v>3211</v>
      </c>
      <c r="B515" s="250">
        <v>24.0</v>
      </c>
      <c r="C515" s="253"/>
      <c r="D515" s="251"/>
      <c r="E515" s="250"/>
      <c r="F515" s="250"/>
      <c r="G515" s="250"/>
      <c r="H515" s="253"/>
      <c r="I515" s="249"/>
      <c r="J515" s="250"/>
    </row>
    <row r="516" ht="15.75" customHeight="1">
      <c r="A516" s="256"/>
      <c r="B516" s="257"/>
      <c r="C516" s="257"/>
      <c r="D516" s="258"/>
      <c r="E516" s="257"/>
      <c r="F516" s="257"/>
      <c r="G516" s="257"/>
      <c r="H516" s="259"/>
      <c r="I516" s="260"/>
      <c r="J516" s="257"/>
    </row>
    <row r="517" ht="15.75" customHeight="1">
      <c r="A517" s="244" t="s">
        <v>3212</v>
      </c>
      <c r="B517" s="245">
        <v>1.0</v>
      </c>
      <c r="C517" s="246"/>
      <c r="D517" s="247"/>
      <c r="E517" s="245"/>
      <c r="F517" s="245"/>
      <c r="G517" s="245"/>
      <c r="H517" s="248"/>
      <c r="I517" s="261"/>
    </row>
    <row r="518" ht="15.75" customHeight="1">
      <c r="A518" s="244" t="s">
        <v>3212</v>
      </c>
      <c r="B518" s="245">
        <v>3.0</v>
      </c>
      <c r="C518" s="246"/>
      <c r="D518" s="247"/>
      <c r="E518" s="245"/>
      <c r="F518" s="245"/>
      <c r="G518" s="245"/>
      <c r="H518" s="248"/>
      <c r="I518" s="262"/>
      <c r="J518" s="245"/>
    </row>
    <row r="519" ht="15.75" customHeight="1">
      <c r="A519" s="244" t="s">
        <v>3212</v>
      </c>
      <c r="B519" s="245">
        <v>4.0</v>
      </c>
      <c r="C519" s="246"/>
      <c r="D519" s="247"/>
      <c r="E519" s="245"/>
      <c r="F519" s="245"/>
      <c r="G519" s="245"/>
      <c r="H519" s="248"/>
      <c r="I519" s="262"/>
      <c r="J519" s="245"/>
    </row>
    <row r="520" ht="15.75" customHeight="1">
      <c r="A520" s="244" t="s">
        <v>3212</v>
      </c>
      <c r="B520" s="245">
        <v>5.0</v>
      </c>
      <c r="C520" s="246"/>
      <c r="D520" s="247"/>
      <c r="E520" s="245"/>
      <c r="F520" s="245"/>
      <c r="G520" s="245"/>
      <c r="H520" s="248"/>
      <c r="I520" s="262"/>
      <c r="J520" s="245"/>
    </row>
    <row r="521" ht="15.75" customHeight="1">
      <c r="A521" s="244" t="s">
        <v>3212</v>
      </c>
      <c r="B521" s="245">
        <v>6.0</v>
      </c>
      <c r="C521" s="246"/>
      <c r="D521" s="247"/>
      <c r="E521" s="245"/>
      <c r="F521" s="245"/>
      <c r="G521" s="245"/>
      <c r="H521" s="248"/>
      <c r="I521" s="262"/>
      <c r="J521" s="245"/>
    </row>
    <row r="522" ht="15.75" customHeight="1">
      <c r="A522" s="244" t="s">
        <v>3212</v>
      </c>
      <c r="B522" s="245">
        <v>7.0</v>
      </c>
      <c r="C522" s="245"/>
      <c r="D522" s="247"/>
      <c r="E522" s="245"/>
      <c r="F522" s="245"/>
      <c r="G522" s="245"/>
      <c r="H522" s="248"/>
      <c r="I522" s="262"/>
      <c r="J522" s="245"/>
    </row>
    <row r="523" ht="15.75" customHeight="1">
      <c r="A523" s="244" t="s">
        <v>3212</v>
      </c>
      <c r="B523" s="245">
        <v>8.0</v>
      </c>
      <c r="C523" s="245"/>
      <c r="D523" s="247"/>
      <c r="E523" s="245"/>
      <c r="F523" s="245"/>
      <c r="G523" s="245"/>
      <c r="H523" s="248"/>
      <c r="I523" s="262"/>
      <c r="J523" s="245"/>
    </row>
    <row r="524" ht="15.75" customHeight="1">
      <c r="A524" s="244" t="s">
        <v>3212</v>
      </c>
      <c r="B524" s="245">
        <v>9.0</v>
      </c>
      <c r="C524" s="245"/>
      <c r="D524" s="247"/>
      <c r="E524" s="245"/>
      <c r="F524" s="245"/>
      <c r="G524" s="245"/>
      <c r="H524" s="248"/>
      <c r="I524" s="262"/>
      <c r="J524" s="245"/>
    </row>
    <row r="525" ht="15.75" customHeight="1">
      <c r="A525" s="244" t="s">
        <v>3212</v>
      </c>
      <c r="B525" s="245">
        <v>10.0</v>
      </c>
      <c r="C525" s="245"/>
      <c r="D525" s="247"/>
      <c r="E525" s="245"/>
      <c r="F525" s="245"/>
      <c r="G525" s="245"/>
      <c r="H525" s="248"/>
      <c r="I525" s="262"/>
      <c r="J525" s="245"/>
    </row>
    <row r="526" ht="15.75" customHeight="1">
      <c r="A526" s="244" t="s">
        <v>3212</v>
      </c>
      <c r="B526" s="245">
        <v>11.0</v>
      </c>
      <c r="C526" s="245"/>
      <c r="D526" s="247"/>
      <c r="E526" s="245"/>
      <c r="F526" s="245"/>
      <c r="G526" s="245"/>
      <c r="H526" s="248"/>
      <c r="I526" s="262"/>
      <c r="J526" s="245"/>
    </row>
    <row r="527" ht="15.75" customHeight="1">
      <c r="A527" s="244" t="s">
        <v>3212</v>
      </c>
      <c r="B527" s="245">
        <v>12.0</v>
      </c>
      <c r="C527" s="245"/>
      <c r="D527" s="247"/>
      <c r="E527" s="245"/>
      <c r="F527" s="245"/>
      <c r="G527" s="245"/>
      <c r="H527" s="248"/>
      <c r="I527" s="262"/>
      <c r="J527" s="245"/>
    </row>
    <row r="528" ht="15.75" customHeight="1">
      <c r="A528" s="244" t="s">
        <v>3212</v>
      </c>
      <c r="B528" s="245">
        <v>13.0</v>
      </c>
      <c r="C528" s="245"/>
      <c r="D528" s="247"/>
      <c r="E528" s="245"/>
      <c r="F528" s="245"/>
      <c r="G528" s="245"/>
      <c r="H528" s="248"/>
      <c r="I528" s="262"/>
      <c r="J528" s="245"/>
    </row>
    <row r="529" ht="15.75" customHeight="1">
      <c r="A529" s="244" t="s">
        <v>3212</v>
      </c>
      <c r="B529" s="245">
        <v>14.0</v>
      </c>
      <c r="C529" s="245"/>
      <c r="D529" s="247"/>
      <c r="E529" s="245"/>
      <c r="F529" s="245"/>
      <c r="G529" s="245"/>
      <c r="H529" s="248"/>
      <c r="I529" s="262"/>
      <c r="J529" s="245"/>
    </row>
    <row r="530" ht="15.75" customHeight="1">
      <c r="A530" s="244" t="s">
        <v>3212</v>
      </c>
      <c r="B530" s="245">
        <v>15.0</v>
      </c>
      <c r="C530" s="245"/>
      <c r="D530" s="247"/>
      <c r="E530" s="245"/>
      <c r="F530" s="245"/>
      <c r="G530" s="245"/>
      <c r="H530" s="248"/>
      <c r="I530" s="262"/>
      <c r="J530" s="245"/>
    </row>
    <row r="531" ht="15.75" customHeight="1">
      <c r="A531" s="244" t="s">
        <v>3212</v>
      </c>
      <c r="B531" s="245">
        <v>16.0</v>
      </c>
      <c r="C531" s="245"/>
      <c r="D531" s="247"/>
      <c r="E531" s="245"/>
      <c r="F531" s="245"/>
      <c r="G531" s="245"/>
      <c r="H531" s="248"/>
      <c r="I531" s="262"/>
      <c r="J531" s="245"/>
    </row>
    <row r="532" ht="15.75" customHeight="1">
      <c r="A532" s="244" t="s">
        <v>3212</v>
      </c>
      <c r="B532" s="245">
        <v>17.0</v>
      </c>
      <c r="C532" s="245"/>
      <c r="D532" s="247"/>
      <c r="E532" s="245"/>
      <c r="F532" s="245"/>
      <c r="G532" s="245"/>
      <c r="H532" s="248"/>
      <c r="I532" s="261"/>
    </row>
    <row r="533" ht="15.75" customHeight="1">
      <c r="A533" s="244" t="s">
        <v>3212</v>
      </c>
      <c r="B533" s="245">
        <v>18.0</v>
      </c>
      <c r="C533" s="245"/>
      <c r="D533" s="247"/>
      <c r="E533" s="245"/>
      <c r="F533" s="245"/>
      <c r="G533" s="245"/>
      <c r="H533" s="248"/>
      <c r="I533" s="261"/>
      <c r="J533" s="245"/>
    </row>
    <row r="534" ht="15.75" customHeight="1">
      <c r="A534" s="244" t="s">
        <v>3212</v>
      </c>
      <c r="B534" s="245">
        <v>19.0</v>
      </c>
      <c r="C534" s="245"/>
      <c r="D534" s="247"/>
      <c r="E534" s="245"/>
      <c r="F534" s="245"/>
      <c r="G534" s="245"/>
      <c r="H534" s="248"/>
      <c r="I534" s="262"/>
      <c r="J534" s="245"/>
    </row>
    <row r="535" ht="15.75" customHeight="1">
      <c r="A535" s="244" t="s">
        <v>3212</v>
      </c>
      <c r="B535" s="245">
        <v>20.0</v>
      </c>
      <c r="C535" s="245"/>
      <c r="D535" s="247"/>
      <c r="E535" s="245"/>
      <c r="F535" s="245"/>
      <c r="G535" s="245"/>
      <c r="H535" s="248"/>
      <c r="I535" s="262"/>
      <c r="J535" s="245"/>
    </row>
    <row r="536" ht="15.75" customHeight="1">
      <c r="A536" s="244" t="s">
        <v>3212</v>
      </c>
      <c r="B536" s="245">
        <v>21.0</v>
      </c>
      <c r="C536" s="245"/>
      <c r="D536" s="247"/>
      <c r="E536" s="245"/>
      <c r="F536" s="245"/>
      <c r="G536" s="245"/>
      <c r="H536" s="248"/>
      <c r="I536" s="261"/>
      <c r="J536" s="245"/>
    </row>
    <row r="537" ht="15.75" customHeight="1">
      <c r="A537" s="244" t="s">
        <v>3212</v>
      </c>
      <c r="B537" s="245">
        <v>22.0</v>
      </c>
      <c r="C537" s="245"/>
      <c r="D537" s="247"/>
      <c r="E537" s="245"/>
      <c r="F537" s="245"/>
      <c r="G537" s="245"/>
      <c r="H537" s="248"/>
      <c r="I537" s="261"/>
      <c r="J537" s="245"/>
    </row>
    <row r="538" ht="15.75" customHeight="1">
      <c r="A538" s="244" t="s">
        <v>3212</v>
      </c>
      <c r="B538" s="245">
        <v>23.0</v>
      </c>
      <c r="C538" s="245"/>
      <c r="D538" s="247"/>
      <c r="E538" s="245"/>
      <c r="F538" s="245"/>
      <c r="G538" s="245"/>
      <c r="H538" s="248"/>
      <c r="I538" s="262"/>
      <c r="J538" s="245"/>
    </row>
    <row r="539" ht="15.75" customHeight="1">
      <c r="A539" s="244" t="s">
        <v>3212</v>
      </c>
      <c r="B539" s="245">
        <v>24.0</v>
      </c>
      <c r="C539" s="245"/>
      <c r="D539" s="247"/>
      <c r="E539" s="245"/>
      <c r="F539" s="245"/>
      <c r="G539" s="245"/>
      <c r="H539" s="248"/>
      <c r="I539" s="262"/>
      <c r="J539" s="245"/>
    </row>
    <row r="540" ht="15.75" customHeight="1">
      <c r="A540" s="256"/>
      <c r="B540" s="257"/>
      <c r="C540" s="257"/>
      <c r="D540" s="258"/>
      <c r="E540" s="257"/>
      <c r="F540" s="257"/>
      <c r="G540" s="257"/>
      <c r="H540" s="259"/>
      <c r="I540" s="260"/>
      <c r="J540" s="257"/>
    </row>
    <row r="541" ht="15.75" customHeight="1">
      <c r="A541" s="244" t="s">
        <v>3213</v>
      </c>
      <c r="B541" s="245">
        <v>1.0</v>
      </c>
      <c r="C541" s="246"/>
      <c r="D541" s="247"/>
      <c r="E541" s="245"/>
      <c r="F541" s="245"/>
      <c r="G541" s="245"/>
      <c r="H541" s="248"/>
      <c r="I541" s="262"/>
      <c r="J541" s="245"/>
    </row>
    <row r="542" ht="15.75" customHeight="1">
      <c r="A542" s="244" t="s">
        <v>3213</v>
      </c>
      <c r="B542" s="245">
        <v>2.0</v>
      </c>
      <c r="C542" s="246"/>
      <c r="D542" s="247"/>
      <c r="E542" s="245"/>
      <c r="F542" s="245"/>
      <c r="G542" s="245"/>
      <c r="H542" s="248"/>
      <c r="I542" s="262"/>
      <c r="J542" s="245"/>
    </row>
    <row r="543" ht="15.75" customHeight="1">
      <c r="A543" s="244" t="s">
        <v>3213</v>
      </c>
      <c r="B543" s="245">
        <v>3.0</v>
      </c>
      <c r="C543" s="246"/>
      <c r="D543" s="247"/>
      <c r="E543" s="245"/>
      <c r="F543" s="245"/>
      <c r="G543" s="245"/>
      <c r="H543" s="248"/>
      <c r="I543" s="262"/>
      <c r="J543" s="245"/>
    </row>
    <row r="544" ht="15.75" customHeight="1">
      <c r="A544" s="244" t="s">
        <v>3213</v>
      </c>
      <c r="B544" s="245">
        <v>4.0</v>
      </c>
      <c r="C544" s="246"/>
      <c r="D544" s="247"/>
      <c r="E544" s="245"/>
      <c r="F544" s="245"/>
      <c r="G544" s="245"/>
      <c r="H544" s="248"/>
      <c r="I544" s="262"/>
      <c r="J544" s="245"/>
    </row>
    <row r="545" ht="15.75" customHeight="1">
      <c r="A545" s="244" t="s">
        <v>3213</v>
      </c>
      <c r="B545" s="245">
        <v>5.0</v>
      </c>
      <c r="C545" s="246"/>
      <c r="D545" s="247"/>
      <c r="E545" s="245"/>
      <c r="F545" s="245"/>
      <c r="G545" s="245"/>
      <c r="H545" s="248"/>
      <c r="I545" s="262"/>
      <c r="J545" s="245"/>
    </row>
    <row r="546" ht="15.75" customHeight="1">
      <c r="A546" s="244" t="s">
        <v>3213</v>
      </c>
      <c r="B546" s="245">
        <v>6.0</v>
      </c>
      <c r="C546" s="246"/>
      <c r="D546" s="247"/>
      <c r="E546" s="245"/>
      <c r="F546" s="245"/>
      <c r="G546" s="245"/>
      <c r="H546" s="248"/>
      <c r="I546" s="262"/>
      <c r="J546" s="245"/>
    </row>
    <row r="547" ht="15.75" customHeight="1">
      <c r="A547" s="244" t="s">
        <v>3213</v>
      </c>
      <c r="B547" s="245">
        <v>7.0</v>
      </c>
      <c r="C547" s="246"/>
      <c r="D547" s="247"/>
      <c r="E547" s="245"/>
      <c r="F547" s="245"/>
      <c r="G547" s="245"/>
      <c r="H547" s="248"/>
      <c r="I547" s="262"/>
      <c r="J547" s="245"/>
    </row>
    <row r="548" ht="15.75" customHeight="1">
      <c r="A548" s="244" t="s">
        <v>3213</v>
      </c>
      <c r="B548" s="245">
        <v>8.0</v>
      </c>
      <c r="C548" s="246"/>
      <c r="D548" s="247"/>
      <c r="E548" s="245"/>
      <c r="F548" s="245"/>
      <c r="G548" s="245"/>
      <c r="H548" s="248"/>
      <c r="I548" s="262"/>
      <c r="J548" s="245"/>
    </row>
    <row r="549" ht="15.75" customHeight="1">
      <c r="A549" s="244" t="s">
        <v>3213</v>
      </c>
      <c r="B549" s="245">
        <v>9.0</v>
      </c>
      <c r="C549" s="246"/>
      <c r="D549" s="247"/>
      <c r="E549" s="245"/>
      <c r="F549" s="245"/>
      <c r="G549" s="245"/>
      <c r="H549" s="248"/>
      <c r="I549" s="262"/>
      <c r="J549" s="245"/>
    </row>
    <row r="550" ht="15.75" customHeight="1">
      <c r="A550" s="244" t="s">
        <v>3213</v>
      </c>
      <c r="B550" s="245">
        <v>10.0</v>
      </c>
      <c r="C550" s="246"/>
      <c r="D550" s="247"/>
      <c r="E550" s="245"/>
      <c r="F550" s="245"/>
      <c r="G550" s="245"/>
      <c r="H550" s="248"/>
      <c r="I550" s="262"/>
      <c r="J550" s="245"/>
    </row>
    <row r="551" ht="15.75" customHeight="1">
      <c r="A551" s="244" t="s">
        <v>3213</v>
      </c>
      <c r="B551" s="245">
        <v>11.0</v>
      </c>
      <c r="C551" s="246"/>
      <c r="D551" s="247"/>
      <c r="E551" s="245"/>
      <c r="F551" s="245"/>
      <c r="G551" s="245"/>
      <c r="H551" s="248"/>
      <c r="I551" s="262"/>
      <c r="J551" s="245"/>
    </row>
    <row r="552" ht="15.75" customHeight="1">
      <c r="A552" s="244" t="s">
        <v>3213</v>
      </c>
      <c r="B552" s="245">
        <v>12.0</v>
      </c>
      <c r="C552" s="246"/>
      <c r="D552" s="247"/>
      <c r="E552" s="245"/>
      <c r="F552" s="245"/>
      <c r="G552" s="245"/>
      <c r="H552" s="248"/>
      <c r="I552" s="262"/>
      <c r="J552" s="245"/>
    </row>
    <row r="553" ht="15.75" customHeight="1">
      <c r="A553" s="244" t="s">
        <v>3213</v>
      </c>
      <c r="B553" s="245">
        <v>13.0</v>
      </c>
      <c r="C553" s="246"/>
      <c r="D553" s="247"/>
      <c r="E553" s="245"/>
      <c r="F553" s="245"/>
      <c r="G553" s="245"/>
      <c r="H553" s="248"/>
      <c r="I553" s="262"/>
      <c r="J553" s="245"/>
    </row>
    <row r="554" ht="15.75" customHeight="1">
      <c r="A554" s="244" t="s">
        <v>3213</v>
      </c>
      <c r="B554" s="245">
        <v>14.0</v>
      </c>
      <c r="C554" s="246"/>
      <c r="D554" s="247"/>
      <c r="E554" s="245"/>
      <c r="F554" s="245"/>
      <c r="G554" s="245"/>
      <c r="H554" s="248"/>
      <c r="I554" s="262"/>
      <c r="J554" s="245"/>
    </row>
    <row r="555" ht="15.75" customHeight="1">
      <c r="A555" s="244" t="s">
        <v>3213</v>
      </c>
      <c r="B555" s="245">
        <v>15.0</v>
      </c>
      <c r="C555" s="246"/>
      <c r="D555" s="247"/>
      <c r="E555" s="245"/>
      <c r="F555" s="245"/>
      <c r="G555" s="245"/>
      <c r="H555" s="248"/>
      <c r="I555" s="262"/>
      <c r="J555" s="245"/>
    </row>
    <row r="556" ht="15.75" customHeight="1">
      <c r="A556" s="244" t="s">
        <v>3213</v>
      </c>
      <c r="B556" s="245">
        <v>16.0</v>
      </c>
      <c r="C556" s="246"/>
      <c r="D556" s="247"/>
      <c r="E556" s="245"/>
      <c r="F556" s="245"/>
      <c r="G556" s="245"/>
      <c r="H556" s="248"/>
      <c r="I556" s="262"/>
      <c r="J556" s="245"/>
    </row>
    <row r="557" ht="15.75" customHeight="1">
      <c r="A557" s="244" t="s">
        <v>3213</v>
      </c>
      <c r="B557" s="245">
        <v>17.0</v>
      </c>
      <c r="C557" s="246"/>
      <c r="D557" s="247"/>
      <c r="E557" s="245"/>
      <c r="F557" s="245"/>
      <c r="G557" s="245"/>
      <c r="H557" s="248"/>
      <c r="I557" s="262"/>
      <c r="J557" s="245"/>
    </row>
    <row r="558" ht="15.75" customHeight="1">
      <c r="A558" s="244" t="s">
        <v>3213</v>
      </c>
      <c r="B558" s="245">
        <v>18.0</v>
      </c>
      <c r="C558" s="246"/>
      <c r="D558" s="247"/>
      <c r="E558" s="245"/>
      <c r="F558" s="245"/>
      <c r="G558" s="245"/>
      <c r="H558" s="248"/>
      <c r="I558" s="262"/>
      <c r="J558" s="245"/>
    </row>
    <row r="559" ht="15.75" customHeight="1">
      <c r="A559" s="244" t="s">
        <v>3213</v>
      </c>
      <c r="B559" s="245">
        <v>19.0</v>
      </c>
      <c r="C559" s="246"/>
      <c r="D559" s="247"/>
      <c r="E559" s="245"/>
      <c r="F559" s="245"/>
      <c r="G559" s="245"/>
      <c r="H559" s="248"/>
      <c r="I559" s="262"/>
      <c r="J559" s="245"/>
    </row>
    <row r="560" ht="15.75" customHeight="1">
      <c r="A560" s="244" t="s">
        <v>3213</v>
      </c>
      <c r="B560" s="245">
        <v>20.0</v>
      </c>
      <c r="C560" s="246"/>
      <c r="D560" s="247"/>
      <c r="E560" s="245"/>
      <c r="F560" s="245"/>
      <c r="G560" s="245"/>
      <c r="H560" s="248"/>
      <c r="I560" s="262"/>
      <c r="J560" s="245"/>
    </row>
    <row r="561" ht="15.75" customHeight="1">
      <c r="A561" s="244" t="s">
        <v>3213</v>
      </c>
      <c r="B561" s="245">
        <v>21.0</v>
      </c>
      <c r="C561" s="246"/>
      <c r="D561" s="247"/>
      <c r="E561" s="245"/>
      <c r="F561" s="245"/>
      <c r="G561" s="245"/>
      <c r="H561" s="248"/>
      <c r="I561" s="262"/>
      <c r="J561" s="245"/>
    </row>
    <row r="562" ht="15.75" customHeight="1">
      <c r="A562" s="244" t="s">
        <v>3213</v>
      </c>
      <c r="B562" s="245">
        <v>22.0</v>
      </c>
      <c r="C562" s="246"/>
      <c r="D562" s="247"/>
      <c r="E562" s="245"/>
      <c r="F562" s="245"/>
      <c r="G562" s="245"/>
      <c r="H562" s="248"/>
      <c r="I562" s="262"/>
      <c r="J562" s="245"/>
    </row>
    <row r="563" ht="15.75" customHeight="1">
      <c r="A563" s="244" t="s">
        <v>3213</v>
      </c>
      <c r="B563" s="245">
        <v>23.0</v>
      </c>
      <c r="C563" s="246"/>
      <c r="D563" s="247"/>
      <c r="E563" s="245"/>
      <c r="F563" s="245"/>
      <c r="G563" s="245"/>
      <c r="H563" s="248"/>
      <c r="I563" s="262"/>
      <c r="J563" s="245"/>
    </row>
    <row r="564" ht="15.75" customHeight="1">
      <c r="A564" s="256"/>
      <c r="B564" s="257"/>
      <c r="C564" s="257"/>
      <c r="D564" s="258"/>
      <c r="E564" s="257"/>
      <c r="F564" s="257"/>
      <c r="G564" s="257"/>
      <c r="H564" s="259"/>
      <c r="I564" s="260"/>
      <c r="J564" s="257"/>
    </row>
    <row r="565" ht="15.75" customHeight="1">
      <c r="A565" s="244" t="s">
        <v>3214</v>
      </c>
      <c r="B565" s="245">
        <v>1.0</v>
      </c>
      <c r="C565" s="246"/>
      <c r="D565" s="247"/>
      <c r="E565" s="245"/>
      <c r="F565" s="245"/>
      <c r="G565" s="245"/>
      <c r="H565" s="248"/>
      <c r="I565" s="262"/>
      <c r="J565" s="245"/>
    </row>
    <row r="566" ht="15.75" customHeight="1">
      <c r="A566" s="244" t="s">
        <v>3214</v>
      </c>
      <c r="B566" s="245">
        <v>2.0</v>
      </c>
      <c r="C566" s="246"/>
      <c r="D566" s="247"/>
      <c r="E566" s="245"/>
      <c r="F566" s="245"/>
      <c r="G566" s="245"/>
      <c r="H566" s="248"/>
      <c r="I566" s="262"/>
      <c r="J566" s="245"/>
    </row>
    <row r="567" ht="15.75" customHeight="1">
      <c r="A567" s="244" t="s">
        <v>3214</v>
      </c>
      <c r="B567" s="245">
        <v>3.0</v>
      </c>
      <c r="C567" s="246"/>
      <c r="D567" s="247"/>
      <c r="E567" s="245"/>
      <c r="F567" s="245"/>
      <c r="G567" s="245"/>
      <c r="H567" s="248"/>
      <c r="I567" s="262"/>
      <c r="J567" s="245"/>
    </row>
    <row r="568" ht="15.75" customHeight="1">
      <c r="A568" s="244" t="s">
        <v>3214</v>
      </c>
      <c r="B568" s="245">
        <v>4.0</v>
      </c>
      <c r="C568" s="246"/>
      <c r="D568" s="247"/>
      <c r="E568" s="245"/>
      <c r="F568" s="245"/>
      <c r="G568" s="245"/>
      <c r="H568" s="248"/>
      <c r="I568" s="262"/>
      <c r="J568" s="245"/>
    </row>
    <row r="569" ht="15.75" customHeight="1">
      <c r="A569" s="244" t="s">
        <v>3214</v>
      </c>
      <c r="B569" s="245">
        <v>5.0</v>
      </c>
      <c r="C569" s="246"/>
      <c r="D569" s="247"/>
      <c r="E569" s="245"/>
      <c r="F569" s="245"/>
      <c r="G569" s="245"/>
      <c r="H569" s="248"/>
      <c r="I569" s="249"/>
      <c r="J569" s="250"/>
    </row>
    <row r="570" ht="15.75" customHeight="1">
      <c r="A570" s="244" t="s">
        <v>3214</v>
      </c>
      <c r="B570" s="245">
        <v>6.0</v>
      </c>
      <c r="C570" s="246"/>
      <c r="D570" s="247"/>
      <c r="E570" s="245"/>
      <c r="F570" s="245"/>
      <c r="G570" s="245"/>
      <c r="H570" s="248"/>
      <c r="I570" s="262"/>
      <c r="J570" s="245"/>
    </row>
    <row r="571" ht="15.75" customHeight="1">
      <c r="A571" s="244" t="s">
        <v>3214</v>
      </c>
      <c r="B571" s="245">
        <v>7.0</v>
      </c>
      <c r="C571" s="246"/>
      <c r="D571" s="247"/>
      <c r="E571" s="245"/>
      <c r="F571" s="245"/>
      <c r="G571" s="245"/>
      <c r="H571" s="248"/>
      <c r="I571" s="262"/>
      <c r="J571" s="245"/>
    </row>
    <row r="572" ht="15.75" customHeight="1">
      <c r="A572" s="244" t="s">
        <v>3214</v>
      </c>
      <c r="B572" s="245">
        <v>8.0</v>
      </c>
      <c r="C572" s="246"/>
      <c r="D572" s="247"/>
      <c r="E572" s="245"/>
      <c r="F572" s="245"/>
      <c r="G572" s="245"/>
      <c r="H572" s="248"/>
      <c r="I572" s="262"/>
      <c r="J572" s="245"/>
    </row>
    <row r="573" ht="15.75" customHeight="1">
      <c r="A573" s="244" t="s">
        <v>3214</v>
      </c>
      <c r="B573" s="245">
        <v>9.0</v>
      </c>
      <c r="C573" s="246"/>
      <c r="D573" s="247"/>
      <c r="E573" s="245"/>
      <c r="F573" s="245"/>
      <c r="G573" s="245"/>
      <c r="H573" s="248"/>
      <c r="I573" s="262"/>
      <c r="J573" s="245"/>
    </row>
    <row r="574" ht="15.75" customHeight="1">
      <c r="A574" s="244" t="s">
        <v>3214</v>
      </c>
      <c r="B574" s="245">
        <v>10.0</v>
      </c>
      <c r="C574" s="246"/>
      <c r="D574" s="247"/>
      <c r="E574" s="245"/>
      <c r="F574" s="245"/>
      <c r="G574" s="245"/>
      <c r="H574" s="248"/>
      <c r="I574" s="262"/>
      <c r="J574" s="245"/>
    </row>
    <row r="575" ht="15.75" customHeight="1">
      <c r="A575" s="244" t="s">
        <v>3214</v>
      </c>
      <c r="B575" s="245">
        <v>11.0</v>
      </c>
      <c r="C575" s="246"/>
      <c r="D575" s="247"/>
      <c r="E575" s="245"/>
      <c r="F575" s="245"/>
      <c r="G575" s="245"/>
      <c r="H575" s="248"/>
      <c r="I575" s="262"/>
      <c r="J575" s="245"/>
    </row>
    <row r="576" ht="15.75" customHeight="1">
      <c r="A576" s="244" t="s">
        <v>3214</v>
      </c>
      <c r="B576" s="245">
        <v>12.0</v>
      </c>
      <c r="C576" s="246"/>
      <c r="D576" s="247"/>
      <c r="E576" s="245"/>
      <c r="F576" s="245"/>
      <c r="G576" s="245"/>
      <c r="H576" s="248"/>
      <c r="I576" s="262"/>
      <c r="J576" s="245"/>
    </row>
    <row r="577" ht="15.75" customHeight="1">
      <c r="A577" s="244" t="s">
        <v>3214</v>
      </c>
      <c r="B577" s="245">
        <v>13.0</v>
      </c>
      <c r="C577" s="246"/>
      <c r="D577" s="247"/>
      <c r="E577" s="245"/>
      <c r="F577" s="245"/>
      <c r="G577" s="245"/>
      <c r="H577" s="248"/>
      <c r="I577" s="262"/>
      <c r="J577" s="245"/>
    </row>
    <row r="578" ht="15.75" customHeight="1">
      <c r="A578" s="244" t="s">
        <v>3214</v>
      </c>
      <c r="B578" s="245">
        <v>14.0</v>
      </c>
      <c r="C578" s="246"/>
      <c r="D578" s="247"/>
      <c r="E578" s="245"/>
      <c r="F578" s="245"/>
      <c r="G578" s="245"/>
      <c r="H578" s="248"/>
      <c r="I578" s="262"/>
      <c r="J578" s="245"/>
    </row>
    <row r="579" ht="15.75" customHeight="1">
      <c r="A579" s="244" t="s">
        <v>3214</v>
      </c>
      <c r="B579" s="245">
        <v>15.0</v>
      </c>
      <c r="C579" s="246"/>
      <c r="D579" s="247"/>
      <c r="E579" s="245"/>
      <c r="F579" s="245"/>
      <c r="G579" s="245"/>
      <c r="H579" s="248"/>
      <c r="I579" s="262"/>
      <c r="J579" s="245"/>
    </row>
    <row r="580" ht="15.75" customHeight="1">
      <c r="A580" s="244" t="s">
        <v>3214</v>
      </c>
      <c r="B580" s="245">
        <v>16.0</v>
      </c>
      <c r="C580" s="246"/>
      <c r="D580" s="247"/>
      <c r="E580" s="245"/>
      <c r="F580" s="245"/>
      <c r="G580" s="245"/>
      <c r="H580" s="248"/>
      <c r="I580" s="262"/>
      <c r="J580" s="245"/>
    </row>
    <row r="581" ht="15.75" customHeight="1">
      <c r="A581" s="244" t="s">
        <v>3214</v>
      </c>
      <c r="B581" s="245">
        <v>17.0</v>
      </c>
      <c r="C581" s="246"/>
      <c r="D581" s="247"/>
      <c r="E581" s="245"/>
      <c r="F581" s="245"/>
      <c r="G581" s="245"/>
      <c r="H581" s="248"/>
      <c r="I581" s="262"/>
      <c r="J581" s="245"/>
    </row>
    <row r="582" ht="15.75" customHeight="1">
      <c r="A582" s="244" t="s">
        <v>3214</v>
      </c>
      <c r="B582" s="245">
        <v>18.0</v>
      </c>
      <c r="C582" s="246"/>
      <c r="D582" s="247"/>
      <c r="E582" s="245"/>
      <c r="F582" s="245"/>
      <c r="G582" s="245"/>
      <c r="H582" s="248"/>
      <c r="I582" s="262"/>
      <c r="J582" s="245"/>
    </row>
    <row r="583" ht="15.75" customHeight="1">
      <c r="A583" s="244" t="s">
        <v>3214</v>
      </c>
      <c r="B583" s="245">
        <v>19.0</v>
      </c>
      <c r="C583" s="246"/>
      <c r="D583" s="247"/>
      <c r="E583" s="245"/>
      <c r="F583" s="245"/>
      <c r="G583" s="245"/>
      <c r="H583" s="248"/>
      <c r="I583" s="262"/>
      <c r="J583" s="245"/>
    </row>
    <row r="584" ht="15.75" customHeight="1">
      <c r="A584" s="244" t="s">
        <v>3214</v>
      </c>
      <c r="B584" s="245">
        <v>20.0</v>
      </c>
      <c r="C584" s="246"/>
      <c r="D584" s="247"/>
      <c r="E584" s="245"/>
      <c r="F584" s="245"/>
      <c r="G584" s="245"/>
      <c r="H584" s="248"/>
      <c r="I584" s="262"/>
      <c r="J584" s="245"/>
    </row>
    <row r="585" ht="15.75" customHeight="1">
      <c r="A585" s="244" t="s">
        <v>3214</v>
      </c>
      <c r="B585" s="245">
        <v>21.0</v>
      </c>
      <c r="C585" s="246"/>
      <c r="D585" s="247"/>
      <c r="E585" s="245"/>
      <c r="F585" s="245"/>
      <c r="G585" s="245"/>
      <c r="H585" s="248"/>
      <c r="I585" s="262"/>
      <c r="J585" s="245"/>
    </row>
    <row r="586" ht="15.75" customHeight="1">
      <c r="A586" s="244" t="s">
        <v>3214</v>
      </c>
      <c r="B586" s="245">
        <v>22.0</v>
      </c>
      <c r="C586" s="246"/>
      <c r="D586" s="247"/>
      <c r="E586" s="245"/>
      <c r="F586" s="245"/>
      <c r="G586" s="245"/>
      <c r="H586" s="248"/>
      <c r="I586" s="262"/>
      <c r="J586" s="245"/>
    </row>
    <row r="587" ht="15.75" customHeight="1">
      <c r="A587" s="244" t="s">
        <v>3214</v>
      </c>
      <c r="B587" s="245">
        <v>23.0</v>
      </c>
      <c r="C587" s="246"/>
      <c r="D587" s="247"/>
      <c r="E587" s="245"/>
      <c r="F587" s="245"/>
      <c r="G587" s="245"/>
      <c r="H587" s="248"/>
      <c r="I587" s="262"/>
      <c r="J587" s="245"/>
    </row>
    <row r="588" ht="15.75" customHeight="1">
      <c r="A588" s="256"/>
      <c r="B588" s="257"/>
      <c r="C588" s="257"/>
      <c r="D588" s="258"/>
      <c r="E588" s="257"/>
      <c r="F588" s="257"/>
      <c r="G588" s="257"/>
      <c r="H588" s="259"/>
      <c r="I588" s="260"/>
      <c r="J588" s="257"/>
    </row>
    <row r="589" ht="15.75" customHeight="1">
      <c r="A589" s="245"/>
      <c r="B589" s="245"/>
      <c r="C589" s="245"/>
      <c r="D589" s="247"/>
      <c r="E589" s="245"/>
      <c r="F589" s="245"/>
      <c r="G589" s="245"/>
      <c r="H589" s="248"/>
      <c r="I589" s="262"/>
      <c r="J589" s="245"/>
    </row>
    <row r="590" ht="15.75" customHeight="1">
      <c r="A590" s="245"/>
      <c r="B590" s="245"/>
      <c r="C590" s="245"/>
      <c r="D590" s="247"/>
      <c r="E590" s="245"/>
      <c r="F590" s="245"/>
      <c r="G590" s="263" t="s">
        <v>3215</v>
      </c>
      <c r="H590" s="263" t="s">
        <v>3216</v>
      </c>
      <c r="I590" s="264" t="s">
        <v>3217</v>
      </c>
      <c r="J590" s="263" t="s">
        <v>3218</v>
      </c>
    </row>
    <row r="591" ht="15.75" customHeight="1">
      <c r="A591" s="245"/>
      <c r="B591" s="245"/>
      <c r="C591" s="245"/>
      <c r="D591" s="247"/>
      <c r="E591" s="245"/>
      <c r="F591" s="245"/>
      <c r="G591" s="245"/>
      <c r="H591" s="248"/>
      <c r="I591" s="262"/>
      <c r="J591" s="245"/>
    </row>
    <row r="592" ht="15.75" customHeight="1">
      <c r="A592" s="237" t="s">
        <v>3491</v>
      </c>
      <c r="B592" s="238"/>
      <c r="C592" s="238"/>
      <c r="D592" s="238"/>
      <c r="E592" s="238"/>
      <c r="F592" s="238"/>
      <c r="G592" s="238"/>
      <c r="H592" s="238"/>
      <c r="I592" s="238"/>
      <c r="J592" s="239"/>
    </row>
    <row r="593" ht="15.75" customHeight="1">
      <c r="A593" s="240" t="s">
        <v>11</v>
      </c>
      <c r="B593" s="240" t="s">
        <v>12</v>
      </c>
      <c r="C593" s="240" t="s">
        <v>3206</v>
      </c>
      <c r="D593" s="241" t="s">
        <v>468</v>
      </c>
      <c r="E593" s="240" t="s">
        <v>3207</v>
      </c>
      <c r="F593" s="240" t="s">
        <v>16</v>
      </c>
      <c r="G593" s="240" t="s">
        <v>3208</v>
      </c>
      <c r="H593" s="242" t="s">
        <v>18</v>
      </c>
      <c r="I593" s="243" t="s">
        <v>3209</v>
      </c>
      <c r="J593" s="240" t="s">
        <v>3210</v>
      </c>
    </row>
    <row r="594" ht="15.75" customHeight="1">
      <c r="A594" s="244" t="s">
        <v>3211</v>
      </c>
      <c r="B594" s="245">
        <v>1.0</v>
      </c>
      <c r="C594" s="246"/>
      <c r="D594" s="247"/>
      <c r="E594" s="245"/>
      <c r="F594" s="245"/>
      <c r="G594" s="245"/>
      <c r="H594" s="248"/>
      <c r="I594" s="249"/>
      <c r="J594" s="250"/>
    </row>
    <row r="595" ht="15.75" customHeight="1">
      <c r="A595" s="244" t="s">
        <v>3211</v>
      </c>
      <c r="B595" s="245">
        <v>2.0</v>
      </c>
      <c r="C595" s="246"/>
      <c r="D595" s="247"/>
      <c r="E595" s="245"/>
      <c r="F595" s="245"/>
      <c r="G595" s="245"/>
      <c r="H595" s="248"/>
      <c r="I595" s="249"/>
      <c r="J595" s="250"/>
    </row>
    <row r="596" ht="15.75" customHeight="1">
      <c r="A596" s="244" t="s">
        <v>3211</v>
      </c>
      <c r="B596" s="245">
        <v>3.0</v>
      </c>
      <c r="C596" s="246"/>
      <c r="D596" s="247"/>
      <c r="E596" s="245"/>
      <c r="F596" s="245"/>
      <c r="G596" s="245"/>
      <c r="H596" s="248"/>
      <c r="I596" s="249"/>
      <c r="J596" s="251"/>
    </row>
    <row r="597" ht="15.75" customHeight="1">
      <c r="A597" s="244" t="s">
        <v>3211</v>
      </c>
      <c r="B597" s="245">
        <v>4.0</v>
      </c>
      <c r="C597" s="246"/>
      <c r="D597" s="247"/>
      <c r="E597" s="245"/>
      <c r="F597" s="245"/>
      <c r="G597" s="245"/>
      <c r="H597" s="248"/>
      <c r="I597" s="249"/>
      <c r="J597" s="251"/>
    </row>
    <row r="598" ht="15.75" customHeight="1">
      <c r="A598" s="244" t="s">
        <v>3211</v>
      </c>
      <c r="B598" s="245">
        <v>5.0</v>
      </c>
      <c r="C598" s="246"/>
      <c r="D598" s="247"/>
      <c r="E598" s="245"/>
      <c r="F598" s="245"/>
      <c r="G598" s="245"/>
      <c r="H598" s="248"/>
      <c r="I598" s="249"/>
      <c r="J598" s="251"/>
    </row>
    <row r="599" ht="15.75" customHeight="1">
      <c r="A599" s="244" t="s">
        <v>3211</v>
      </c>
      <c r="B599" s="245">
        <v>6.0</v>
      </c>
      <c r="C599" s="246"/>
      <c r="D599" s="247"/>
      <c r="E599" s="245"/>
      <c r="F599" s="245"/>
      <c r="G599" s="245"/>
      <c r="H599" s="248"/>
      <c r="I599" s="249"/>
      <c r="J599" s="251"/>
    </row>
    <row r="600" ht="15.75" customHeight="1">
      <c r="A600" s="252" t="s">
        <v>3211</v>
      </c>
      <c r="B600" s="250">
        <v>7.0</v>
      </c>
      <c r="C600" s="250"/>
      <c r="D600" s="250"/>
      <c r="E600" s="250"/>
      <c r="F600" s="250"/>
      <c r="G600" s="250"/>
      <c r="H600" s="253"/>
      <c r="I600" s="249"/>
      <c r="J600" s="250"/>
    </row>
    <row r="601" ht="15.75" customHeight="1">
      <c r="A601" s="252" t="s">
        <v>3211</v>
      </c>
      <c r="B601" s="250">
        <v>8.0</v>
      </c>
      <c r="C601" s="250"/>
      <c r="D601" s="250"/>
      <c r="E601" s="250"/>
      <c r="F601" s="250"/>
      <c r="G601" s="250"/>
      <c r="H601" s="253"/>
      <c r="I601" s="249"/>
      <c r="J601" s="250"/>
    </row>
    <row r="602" ht="15.75" customHeight="1">
      <c r="A602" s="252" t="s">
        <v>3211</v>
      </c>
      <c r="B602" s="250">
        <v>9.0</v>
      </c>
      <c r="C602" s="254"/>
      <c r="D602" s="251"/>
      <c r="E602" s="250"/>
      <c r="F602" s="250"/>
      <c r="G602" s="250"/>
      <c r="H602" s="253"/>
      <c r="I602" s="249"/>
      <c r="J602" s="251"/>
    </row>
    <row r="603" ht="15.75" customHeight="1">
      <c r="A603" s="252" t="s">
        <v>3211</v>
      </c>
      <c r="B603" s="250">
        <v>10.0</v>
      </c>
      <c r="C603" s="254"/>
      <c r="D603" s="251"/>
      <c r="E603" s="250"/>
      <c r="F603" s="250"/>
      <c r="G603" s="250"/>
      <c r="H603" s="253"/>
      <c r="I603" s="249"/>
      <c r="J603" s="251"/>
    </row>
    <row r="604" ht="15.75" customHeight="1">
      <c r="A604" s="252" t="s">
        <v>3211</v>
      </c>
      <c r="B604" s="250">
        <v>11.0</v>
      </c>
      <c r="C604" s="254"/>
      <c r="D604" s="251"/>
      <c r="E604" s="250"/>
      <c r="F604" s="250"/>
      <c r="G604" s="250"/>
      <c r="H604" s="253"/>
      <c r="I604" s="249"/>
      <c r="J604" s="251"/>
    </row>
    <row r="605" ht="15.75" customHeight="1">
      <c r="A605" s="252" t="s">
        <v>3211</v>
      </c>
      <c r="B605" s="250">
        <v>12.0</v>
      </c>
      <c r="C605" s="254"/>
      <c r="D605" s="251"/>
      <c r="E605" s="250"/>
      <c r="F605" s="250"/>
      <c r="G605" s="250"/>
      <c r="H605" s="253"/>
      <c r="I605" s="249"/>
      <c r="J605" s="251"/>
    </row>
    <row r="606" ht="15.75" customHeight="1">
      <c r="A606" s="252" t="s">
        <v>3211</v>
      </c>
      <c r="B606" s="250">
        <v>13.0</v>
      </c>
      <c r="C606" s="254"/>
      <c r="D606" s="251"/>
      <c r="E606" s="250"/>
      <c r="F606" s="250"/>
      <c r="G606" s="250"/>
      <c r="H606" s="253"/>
      <c r="I606" s="249"/>
      <c r="J606" s="251"/>
    </row>
    <row r="607" ht="15.75" customHeight="1">
      <c r="A607" s="252" t="s">
        <v>3211</v>
      </c>
      <c r="B607" s="250">
        <v>14.0</v>
      </c>
      <c r="C607" s="254"/>
      <c r="D607" s="251"/>
      <c r="E607" s="250"/>
      <c r="F607" s="250"/>
      <c r="G607" s="250"/>
      <c r="H607" s="253"/>
      <c r="I607" s="249"/>
      <c r="J607" s="251"/>
    </row>
    <row r="608" ht="15.75" customHeight="1">
      <c r="A608" s="252" t="s">
        <v>3211</v>
      </c>
      <c r="B608" s="250">
        <v>15.0</v>
      </c>
      <c r="C608" s="254"/>
      <c r="D608" s="251"/>
      <c r="E608" s="250"/>
      <c r="F608" s="250"/>
      <c r="G608" s="250"/>
      <c r="H608" s="253"/>
      <c r="I608" s="249"/>
      <c r="J608" s="250"/>
    </row>
    <row r="609" ht="15.75" customHeight="1">
      <c r="A609" s="252" t="s">
        <v>3211</v>
      </c>
      <c r="B609" s="250">
        <v>16.0</v>
      </c>
      <c r="C609" s="254"/>
      <c r="D609" s="251"/>
      <c r="E609" s="250"/>
      <c r="F609" s="250"/>
      <c r="G609" s="250"/>
      <c r="H609" s="253"/>
      <c r="I609" s="249"/>
      <c r="J609" s="250"/>
    </row>
    <row r="610" ht="15.75" customHeight="1">
      <c r="A610" s="252" t="s">
        <v>3211</v>
      </c>
      <c r="B610" s="250">
        <v>17.0</v>
      </c>
      <c r="C610" s="250"/>
      <c r="D610" s="250"/>
      <c r="E610" s="250"/>
      <c r="F610" s="250"/>
      <c r="G610" s="250"/>
      <c r="H610" s="253"/>
      <c r="I610" s="249"/>
      <c r="J610" s="250"/>
    </row>
    <row r="611" ht="15.75" customHeight="1">
      <c r="A611" s="252" t="s">
        <v>3211</v>
      </c>
      <c r="B611" s="250">
        <v>18.0</v>
      </c>
      <c r="C611" s="250"/>
      <c r="D611" s="250"/>
      <c r="E611" s="250"/>
      <c r="F611" s="250"/>
      <c r="G611" s="250"/>
      <c r="H611" s="253"/>
      <c r="I611" s="249"/>
      <c r="J611" s="250"/>
    </row>
    <row r="612" ht="15.75" customHeight="1">
      <c r="A612" s="252" t="s">
        <v>3211</v>
      </c>
      <c r="B612" s="250">
        <v>19.0</v>
      </c>
      <c r="C612" s="253"/>
      <c r="D612" s="251"/>
      <c r="E612" s="250"/>
      <c r="F612" s="250"/>
      <c r="G612" s="250"/>
      <c r="H612" s="253"/>
      <c r="I612" s="249"/>
      <c r="J612" s="250"/>
    </row>
    <row r="613" ht="15.75" customHeight="1">
      <c r="A613" s="252" t="s">
        <v>3211</v>
      </c>
      <c r="B613" s="250">
        <v>20.0</v>
      </c>
      <c r="C613" s="253"/>
      <c r="D613" s="251"/>
      <c r="E613" s="250"/>
      <c r="F613" s="250"/>
      <c r="G613" s="250"/>
      <c r="H613" s="253"/>
      <c r="I613" s="249"/>
      <c r="J613" s="250"/>
    </row>
    <row r="614" ht="15.75" customHeight="1">
      <c r="A614" s="252" t="s">
        <v>3211</v>
      </c>
      <c r="B614" s="250">
        <v>21.0</v>
      </c>
      <c r="C614" s="254"/>
      <c r="D614" s="251"/>
      <c r="E614" s="250"/>
      <c r="F614" s="250"/>
      <c r="G614" s="250"/>
      <c r="H614" s="255"/>
      <c r="I614" s="249"/>
      <c r="J614" s="250"/>
    </row>
    <row r="615" ht="15.75" customHeight="1">
      <c r="A615" s="252" t="s">
        <v>3211</v>
      </c>
      <c r="B615" s="250">
        <v>22.0</v>
      </c>
      <c r="C615" s="254"/>
      <c r="D615" s="251"/>
      <c r="E615" s="250"/>
      <c r="F615" s="250"/>
      <c r="G615" s="250"/>
      <c r="H615" s="255"/>
      <c r="I615" s="249"/>
      <c r="J615" s="250"/>
    </row>
    <row r="616" ht="15.75" customHeight="1">
      <c r="A616" s="252" t="s">
        <v>3211</v>
      </c>
      <c r="B616" s="250">
        <v>23.0</v>
      </c>
      <c r="C616" s="253"/>
      <c r="D616" s="251"/>
      <c r="E616" s="250"/>
      <c r="F616" s="250"/>
      <c r="G616" s="250"/>
      <c r="H616" s="253"/>
      <c r="I616" s="249"/>
      <c r="J616" s="250"/>
    </row>
    <row r="617" ht="15.75" customHeight="1">
      <c r="A617" s="252" t="s">
        <v>3211</v>
      </c>
      <c r="B617" s="250">
        <v>24.0</v>
      </c>
      <c r="C617" s="253"/>
      <c r="D617" s="251"/>
      <c r="E617" s="250"/>
      <c r="F617" s="250"/>
      <c r="G617" s="250"/>
      <c r="H617" s="253"/>
      <c r="I617" s="249"/>
      <c r="J617" s="250"/>
    </row>
    <row r="618" ht="15.75" customHeight="1">
      <c r="A618" s="256"/>
      <c r="B618" s="257"/>
      <c r="C618" s="257"/>
      <c r="D618" s="258"/>
      <c r="E618" s="257"/>
      <c r="F618" s="257"/>
      <c r="G618" s="257"/>
      <c r="H618" s="259"/>
      <c r="I618" s="260"/>
      <c r="J618" s="257"/>
    </row>
    <row r="619" ht="15.75" customHeight="1">
      <c r="A619" s="244" t="s">
        <v>3212</v>
      </c>
      <c r="B619" s="245">
        <v>1.0</v>
      </c>
      <c r="C619" s="246"/>
      <c r="D619" s="247"/>
      <c r="E619" s="245"/>
      <c r="F619" s="245"/>
      <c r="G619" s="245"/>
      <c r="H619" s="248"/>
      <c r="I619" s="261"/>
    </row>
    <row r="620" ht="15.75" customHeight="1">
      <c r="A620" s="244" t="s">
        <v>3212</v>
      </c>
      <c r="B620" s="245">
        <v>3.0</v>
      </c>
      <c r="C620" s="246"/>
      <c r="D620" s="247"/>
      <c r="E620" s="245"/>
      <c r="F620" s="245"/>
      <c r="G620" s="245"/>
      <c r="H620" s="248"/>
      <c r="I620" s="262"/>
      <c r="J620" s="245"/>
    </row>
    <row r="621" ht="15.75" customHeight="1">
      <c r="A621" s="244" t="s">
        <v>3212</v>
      </c>
      <c r="B621" s="245">
        <v>4.0</v>
      </c>
      <c r="C621" s="246"/>
      <c r="D621" s="247"/>
      <c r="E621" s="245"/>
      <c r="F621" s="245"/>
      <c r="G621" s="245"/>
      <c r="H621" s="248"/>
      <c r="I621" s="262"/>
      <c r="J621" s="245"/>
    </row>
    <row r="622" ht="15.75" customHeight="1">
      <c r="A622" s="244" t="s">
        <v>3212</v>
      </c>
      <c r="B622" s="245">
        <v>5.0</v>
      </c>
      <c r="C622" s="246"/>
      <c r="D622" s="247"/>
      <c r="E622" s="245"/>
      <c r="F622" s="245"/>
      <c r="G622" s="245"/>
      <c r="H622" s="248"/>
      <c r="I622" s="262"/>
      <c r="J622" s="245"/>
    </row>
    <row r="623" ht="15.75" customHeight="1">
      <c r="A623" s="244" t="s">
        <v>3212</v>
      </c>
      <c r="B623" s="245">
        <v>6.0</v>
      </c>
      <c r="C623" s="246"/>
      <c r="D623" s="247"/>
      <c r="E623" s="245"/>
      <c r="F623" s="245"/>
      <c r="G623" s="245"/>
      <c r="H623" s="248"/>
      <c r="I623" s="262"/>
      <c r="J623" s="245"/>
    </row>
    <row r="624" ht="15.75" customHeight="1">
      <c r="A624" s="244" t="s">
        <v>3212</v>
      </c>
      <c r="B624" s="245">
        <v>7.0</v>
      </c>
      <c r="C624" s="245"/>
      <c r="D624" s="247"/>
      <c r="E624" s="245"/>
      <c r="F624" s="245"/>
      <c r="G624" s="245"/>
      <c r="H624" s="248"/>
      <c r="I624" s="262"/>
      <c r="J624" s="245"/>
    </row>
    <row r="625" ht="15.75" customHeight="1">
      <c r="A625" s="244" t="s">
        <v>3212</v>
      </c>
      <c r="B625" s="245">
        <v>8.0</v>
      </c>
      <c r="C625" s="245"/>
      <c r="D625" s="247"/>
      <c r="E625" s="245"/>
      <c r="F625" s="245"/>
      <c r="G625" s="245"/>
      <c r="H625" s="248"/>
      <c r="I625" s="262"/>
      <c r="J625" s="245"/>
    </row>
    <row r="626" ht="15.75" customHeight="1">
      <c r="A626" s="244" t="s">
        <v>3212</v>
      </c>
      <c r="B626" s="245">
        <v>9.0</v>
      </c>
      <c r="C626" s="245"/>
      <c r="D626" s="247"/>
      <c r="E626" s="245"/>
      <c r="F626" s="245"/>
      <c r="G626" s="245"/>
      <c r="H626" s="248"/>
      <c r="I626" s="262"/>
      <c r="J626" s="245"/>
    </row>
    <row r="627" ht="15.75" customHeight="1">
      <c r="A627" s="244" t="s">
        <v>3212</v>
      </c>
      <c r="B627" s="245">
        <v>10.0</v>
      </c>
      <c r="C627" s="245"/>
      <c r="D627" s="247"/>
      <c r="E627" s="245"/>
      <c r="F627" s="245"/>
      <c r="G627" s="245"/>
      <c r="H627" s="248"/>
      <c r="I627" s="262"/>
      <c r="J627" s="245"/>
    </row>
    <row r="628" ht="15.75" customHeight="1">
      <c r="A628" s="244" t="s">
        <v>3212</v>
      </c>
      <c r="B628" s="245">
        <v>11.0</v>
      </c>
      <c r="C628" s="245"/>
      <c r="D628" s="247"/>
      <c r="E628" s="245"/>
      <c r="F628" s="245"/>
      <c r="G628" s="245"/>
      <c r="H628" s="248"/>
      <c r="I628" s="262"/>
      <c r="J628" s="245"/>
    </row>
    <row r="629" ht="15.75" customHeight="1">
      <c r="A629" s="244" t="s">
        <v>3212</v>
      </c>
      <c r="B629" s="245">
        <v>12.0</v>
      </c>
      <c r="C629" s="245"/>
      <c r="D629" s="247"/>
      <c r="E629" s="245"/>
      <c r="F629" s="245"/>
      <c r="G629" s="245"/>
      <c r="H629" s="248"/>
      <c r="I629" s="262"/>
      <c r="J629" s="245"/>
    </row>
    <row r="630" ht="15.75" customHeight="1">
      <c r="A630" s="244" t="s">
        <v>3212</v>
      </c>
      <c r="B630" s="245">
        <v>13.0</v>
      </c>
      <c r="C630" s="245"/>
      <c r="D630" s="247"/>
      <c r="E630" s="245"/>
      <c r="F630" s="245"/>
      <c r="G630" s="245"/>
      <c r="H630" s="248"/>
      <c r="I630" s="262"/>
      <c r="J630" s="245"/>
    </row>
    <row r="631" ht="15.75" customHeight="1">
      <c r="A631" s="244" t="s">
        <v>3212</v>
      </c>
      <c r="B631" s="245">
        <v>14.0</v>
      </c>
      <c r="C631" s="245"/>
      <c r="D631" s="247"/>
      <c r="E631" s="245"/>
      <c r="F631" s="245"/>
      <c r="G631" s="245"/>
      <c r="H631" s="248"/>
      <c r="I631" s="262"/>
      <c r="J631" s="245"/>
    </row>
    <row r="632" ht="15.75" customHeight="1">
      <c r="A632" s="244" t="s">
        <v>3212</v>
      </c>
      <c r="B632" s="245">
        <v>15.0</v>
      </c>
      <c r="C632" s="245"/>
      <c r="D632" s="247"/>
      <c r="E632" s="245"/>
      <c r="F632" s="245"/>
      <c r="G632" s="245"/>
      <c r="H632" s="248"/>
      <c r="I632" s="262"/>
      <c r="J632" s="245"/>
    </row>
    <row r="633" ht="15.75" customHeight="1">
      <c r="A633" s="244" t="s">
        <v>3212</v>
      </c>
      <c r="B633" s="245">
        <v>16.0</v>
      </c>
      <c r="C633" s="245"/>
      <c r="D633" s="247"/>
      <c r="E633" s="245"/>
      <c r="F633" s="245"/>
      <c r="G633" s="245"/>
      <c r="H633" s="248"/>
      <c r="I633" s="262"/>
      <c r="J633" s="245"/>
    </row>
    <row r="634" ht="15.75" customHeight="1">
      <c r="A634" s="244" t="s">
        <v>3212</v>
      </c>
      <c r="B634" s="245">
        <v>17.0</v>
      </c>
      <c r="C634" s="245"/>
      <c r="D634" s="247"/>
      <c r="E634" s="245"/>
      <c r="F634" s="245"/>
      <c r="G634" s="245"/>
      <c r="H634" s="248"/>
      <c r="I634" s="261"/>
    </row>
    <row r="635" ht="15.75" customHeight="1">
      <c r="A635" s="244" t="s">
        <v>3212</v>
      </c>
      <c r="B635" s="245">
        <v>18.0</v>
      </c>
      <c r="C635" s="245"/>
      <c r="D635" s="247"/>
      <c r="E635" s="245"/>
      <c r="F635" s="245"/>
      <c r="G635" s="245"/>
      <c r="H635" s="248"/>
      <c r="I635" s="261"/>
      <c r="J635" s="245"/>
    </row>
    <row r="636" ht="15.75" customHeight="1">
      <c r="A636" s="244" t="s">
        <v>3212</v>
      </c>
      <c r="B636" s="245">
        <v>19.0</v>
      </c>
      <c r="C636" s="245"/>
      <c r="D636" s="247"/>
      <c r="E636" s="245"/>
      <c r="F636" s="245"/>
      <c r="G636" s="245"/>
      <c r="H636" s="248"/>
      <c r="I636" s="262"/>
      <c r="J636" s="245"/>
    </row>
    <row r="637" ht="15.75" customHeight="1">
      <c r="A637" s="244" t="s">
        <v>3212</v>
      </c>
      <c r="B637" s="245">
        <v>20.0</v>
      </c>
      <c r="C637" s="245"/>
      <c r="D637" s="247"/>
      <c r="E637" s="245"/>
      <c r="F637" s="245"/>
      <c r="G637" s="245"/>
      <c r="H637" s="248"/>
      <c r="I637" s="262"/>
      <c r="J637" s="245"/>
    </row>
    <row r="638" ht="15.75" customHeight="1">
      <c r="A638" s="244" t="s">
        <v>3212</v>
      </c>
      <c r="B638" s="245">
        <v>21.0</v>
      </c>
      <c r="C638" s="245"/>
      <c r="D638" s="247"/>
      <c r="E638" s="245"/>
      <c r="F638" s="245"/>
      <c r="G638" s="245"/>
      <c r="H638" s="248"/>
      <c r="I638" s="261"/>
      <c r="J638" s="245"/>
    </row>
    <row r="639" ht="15.75" customHeight="1">
      <c r="A639" s="244" t="s">
        <v>3212</v>
      </c>
      <c r="B639" s="245">
        <v>22.0</v>
      </c>
      <c r="C639" s="245"/>
      <c r="D639" s="247"/>
      <c r="E639" s="245"/>
      <c r="F639" s="245"/>
      <c r="G639" s="245"/>
      <c r="H639" s="248"/>
      <c r="I639" s="261"/>
      <c r="J639" s="245"/>
    </row>
    <row r="640" ht="15.75" customHeight="1">
      <c r="A640" s="244" t="s">
        <v>3212</v>
      </c>
      <c r="B640" s="245">
        <v>23.0</v>
      </c>
      <c r="C640" s="245"/>
      <c r="D640" s="247"/>
      <c r="E640" s="245"/>
      <c r="F640" s="245"/>
      <c r="G640" s="245"/>
      <c r="H640" s="248"/>
      <c r="I640" s="262"/>
      <c r="J640" s="245"/>
    </row>
    <row r="641" ht="15.75" customHeight="1">
      <c r="A641" s="244" t="s">
        <v>3212</v>
      </c>
      <c r="B641" s="245">
        <v>24.0</v>
      </c>
      <c r="C641" s="245"/>
      <c r="D641" s="247"/>
      <c r="E641" s="245"/>
      <c r="F641" s="245"/>
      <c r="G641" s="245"/>
      <c r="H641" s="248"/>
      <c r="I641" s="262"/>
      <c r="J641" s="245"/>
    </row>
    <row r="642" ht="15.75" customHeight="1">
      <c r="A642" s="256"/>
      <c r="B642" s="257"/>
      <c r="C642" s="257"/>
      <c r="D642" s="258"/>
      <c r="E642" s="257"/>
      <c r="F642" s="257"/>
      <c r="G642" s="257"/>
      <c r="H642" s="259"/>
      <c r="I642" s="260"/>
      <c r="J642" s="257"/>
    </row>
    <row r="643" ht="15.75" customHeight="1">
      <c r="A643" s="244" t="s">
        <v>3213</v>
      </c>
      <c r="B643" s="245">
        <v>1.0</v>
      </c>
      <c r="C643" s="246"/>
      <c r="D643" s="247"/>
      <c r="E643" s="245"/>
      <c r="F643" s="245"/>
      <c r="G643" s="245"/>
      <c r="H643" s="248"/>
      <c r="I643" s="262"/>
      <c r="J643" s="245"/>
    </row>
    <row r="644" ht="15.75" customHeight="1">
      <c r="A644" s="244" t="s">
        <v>3213</v>
      </c>
      <c r="B644" s="245">
        <v>2.0</v>
      </c>
      <c r="C644" s="246"/>
      <c r="D644" s="247"/>
      <c r="E644" s="245"/>
      <c r="F644" s="245"/>
      <c r="G644" s="245"/>
      <c r="H644" s="248"/>
      <c r="I644" s="262"/>
      <c r="J644" s="245"/>
    </row>
    <row r="645" ht="15.75" customHeight="1">
      <c r="A645" s="244" t="s">
        <v>3213</v>
      </c>
      <c r="B645" s="245">
        <v>3.0</v>
      </c>
      <c r="C645" s="246"/>
      <c r="D645" s="247"/>
      <c r="E645" s="245"/>
      <c r="F645" s="245"/>
      <c r="G645" s="245"/>
      <c r="H645" s="248"/>
      <c r="I645" s="262"/>
      <c r="J645" s="245"/>
    </row>
    <row r="646" ht="15.75" customHeight="1">
      <c r="A646" s="244" t="s">
        <v>3213</v>
      </c>
      <c r="B646" s="245">
        <v>4.0</v>
      </c>
      <c r="C646" s="246"/>
      <c r="D646" s="247"/>
      <c r="E646" s="245"/>
      <c r="F646" s="245"/>
      <c r="G646" s="245"/>
      <c r="H646" s="248"/>
      <c r="I646" s="262"/>
      <c r="J646" s="245"/>
    </row>
    <row r="647" ht="15.75" customHeight="1">
      <c r="A647" s="244" t="s">
        <v>3213</v>
      </c>
      <c r="B647" s="245">
        <v>5.0</v>
      </c>
      <c r="C647" s="246"/>
      <c r="D647" s="247"/>
      <c r="E647" s="245"/>
      <c r="F647" s="245"/>
      <c r="G647" s="245"/>
      <c r="H647" s="248"/>
      <c r="I647" s="262"/>
      <c r="J647" s="245"/>
    </row>
    <row r="648" ht="15.75" customHeight="1">
      <c r="A648" s="244" t="s">
        <v>3213</v>
      </c>
      <c r="B648" s="245">
        <v>6.0</v>
      </c>
      <c r="C648" s="246"/>
      <c r="D648" s="247"/>
      <c r="E648" s="245"/>
      <c r="F648" s="245"/>
      <c r="G648" s="245"/>
      <c r="H648" s="248"/>
      <c r="I648" s="262"/>
      <c r="J648" s="245"/>
    </row>
    <row r="649" ht="15.75" customHeight="1">
      <c r="A649" s="244" t="s">
        <v>3213</v>
      </c>
      <c r="B649" s="245">
        <v>7.0</v>
      </c>
      <c r="C649" s="246"/>
      <c r="D649" s="247"/>
      <c r="E649" s="245"/>
      <c r="F649" s="245"/>
      <c r="G649" s="245"/>
      <c r="H649" s="248"/>
      <c r="I649" s="262"/>
      <c r="J649" s="245"/>
    </row>
    <row r="650" ht="15.75" customHeight="1">
      <c r="A650" s="244" t="s">
        <v>3213</v>
      </c>
      <c r="B650" s="245">
        <v>8.0</v>
      </c>
      <c r="C650" s="246"/>
      <c r="D650" s="247"/>
      <c r="E650" s="245"/>
      <c r="F650" s="245"/>
      <c r="G650" s="245"/>
      <c r="H650" s="248"/>
      <c r="I650" s="262"/>
      <c r="J650" s="245"/>
    </row>
    <row r="651" ht="15.75" customHeight="1">
      <c r="A651" s="244" t="s">
        <v>3213</v>
      </c>
      <c r="B651" s="245">
        <v>9.0</v>
      </c>
      <c r="C651" s="246"/>
      <c r="D651" s="247"/>
      <c r="E651" s="245"/>
      <c r="F651" s="245"/>
      <c r="G651" s="245"/>
      <c r="H651" s="248"/>
      <c r="I651" s="262"/>
      <c r="J651" s="245"/>
    </row>
    <row r="652" ht="15.75" customHeight="1">
      <c r="A652" s="244" t="s">
        <v>3213</v>
      </c>
      <c r="B652" s="245">
        <v>10.0</v>
      </c>
      <c r="C652" s="246"/>
      <c r="D652" s="247"/>
      <c r="E652" s="245"/>
      <c r="F652" s="245"/>
      <c r="G652" s="245"/>
      <c r="H652" s="248"/>
      <c r="I652" s="262"/>
      <c r="J652" s="245"/>
    </row>
    <row r="653" ht="15.75" customHeight="1">
      <c r="A653" s="244" t="s">
        <v>3213</v>
      </c>
      <c r="B653" s="245">
        <v>11.0</v>
      </c>
      <c r="C653" s="246"/>
      <c r="D653" s="247"/>
      <c r="E653" s="245"/>
      <c r="F653" s="245"/>
      <c r="G653" s="245"/>
      <c r="H653" s="248"/>
      <c r="I653" s="262"/>
      <c r="J653" s="245"/>
    </row>
    <row r="654" ht="15.75" customHeight="1">
      <c r="A654" s="244" t="s">
        <v>3213</v>
      </c>
      <c r="B654" s="245">
        <v>12.0</v>
      </c>
      <c r="C654" s="246"/>
      <c r="D654" s="247"/>
      <c r="E654" s="245"/>
      <c r="F654" s="245"/>
      <c r="G654" s="245"/>
      <c r="H654" s="248"/>
      <c r="I654" s="262"/>
      <c r="J654" s="245"/>
    </row>
    <row r="655" ht="15.75" customHeight="1">
      <c r="A655" s="244" t="s">
        <v>3213</v>
      </c>
      <c r="B655" s="245">
        <v>13.0</v>
      </c>
      <c r="C655" s="246"/>
      <c r="D655" s="247"/>
      <c r="E655" s="245"/>
      <c r="F655" s="245"/>
      <c r="G655" s="245"/>
      <c r="H655" s="248"/>
      <c r="I655" s="262"/>
      <c r="J655" s="245"/>
    </row>
    <row r="656" ht="15.75" customHeight="1">
      <c r="A656" s="244" t="s">
        <v>3213</v>
      </c>
      <c r="B656" s="245">
        <v>14.0</v>
      </c>
      <c r="C656" s="246"/>
      <c r="D656" s="247"/>
      <c r="E656" s="245"/>
      <c r="F656" s="245"/>
      <c r="G656" s="245"/>
      <c r="H656" s="248"/>
      <c r="I656" s="262"/>
      <c r="J656" s="245"/>
    </row>
    <row r="657" ht="15.75" customHeight="1">
      <c r="A657" s="244" t="s">
        <v>3213</v>
      </c>
      <c r="B657" s="245">
        <v>15.0</v>
      </c>
      <c r="C657" s="246"/>
      <c r="D657" s="247"/>
      <c r="E657" s="245"/>
      <c r="F657" s="245"/>
      <c r="G657" s="245"/>
      <c r="H657" s="248"/>
      <c r="I657" s="262"/>
      <c r="J657" s="245"/>
    </row>
    <row r="658" ht="15.75" customHeight="1">
      <c r="A658" s="244" t="s">
        <v>3213</v>
      </c>
      <c r="B658" s="245">
        <v>16.0</v>
      </c>
      <c r="C658" s="246"/>
      <c r="D658" s="247"/>
      <c r="E658" s="245"/>
      <c r="F658" s="245"/>
      <c r="G658" s="245"/>
      <c r="H658" s="248"/>
      <c r="I658" s="262"/>
      <c r="J658" s="245"/>
    </row>
    <row r="659" ht="15.75" customHeight="1">
      <c r="A659" s="244" t="s">
        <v>3213</v>
      </c>
      <c r="B659" s="245">
        <v>17.0</v>
      </c>
      <c r="C659" s="246"/>
      <c r="D659" s="247"/>
      <c r="E659" s="245"/>
      <c r="F659" s="245"/>
      <c r="G659" s="245"/>
      <c r="H659" s="248"/>
      <c r="I659" s="262"/>
      <c r="J659" s="245"/>
    </row>
    <row r="660" ht="15.75" customHeight="1">
      <c r="A660" s="244" t="s">
        <v>3213</v>
      </c>
      <c r="B660" s="245">
        <v>18.0</v>
      </c>
      <c r="C660" s="246"/>
      <c r="D660" s="247"/>
      <c r="E660" s="245"/>
      <c r="F660" s="245"/>
      <c r="G660" s="245"/>
      <c r="H660" s="248"/>
      <c r="I660" s="262"/>
      <c r="J660" s="245"/>
    </row>
    <row r="661" ht="15.75" customHeight="1">
      <c r="A661" s="244" t="s">
        <v>3213</v>
      </c>
      <c r="B661" s="245">
        <v>19.0</v>
      </c>
      <c r="C661" s="246"/>
      <c r="D661" s="247"/>
      <c r="E661" s="245"/>
      <c r="F661" s="245"/>
      <c r="G661" s="245"/>
      <c r="H661" s="248"/>
      <c r="I661" s="262"/>
      <c r="J661" s="245"/>
    </row>
    <row r="662" ht="15.75" customHeight="1">
      <c r="A662" s="244" t="s">
        <v>3213</v>
      </c>
      <c r="B662" s="245">
        <v>20.0</v>
      </c>
      <c r="C662" s="246"/>
      <c r="D662" s="247"/>
      <c r="E662" s="245"/>
      <c r="F662" s="245"/>
      <c r="G662" s="245"/>
      <c r="H662" s="248"/>
      <c r="I662" s="262"/>
      <c r="J662" s="245"/>
    </row>
    <row r="663" ht="15.75" customHeight="1">
      <c r="A663" s="244" t="s">
        <v>3213</v>
      </c>
      <c r="B663" s="245">
        <v>21.0</v>
      </c>
      <c r="C663" s="246"/>
      <c r="D663" s="247"/>
      <c r="E663" s="245"/>
      <c r="F663" s="245"/>
      <c r="G663" s="245"/>
      <c r="H663" s="248"/>
      <c r="I663" s="262"/>
      <c r="J663" s="245"/>
    </row>
    <row r="664" ht="15.75" customHeight="1">
      <c r="A664" s="244" t="s">
        <v>3213</v>
      </c>
      <c r="B664" s="245">
        <v>22.0</v>
      </c>
      <c r="C664" s="246"/>
      <c r="D664" s="247"/>
      <c r="E664" s="245"/>
      <c r="F664" s="245"/>
      <c r="G664" s="245"/>
      <c r="H664" s="248"/>
      <c r="I664" s="262"/>
      <c r="J664" s="245"/>
    </row>
    <row r="665" ht="15.75" customHeight="1">
      <c r="A665" s="244" t="s">
        <v>3213</v>
      </c>
      <c r="B665" s="245">
        <v>23.0</v>
      </c>
      <c r="C665" s="246"/>
      <c r="D665" s="247"/>
      <c r="E665" s="245"/>
      <c r="F665" s="245"/>
      <c r="G665" s="245"/>
      <c r="H665" s="248"/>
      <c r="I665" s="262"/>
      <c r="J665" s="245"/>
    </row>
    <row r="666" ht="15.75" customHeight="1">
      <c r="A666" s="256"/>
      <c r="B666" s="257"/>
      <c r="C666" s="257"/>
      <c r="D666" s="258"/>
      <c r="E666" s="257"/>
      <c r="F666" s="257"/>
      <c r="G666" s="257"/>
      <c r="H666" s="259"/>
      <c r="I666" s="260"/>
      <c r="J666" s="257"/>
    </row>
    <row r="667" ht="15.75" customHeight="1">
      <c r="A667" s="244" t="s">
        <v>3214</v>
      </c>
      <c r="B667" s="245">
        <v>1.0</v>
      </c>
      <c r="C667" s="246"/>
      <c r="D667" s="247"/>
      <c r="E667" s="245"/>
      <c r="F667" s="245"/>
      <c r="G667" s="245"/>
      <c r="H667" s="248"/>
      <c r="I667" s="262"/>
      <c r="J667" s="245"/>
    </row>
    <row r="668" ht="15.75" customHeight="1">
      <c r="A668" s="244" t="s">
        <v>3214</v>
      </c>
      <c r="B668" s="245">
        <v>2.0</v>
      </c>
      <c r="C668" s="246"/>
      <c r="D668" s="247"/>
      <c r="E668" s="245"/>
      <c r="F668" s="245"/>
      <c r="G668" s="245"/>
      <c r="H668" s="248"/>
      <c r="I668" s="262"/>
      <c r="J668" s="245"/>
    </row>
    <row r="669" ht="15.75" customHeight="1">
      <c r="A669" s="244" t="s">
        <v>3214</v>
      </c>
      <c r="B669" s="245">
        <v>3.0</v>
      </c>
      <c r="C669" s="246"/>
      <c r="D669" s="247"/>
      <c r="E669" s="245"/>
      <c r="F669" s="245"/>
      <c r="G669" s="245"/>
      <c r="H669" s="248"/>
      <c r="I669" s="262"/>
      <c r="J669" s="245"/>
    </row>
    <row r="670" ht="15.75" customHeight="1">
      <c r="A670" s="244" t="s">
        <v>3214</v>
      </c>
      <c r="B670" s="245">
        <v>4.0</v>
      </c>
      <c r="C670" s="246"/>
      <c r="D670" s="247"/>
      <c r="E670" s="245"/>
      <c r="F670" s="245"/>
      <c r="G670" s="245"/>
      <c r="H670" s="248"/>
      <c r="I670" s="262"/>
      <c r="J670" s="245"/>
    </row>
    <row r="671" ht="15.75" customHeight="1">
      <c r="A671" s="244" t="s">
        <v>3214</v>
      </c>
      <c r="B671" s="245">
        <v>5.0</v>
      </c>
      <c r="C671" s="246"/>
      <c r="D671" s="247"/>
      <c r="E671" s="245"/>
      <c r="F671" s="245"/>
      <c r="G671" s="245"/>
      <c r="H671" s="248"/>
      <c r="I671" s="249"/>
      <c r="J671" s="250"/>
    </row>
    <row r="672" ht="15.75" customHeight="1">
      <c r="A672" s="244" t="s">
        <v>3214</v>
      </c>
      <c r="B672" s="245">
        <v>6.0</v>
      </c>
      <c r="C672" s="246"/>
      <c r="D672" s="247"/>
      <c r="E672" s="245"/>
      <c r="F672" s="245"/>
      <c r="G672" s="245"/>
      <c r="H672" s="248"/>
      <c r="I672" s="262"/>
      <c r="J672" s="245"/>
    </row>
    <row r="673" ht="15.75" customHeight="1">
      <c r="A673" s="244" t="s">
        <v>3214</v>
      </c>
      <c r="B673" s="245">
        <v>7.0</v>
      </c>
      <c r="C673" s="246"/>
      <c r="D673" s="247"/>
      <c r="E673" s="245"/>
      <c r="F673" s="245"/>
      <c r="G673" s="245"/>
      <c r="H673" s="248"/>
      <c r="I673" s="262"/>
      <c r="J673" s="245"/>
    </row>
    <row r="674" ht="15.75" customHeight="1">
      <c r="A674" s="244" t="s">
        <v>3214</v>
      </c>
      <c r="B674" s="245">
        <v>8.0</v>
      </c>
      <c r="C674" s="246"/>
      <c r="D674" s="247"/>
      <c r="E674" s="245"/>
      <c r="F674" s="245"/>
      <c r="G674" s="245"/>
      <c r="H674" s="248"/>
      <c r="I674" s="262"/>
      <c r="J674" s="245"/>
    </row>
    <row r="675" ht="15.75" customHeight="1">
      <c r="A675" s="244" t="s">
        <v>3214</v>
      </c>
      <c r="B675" s="245">
        <v>9.0</v>
      </c>
      <c r="C675" s="246"/>
      <c r="D675" s="247"/>
      <c r="E675" s="245"/>
      <c r="F675" s="245"/>
      <c r="G675" s="245"/>
      <c r="H675" s="248"/>
      <c r="I675" s="262"/>
      <c r="J675" s="245"/>
    </row>
    <row r="676" ht="15.75" customHeight="1">
      <c r="A676" s="244" t="s">
        <v>3214</v>
      </c>
      <c r="B676" s="245">
        <v>10.0</v>
      </c>
      <c r="C676" s="246"/>
      <c r="D676" s="247"/>
      <c r="E676" s="245"/>
      <c r="F676" s="245"/>
      <c r="G676" s="245"/>
      <c r="H676" s="248"/>
      <c r="I676" s="262"/>
      <c r="J676" s="245"/>
    </row>
    <row r="677" ht="15.75" customHeight="1">
      <c r="A677" s="244" t="s">
        <v>3214</v>
      </c>
      <c r="B677" s="245">
        <v>11.0</v>
      </c>
      <c r="C677" s="246"/>
      <c r="D677" s="247"/>
      <c r="E677" s="245"/>
      <c r="F677" s="245"/>
      <c r="G677" s="245"/>
      <c r="H677" s="248"/>
      <c r="I677" s="262"/>
      <c r="J677" s="245"/>
    </row>
    <row r="678" ht="15.75" customHeight="1">
      <c r="A678" s="244" t="s">
        <v>3214</v>
      </c>
      <c r="B678" s="245">
        <v>12.0</v>
      </c>
      <c r="C678" s="246"/>
      <c r="D678" s="247"/>
      <c r="E678" s="245"/>
      <c r="F678" s="245"/>
      <c r="G678" s="245"/>
      <c r="H678" s="248"/>
      <c r="I678" s="262"/>
      <c r="J678" s="245"/>
    </row>
    <row r="679" ht="15.75" customHeight="1">
      <c r="A679" s="244" t="s">
        <v>3214</v>
      </c>
      <c r="B679" s="245">
        <v>13.0</v>
      </c>
      <c r="C679" s="246"/>
      <c r="D679" s="247"/>
      <c r="E679" s="245"/>
      <c r="F679" s="245"/>
      <c r="G679" s="245"/>
      <c r="H679" s="248"/>
      <c r="I679" s="262"/>
      <c r="J679" s="245"/>
    </row>
    <row r="680" ht="15.75" customHeight="1">
      <c r="A680" s="244" t="s">
        <v>3214</v>
      </c>
      <c r="B680" s="245">
        <v>14.0</v>
      </c>
      <c r="C680" s="246"/>
      <c r="D680" s="247"/>
      <c r="E680" s="245"/>
      <c r="F680" s="245"/>
      <c r="G680" s="245"/>
      <c r="H680" s="248"/>
      <c r="I680" s="262"/>
      <c r="J680" s="245"/>
    </row>
    <row r="681" ht="15.75" customHeight="1">
      <c r="A681" s="244" t="s">
        <v>3214</v>
      </c>
      <c r="B681" s="245">
        <v>15.0</v>
      </c>
      <c r="C681" s="246"/>
      <c r="D681" s="247"/>
      <c r="E681" s="245"/>
      <c r="F681" s="245"/>
      <c r="G681" s="245"/>
      <c r="H681" s="248"/>
      <c r="I681" s="262"/>
      <c r="J681" s="245"/>
    </row>
    <row r="682" ht="15.75" customHeight="1">
      <c r="A682" s="244" t="s">
        <v>3214</v>
      </c>
      <c r="B682" s="245">
        <v>16.0</v>
      </c>
      <c r="C682" s="246"/>
      <c r="D682" s="247"/>
      <c r="E682" s="245"/>
      <c r="F682" s="245"/>
      <c r="G682" s="245"/>
      <c r="H682" s="248"/>
      <c r="I682" s="262"/>
      <c r="J682" s="245"/>
    </row>
    <row r="683" ht="15.75" customHeight="1">
      <c r="A683" s="244" t="s">
        <v>3214</v>
      </c>
      <c r="B683" s="245">
        <v>17.0</v>
      </c>
      <c r="C683" s="246"/>
      <c r="D683" s="247"/>
      <c r="E683" s="245"/>
      <c r="F683" s="245"/>
      <c r="G683" s="245"/>
      <c r="H683" s="248"/>
      <c r="I683" s="262"/>
      <c r="J683" s="245"/>
    </row>
    <row r="684" ht="15.75" customHeight="1">
      <c r="A684" s="244" t="s">
        <v>3214</v>
      </c>
      <c r="B684" s="245">
        <v>18.0</v>
      </c>
      <c r="C684" s="246"/>
      <c r="D684" s="247"/>
      <c r="E684" s="245"/>
      <c r="F684" s="245"/>
      <c r="G684" s="245"/>
      <c r="H684" s="248"/>
      <c r="I684" s="262"/>
      <c r="J684" s="245"/>
    </row>
    <row r="685" ht="15.75" customHeight="1">
      <c r="A685" s="244" t="s">
        <v>3214</v>
      </c>
      <c r="B685" s="245">
        <v>19.0</v>
      </c>
      <c r="C685" s="246"/>
      <c r="D685" s="247"/>
      <c r="E685" s="245"/>
      <c r="F685" s="245"/>
      <c r="G685" s="245"/>
      <c r="H685" s="248"/>
      <c r="I685" s="262"/>
      <c r="J685" s="245"/>
    </row>
    <row r="686" ht="15.75" customHeight="1">
      <c r="A686" s="244" t="s">
        <v>3214</v>
      </c>
      <c r="B686" s="245">
        <v>20.0</v>
      </c>
      <c r="C686" s="246"/>
      <c r="D686" s="247"/>
      <c r="E686" s="245"/>
      <c r="F686" s="245"/>
      <c r="G686" s="245"/>
      <c r="H686" s="248"/>
      <c r="I686" s="262"/>
      <c r="J686" s="245"/>
    </row>
    <row r="687" ht="15.75" customHeight="1">
      <c r="A687" s="244" t="s">
        <v>3214</v>
      </c>
      <c r="B687" s="245">
        <v>21.0</v>
      </c>
      <c r="C687" s="246"/>
      <c r="D687" s="247"/>
      <c r="E687" s="245"/>
      <c r="F687" s="245"/>
      <c r="G687" s="245"/>
      <c r="H687" s="248"/>
      <c r="I687" s="262"/>
      <c r="J687" s="245"/>
    </row>
    <row r="688" ht="15.75" customHeight="1">
      <c r="A688" s="244" t="s">
        <v>3214</v>
      </c>
      <c r="B688" s="245">
        <v>22.0</v>
      </c>
      <c r="C688" s="246"/>
      <c r="D688" s="247"/>
      <c r="E688" s="245"/>
      <c r="F688" s="245"/>
      <c r="G688" s="245"/>
      <c r="H688" s="248"/>
      <c r="I688" s="262"/>
      <c r="J688" s="245"/>
    </row>
    <row r="689" ht="15.75" customHeight="1">
      <c r="A689" s="244" t="s">
        <v>3214</v>
      </c>
      <c r="B689" s="245">
        <v>23.0</v>
      </c>
      <c r="C689" s="246"/>
      <c r="D689" s="247"/>
      <c r="E689" s="245"/>
      <c r="F689" s="245"/>
      <c r="G689" s="245"/>
      <c r="H689" s="248"/>
      <c r="I689" s="262"/>
      <c r="J689" s="245"/>
    </row>
    <row r="690" ht="15.75" customHeight="1">
      <c r="A690" s="256"/>
      <c r="B690" s="257"/>
      <c r="C690" s="257"/>
      <c r="D690" s="258"/>
      <c r="E690" s="257"/>
      <c r="F690" s="257"/>
      <c r="G690" s="257"/>
      <c r="H690" s="259"/>
      <c r="I690" s="260"/>
      <c r="J690" s="257"/>
    </row>
    <row r="691" ht="15.75" customHeight="1">
      <c r="A691" s="245"/>
      <c r="B691" s="245"/>
      <c r="C691" s="245"/>
      <c r="D691" s="247"/>
      <c r="E691" s="245"/>
      <c r="F691" s="245"/>
      <c r="G691" s="245"/>
      <c r="H691" s="248"/>
      <c r="I691" s="262"/>
      <c r="J691" s="245"/>
    </row>
    <row r="692" ht="15.75" customHeight="1">
      <c r="A692" s="245"/>
      <c r="B692" s="245"/>
      <c r="C692" s="245"/>
      <c r="D692" s="247"/>
      <c r="E692" s="245"/>
      <c r="F692" s="245"/>
      <c r="G692" s="263" t="s">
        <v>3215</v>
      </c>
      <c r="H692" s="263" t="s">
        <v>3216</v>
      </c>
      <c r="I692" s="264" t="s">
        <v>3217</v>
      </c>
      <c r="J692" s="263" t="s">
        <v>3218</v>
      </c>
    </row>
    <row r="693" ht="15.75" customHeight="1">
      <c r="A693" s="245"/>
      <c r="B693" s="245"/>
      <c r="C693" s="245"/>
      <c r="D693" s="247"/>
      <c r="E693" s="245"/>
      <c r="F693" s="245"/>
      <c r="G693" s="245"/>
      <c r="H693" s="248"/>
      <c r="I693" s="262"/>
      <c r="J693" s="245"/>
    </row>
    <row r="694" ht="15.75" customHeight="1">
      <c r="A694" s="237" t="s">
        <v>3492</v>
      </c>
      <c r="B694" s="238"/>
      <c r="C694" s="238"/>
      <c r="D694" s="238"/>
      <c r="E694" s="238"/>
      <c r="F694" s="238"/>
      <c r="G694" s="238"/>
      <c r="H694" s="238"/>
      <c r="I694" s="238"/>
      <c r="J694" s="239"/>
    </row>
    <row r="695" ht="15.75" customHeight="1">
      <c r="A695" s="240" t="s">
        <v>11</v>
      </c>
      <c r="B695" s="240" t="s">
        <v>12</v>
      </c>
      <c r="C695" s="240" t="s">
        <v>3206</v>
      </c>
      <c r="D695" s="241" t="s">
        <v>468</v>
      </c>
      <c r="E695" s="240" t="s">
        <v>3207</v>
      </c>
      <c r="F695" s="240" t="s">
        <v>16</v>
      </c>
      <c r="G695" s="240" t="s">
        <v>3208</v>
      </c>
      <c r="H695" s="242" t="s">
        <v>18</v>
      </c>
      <c r="I695" s="243" t="s">
        <v>3209</v>
      </c>
      <c r="J695" s="240" t="s">
        <v>3210</v>
      </c>
    </row>
    <row r="696" ht="15.75" customHeight="1">
      <c r="A696" s="244" t="s">
        <v>3211</v>
      </c>
      <c r="B696" s="245">
        <v>1.0</v>
      </c>
      <c r="C696" s="246"/>
      <c r="D696" s="247"/>
      <c r="E696" s="245"/>
      <c r="F696" s="245"/>
      <c r="G696" s="245"/>
      <c r="H696" s="248"/>
      <c r="I696" s="249"/>
      <c r="J696" s="250"/>
    </row>
    <row r="697" ht="15.75" customHeight="1">
      <c r="A697" s="244" t="s">
        <v>3211</v>
      </c>
      <c r="B697" s="245">
        <v>2.0</v>
      </c>
      <c r="C697" s="246"/>
      <c r="D697" s="247"/>
      <c r="E697" s="245"/>
      <c r="F697" s="245"/>
      <c r="G697" s="245"/>
      <c r="H697" s="248"/>
      <c r="I697" s="249"/>
      <c r="J697" s="250"/>
    </row>
    <row r="698" ht="15.75" customHeight="1">
      <c r="A698" s="244" t="s">
        <v>3211</v>
      </c>
      <c r="B698" s="245">
        <v>3.0</v>
      </c>
      <c r="C698" s="246"/>
      <c r="D698" s="247"/>
      <c r="E698" s="245"/>
      <c r="F698" s="245"/>
      <c r="G698" s="245"/>
      <c r="H698" s="248"/>
      <c r="I698" s="249"/>
      <c r="J698" s="251"/>
    </row>
    <row r="699" ht="15.75" customHeight="1">
      <c r="A699" s="244" t="s">
        <v>3211</v>
      </c>
      <c r="B699" s="245">
        <v>4.0</v>
      </c>
      <c r="C699" s="246"/>
      <c r="D699" s="247"/>
      <c r="E699" s="245"/>
      <c r="F699" s="245"/>
      <c r="G699" s="245"/>
      <c r="H699" s="248"/>
      <c r="I699" s="249"/>
      <c r="J699" s="251"/>
    </row>
    <row r="700" ht="15.75" customHeight="1">
      <c r="A700" s="244" t="s">
        <v>3211</v>
      </c>
      <c r="B700" s="245">
        <v>5.0</v>
      </c>
      <c r="C700" s="246"/>
      <c r="D700" s="247"/>
      <c r="E700" s="245"/>
      <c r="F700" s="245"/>
      <c r="G700" s="245"/>
      <c r="H700" s="248"/>
      <c r="I700" s="249"/>
      <c r="J700" s="251"/>
    </row>
    <row r="701" ht="15.75" customHeight="1">
      <c r="A701" s="244" t="s">
        <v>3211</v>
      </c>
      <c r="B701" s="245">
        <v>6.0</v>
      </c>
      <c r="C701" s="246"/>
      <c r="D701" s="247"/>
      <c r="E701" s="245"/>
      <c r="F701" s="245"/>
      <c r="G701" s="245"/>
      <c r="H701" s="248"/>
      <c r="I701" s="249"/>
      <c r="J701" s="251"/>
    </row>
    <row r="702" ht="15.75" customHeight="1">
      <c r="A702" s="252" t="s">
        <v>3211</v>
      </c>
      <c r="B702" s="250">
        <v>7.0</v>
      </c>
      <c r="C702" s="250"/>
      <c r="D702" s="250"/>
      <c r="E702" s="250"/>
      <c r="F702" s="250"/>
      <c r="G702" s="250"/>
      <c r="H702" s="253"/>
      <c r="I702" s="249"/>
      <c r="J702" s="250"/>
    </row>
    <row r="703" ht="15.75" customHeight="1">
      <c r="A703" s="252" t="s">
        <v>3211</v>
      </c>
      <c r="B703" s="250">
        <v>8.0</v>
      </c>
      <c r="C703" s="250"/>
      <c r="D703" s="250"/>
      <c r="E703" s="250"/>
      <c r="F703" s="250"/>
      <c r="G703" s="250"/>
      <c r="H703" s="253"/>
      <c r="I703" s="249"/>
      <c r="J703" s="250"/>
    </row>
    <row r="704" ht="15.75" customHeight="1">
      <c r="A704" s="252" t="s">
        <v>3211</v>
      </c>
      <c r="B704" s="250">
        <v>9.0</v>
      </c>
      <c r="C704" s="254"/>
      <c r="D704" s="251"/>
      <c r="E704" s="250"/>
      <c r="F704" s="250"/>
      <c r="G704" s="250"/>
      <c r="H704" s="253"/>
      <c r="I704" s="249"/>
      <c r="J704" s="251"/>
    </row>
    <row r="705" ht="15.75" customHeight="1">
      <c r="A705" s="252" t="s">
        <v>3211</v>
      </c>
      <c r="B705" s="250">
        <v>10.0</v>
      </c>
      <c r="C705" s="254"/>
      <c r="D705" s="251"/>
      <c r="E705" s="250"/>
      <c r="F705" s="250"/>
      <c r="G705" s="250"/>
      <c r="H705" s="253"/>
      <c r="I705" s="249"/>
      <c r="J705" s="251"/>
    </row>
    <row r="706" ht="15.75" customHeight="1">
      <c r="A706" s="252" t="s">
        <v>3211</v>
      </c>
      <c r="B706" s="250">
        <v>11.0</v>
      </c>
      <c r="C706" s="254"/>
      <c r="D706" s="251"/>
      <c r="E706" s="250"/>
      <c r="F706" s="250"/>
      <c r="G706" s="250"/>
      <c r="H706" s="253"/>
      <c r="I706" s="249"/>
      <c r="J706" s="251"/>
    </row>
    <row r="707" ht="15.75" customHeight="1">
      <c r="A707" s="252" t="s">
        <v>3211</v>
      </c>
      <c r="B707" s="250">
        <v>12.0</v>
      </c>
      <c r="C707" s="254"/>
      <c r="D707" s="251"/>
      <c r="E707" s="250"/>
      <c r="F707" s="250"/>
      <c r="G707" s="250"/>
      <c r="H707" s="253"/>
      <c r="I707" s="249"/>
      <c r="J707" s="251"/>
    </row>
    <row r="708" ht="15.75" customHeight="1">
      <c r="A708" s="252" t="s">
        <v>3211</v>
      </c>
      <c r="B708" s="250">
        <v>13.0</v>
      </c>
      <c r="C708" s="254"/>
      <c r="D708" s="251"/>
      <c r="E708" s="250"/>
      <c r="F708" s="250"/>
      <c r="G708" s="250"/>
      <c r="H708" s="253"/>
      <c r="I708" s="249"/>
      <c r="J708" s="251"/>
    </row>
    <row r="709" ht="15.75" customHeight="1">
      <c r="A709" s="252" t="s">
        <v>3211</v>
      </c>
      <c r="B709" s="250">
        <v>14.0</v>
      </c>
      <c r="C709" s="254"/>
      <c r="D709" s="251"/>
      <c r="E709" s="250"/>
      <c r="F709" s="250"/>
      <c r="G709" s="250"/>
      <c r="H709" s="253"/>
      <c r="I709" s="249"/>
      <c r="J709" s="251"/>
    </row>
    <row r="710" ht="15.75" customHeight="1">
      <c r="A710" s="252" t="s">
        <v>3211</v>
      </c>
      <c r="B710" s="250">
        <v>15.0</v>
      </c>
      <c r="C710" s="254"/>
      <c r="D710" s="251"/>
      <c r="E710" s="250"/>
      <c r="F710" s="250"/>
      <c r="G710" s="250"/>
      <c r="H710" s="253"/>
      <c r="I710" s="249"/>
      <c r="J710" s="250"/>
    </row>
    <row r="711" ht="15.75" customHeight="1">
      <c r="A711" s="252" t="s">
        <v>3211</v>
      </c>
      <c r="B711" s="250">
        <v>16.0</v>
      </c>
      <c r="C711" s="254"/>
      <c r="D711" s="251"/>
      <c r="E711" s="250"/>
      <c r="F711" s="250"/>
      <c r="G711" s="250"/>
      <c r="H711" s="253"/>
      <c r="I711" s="249"/>
      <c r="J711" s="250"/>
    </row>
    <row r="712" ht="15.75" customHeight="1">
      <c r="A712" s="252" t="s">
        <v>3211</v>
      </c>
      <c r="B712" s="250">
        <v>17.0</v>
      </c>
      <c r="C712" s="250"/>
      <c r="D712" s="250"/>
      <c r="E712" s="250"/>
      <c r="F712" s="250"/>
      <c r="G712" s="250"/>
      <c r="H712" s="253"/>
      <c r="I712" s="249"/>
      <c r="J712" s="250"/>
    </row>
    <row r="713" ht="15.75" customHeight="1">
      <c r="A713" s="252" t="s">
        <v>3211</v>
      </c>
      <c r="B713" s="250">
        <v>18.0</v>
      </c>
      <c r="C713" s="250"/>
      <c r="D713" s="250"/>
      <c r="E713" s="250"/>
      <c r="F713" s="250"/>
      <c r="G713" s="250"/>
      <c r="H713" s="253"/>
      <c r="I713" s="249"/>
      <c r="J713" s="250"/>
    </row>
    <row r="714" ht="15.75" customHeight="1">
      <c r="A714" s="252" t="s">
        <v>3211</v>
      </c>
      <c r="B714" s="250">
        <v>19.0</v>
      </c>
      <c r="C714" s="253"/>
      <c r="D714" s="251"/>
      <c r="E714" s="250"/>
      <c r="F714" s="250"/>
      <c r="G714" s="250"/>
      <c r="H714" s="253"/>
      <c r="I714" s="249"/>
      <c r="J714" s="250"/>
    </row>
    <row r="715" ht="15.75" customHeight="1">
      <c r="A715" s="252" t="s">
        <v>3211</v>
      </c>
      <c r="B715" s="250">
        <v>20.0</v>
      </c>
      <c r="C715" s="253"/>
      <c r="D715" s="251"/>
      <c r="E715" s="250"/>
      <c r="F715" s="250"/>
      <c r="G715" s="250"/>
      <c r="H715" s="253"/>
      <c r="I715" s="249"/>
      <c r="J715" s="250"/>
    </row>
    <row r="716" ht="15.75" customHeight="1">
      <c r="A716" s="252" t="s">
        <v>3211</v>
      </c>
      <c r="B716" s="250">
        <v>21.0</v>
      </c>
      <c r="C716" s="254"/>
      <c r="D716" s="251"/>
      <c r="E716" s="250"/>
      <c r="F716" s="250"/>
      <c r="G716" s="250"/>
      <c r="H716" s="255"/>
      <c r="I716" s="249"/>
      <c r="J716" s="250"/>
    </row>
    <row r="717" ht="15.75" customHeight="1">
      <c r="A717" s="252" t="s">
        <v>3211</v>
      </c>
      <c r="B717" s="250">
        <v>22.0</v>
      </c>
      <c r="C717" s="254"/>
      <c r="D717" s="251"/>
      <c r="E717" s="250"/>
      <c r="F717" s="250"/>
      <c r="G717" s="250"/>
      <c r="H717" s="255"/>
      <c r="I717" s="249"/>
      <c r="J717" s="250"/>
    </row>
    <row r="718" ht="15.75" customHeight="1">
      <c r="A718" s="252" t="s">
        <v>3211</v>
      </c>
      <c r="B718" s="250">
        <v>23.0</v>
      </c>
      <c r="C718" s="253"/>
      <c r="D718" s="251"/>
      <c r="E718" s="250"/>
      <c r="F718" s="250"/>
      <c r="G718" s="250"/>
      <c r="H718" s="253"/>
      <c r="I718" s="249"/>
      <c r="J718" s="250"/>
    </row>
    <row r="719" ht="15.75" customHeight="1">
      <c r="A719" s="252" t="s">
        <v>3211</v>
      </c>
      <c r="B719" s="250">
        <v>24.0</v>
      </c>
      <c r="C719" s="253"/>
      <c r="D719" s="251"/>
      <c r="E719" s="250"/>
      <c r="F719" s="250"/>
      <c r="G719" s="250"/>
      <c r="H719" s="253"/>
      <c r="I719" s="249"/>
      <c r="J719" s="250"/>
    </row>
    <row r="720" ht="15.75" customHeight="1">
      <c r="A720" s="256"/>
      <c r="B720" s="257"/>
      <c r="C720" s="257"/>
      <c r="D720" s="258"/>
      <c r="E720" s="257"/>
      <c r="F720" s="257"/>
      <c r="G720" s="257"/>
      <c r="H720" s="259"/>
      <c r="I720" s="260"/>
      <c r="J720" s="257"/>
    </row>
    <row r="721" ht="15.75" customHeight="1">
      <c r="A721" s="244" t="s">
        <v>3212</v>
      </c>
      <c r="B721" s="245">
        <v>1.0</v>
      </c>
      <c r="C721" s="246"/>
      <c r="D721" s="247"/>
      <c r="E721" s="245"/>
      <c r="F721" s="245"/>
      <c r="G721" s="245"/>
      <c r="H721" s="248"/>
      <c r="I721" s="261"/>
    </row>
    <row r="722" ht="15.75" customHeight="1">
      <c r="A722" s="244" t="s">
        <v>3212</v>
      </c>
      <c r="B722" s="245">
        <v>3.0</v>
      </c>
      <c r="C722" s="246"/>
      <c r="D722" s="247"/>
      <c r="E722" s="245"/>
      <c r="F722" s="245"/>
      <c r="G722" s="245"/>
      <c r="H722" s="248"/>
      <c r="I722" s="262"/>
      <c r="J722" s="245"/>
    </row>
    <row r="723" ht="15.75" customHeight="1">
      <c r="A723" s="244" t="s">
        <v>3212</v>
      </c>
      <c r="B723" s="245">
        <v>4.0</v>
      </c>
      <c r="C723" s="246"/>
      <c r="D723" s="247"/>
      <c r="E723" s="245"/>
      <c r="F723" s="245"/>
      <c r="G723" s="245"/>
      <c r="H723" s="248"/>
      <c r="I723" s="262"/>
      <c r="J723" s="245"/>
    </row>
    <row r="724" ht="15.75" customHeight="1">
      <c r="A724" s="244" t="s">
        <v>3212</v>
      </c>
      <c r="B724" s="245">
        <v>5.0</v>
      </c>
      <c r="C724" s="246"/>
      <c r="D724" s="247"/>
      <c r="E724" s="245"/>
      <c r="F724" s="245"/>
      <c r="G724" s="245"/>
      <c r="H724" s="248"/>
      <c r="I724" s="262"/>
      <c r="J724" s="245"/>
    </row>
    <row r="725" ht="15.75" customHeight="1">
      <c r="A725" s="244" t="s">
        <v>3212</v>
      </c>
      <c r="B725" s="245">
        <v>6.0</v>
      </c>
      <c r="C725" s="246"/>
      <c r="D725" s="247"/>
      <c r="E725" s="245"/>
      <c r="F725" s="245"/>
      <c r="G725" s="245"/>
      <c r="H725" s="248"/>
      <c r="I725" s="262"/>
      <c r="J725" s="245"/>
    </row>
    <row r="726" ht="15.75" customHeight="1">
      <c r="A726" s="244" t="s">
        <v>3212</v>
      </c>
      <c r="B726" s="245">
        <v>7.0</v>
      </c>
      <c r="C726" s="245"/>
      <c r="D726" s="247"/>
      <c r="E726" s="245"/>
      <c r="F726" s="245"/>
      <c r="G726" s="245"/>
      <c r="H726" s="248"/>
      <c r="I726" s="262"/>
      <c r="J726" s="245"/>
    </row>
    <row r="727" ht="15.75" customHeight="1">
      <c r="A727" s="244" t="s">
        <v>3212</v>
      </c>
      <c r="B727" s="245">
        <v>8.0</v>
      </c>
      <c r="C727" s="245"/>
      <c r="D727" s="247"/>
      <c r="E727" s="245"/>
      <c r="F727" s="245"/>
      <c r="G727" s="245"/>
      <c r="H727" s="248"/>
      <c r="I727" s="262"/>
      <c r="J727" s="245"/>
    </row>
    <row r="728" ht="15.75" customHeight="1">
      <c r="A728" s="244" t="s">
        <v>3212</v>
      </c>
      <c r="B728" s="245">
        <v>9.0</v>
      </c>
      <c r="C728" s="245"/>
      <c r="D728" s="247"/>
      <c r="E728" s="245"/>
      <c r="F728" s="245"/>
      <c r="G728" s="245"/>
      <c r="H728" s="248"/>
      <c r="I728" s="262"/>
      <c r="J728" s="245"/>
    </row>
    <row r="729" ht="15.75" customHeight="1">
      <c r="A729" s="244" t="s">
        <v>3212</v>
      </c>
      <c r="B729" s="245">
        <v>10.0</v>
      </c>
      <c r="C729" s="245"/>
      <c r="D729" s="247"/>
      <c r="E729" s="245"/>
      <c r="F729" s="245"/>
      <c r="G729" s="245"/>
      <c r="H729" s="248"/>
      <c r="I729" s="262"/>
      <c r="J729" s="245"/>
    </row>
    <row r="730" ht="15.75" customHeight="1">
      <c r="A730" s="244" t="s">
        <v>3212</v>
      </c>
      <c r="B730" s="245">
        <v>11.0</v>
      </c>
      <c r="C730" s="245"/>
      <c r="D730" s="247"/>
      <c r="E730" s="245"/>
      <c r="F730" s="245"/>
      <c r="G730" s="245"/>
      <c r="H730" s="248"/>
      <c r="I730" s="262"/>
      <c r="J730" s="245"/>
    </row>
    <row r="731" ht="15.75" customHeight="1">
      <c r="A731" s="244" t="s">
        <v>3212</v>
      </c>
      <c r="B731" s="245">
        <v>12.0</v>
      </c>
      <c r="C731" s="245"/>
      <c r="D731" s="247"/>
      <c r="E731" s="245"/>
      <c r="F731" s="245"/>
      <c r="G731" s="245"/>
      <c r="H731" s="248"/>
      <c r="I731" s="262"/>
      <c r="J731" s="245"/>
    </row>
    <row r="732" ht="15.75" customHeight="1">
      <c r="A732" s="244" t="s">
        <v>3212</v>
      </c>
      <c r="B732" s="245">
        <v>13.0</v>
      </c>
      <c r="C732" s="245"/>
      <c r="D732" s="247"/>
      <c r="E732" s="245"/>
      <c r="F732" s="245"/>
      <c r="G732" s="245"/>
      <c r="H732" s="248"/>
      <c r="I732" s="262"/>
      <c r="J732" s="245"/>
    </row>
    <row r="733" ht="15.75" customHeight="1">
      <c r="A733" s="244" t="s">
        <v>3212</v>
      </c>
      <c r="B733" s="245">
        <v>14.0</v>
      </c>
      <c r="C733" s="245"/>
      <c r="D733" s="247"/>
      <c r="E733" s="245"/>
      <c r="F733" s="245"/>
      <c r="G733" s="245"/>
      <c r="H733" s="248"/>
      <c r="I733" s="262"/>
      <c r="J733" s="245"/>
    </row>
    <row r="734" ht="15.75" customHeight="1">
      <c r="A734" s="244" t="s">
        <v>3212</v>
      </c>
      <c r="B734" s="245">
        <v>15.0</v>
      </c>
      <c r="C734" s="245"/>
      <c r="D734" s="247"/>
      <c r="E734" s="245"/>
      <c r="F734" s="245"/>
      <c r="G734" s="245"/>
      <c r="H734" s="248"/>
      <c r="I734" s="262"/>
      <c r="J734" s="245"/>
    </row>
    <row r="735" ht="15.75" customHeight="1">
      <c r="A735" s="244" t="s">
        <v>3212</v>
      </c>
      <c r="B735" s="245">
        <v>16.0</v>
      </c>
      <c r="C735" s="245"/>
      <c r="D735" s="247"/>
      <c r="E735" s="245"/>
      <c r="F735" s="245"/>
      <c r="G735" s="245"/>
      <c r="H735" s="248"/>
      <c r="I735" s="262"/>
      <c r="J735" s="245"/>
    </row>
    <row r="736" ht="15.75" customHeight="1">
      <c r="A736" s="244" t="s">
        <v>3212</v>
      </c>
      <c r="B736" s="245">
        <v>17.0</v>
      </c>
      <c r="C736" s="245"/>
      <c r="D736" s="247"/>
      <c r="E736" s="245"/>
      <c r="F736" s="245"/>
      <c r="G736" s="245"/>
      <c r="H736" s="248"/>
      <c r="I736" s="261"/>
    </row>
    <row r="737" ht="15.75" customHeight="1">
      <c r="A737" s="244" t="s">
        <v>3212</v>
      </c>
      <c r="B737" s="245">
        <v>18.0</v>
      </c>
      <c r="C737" s="245"/>
      <c r="D737" s="247"/>
      <c r="E737" s="245"/>
      <c r="F737" s="245"/>
      <c r="G737" s="245"/>
      <c r="H737" s="248"/>
      <c r="I737" s="261"/>
      <c r="J737" s="245"/>
    </row>
    <row r="738" ht="15.75" customHeight="1">
      <c r="A738" s="244" t="s">
        <v>3212</v>
      </c>
      <c r="B738" s="245">
        <v>19.0</v>
      </c>
      <c r="C738" s="245"/>
      <c r="D738" s="247"/>
      <c r="E738" s="245"/>
      <c r="F738" s="245"/>
      <c r="G738" s="245"/>
      <c r="H738" s="248"/>
      <c r="I738" s="262"/>
      <c r="J738" s="245"/>
    </row>
    <row r="739" ht="15.75" customHeight="1">
      <c r="A739" s="244" t="s">
        <v>3212</v>
      </c>
      <c r="B739" s="245">
        <v>20.0</v>
      </c>
      <c r="C739" s="245"/>
      <c r="D739" s="247"/>
      <c r="E739" s="245"/>
      <c r="F739" s="245"/>
      <c r="G739" s="245"/>
      <c r="H739" s="248"/>
      <c r="I739" s="262"/>
      <c r="J739" s="245"/>
    </row>
    <row r="740" ht="15.75" customHeight="1">
      <c r="A740" s="244" t="s">
        <v>3212</v>
      </c>
      <c r="B740" s="245">
        <v>21.0</v>
      </c>
      <c r="C740" s="245"/>
      <c r="D740" s="247"/>
      <c r="E740" s="245"/>
      <c r="F740" s="245"/>
      <c r="G740" s="245"/>
      <c r="H740" s="248"/>
      <c r="I740" s="261"/>
      <c r="J740" s="245"/>
    </row>
    <row r="741" ht="15.75" customHeight="1">
      <c r="A741" s="244" t="s">
        <v>3212</v>
      </c>
      <c r="B741" s="245">
        <v>22.0</v>
      </c>
      <c r="C741" s="245"/>
      <c r="D741" s="247"/>
      <c r="E741" s="245"/>
      <c r="F741" s="245"/>
      <c r="G741" s="245"/>
      <c r="H741" s="248"/>
      <c r="I741" s="261"/>
      <c r="J741" s="245"/>
    </row>
    <row r="742" ht="15.75" customHeight="1">
      <c r="A742" s="244" t="s">
        <v>3212</v>
      </c>
      <c r="B742" s="245">
        <v>23.0</v>
      </c>
      <c r="C742" s="245"/>
      <c r="D742" s="247"/>
      <c r="E742" s="245"/>
      <c r="F742" s="245"/>
      <c r="G742" s="245"/>
      <c r="H742" s="248"/>
      <c r="I742" s="262"/>
      <c r="J742" s="245"/>
    </row>
    <row r="743" ht="15.75" customHeight="1">
      <c r="A743" s="244" t="s">
        <v>3212</v>
      </c>
      <c r="B743" s="245">
        <v>24.0</v>
      </c>
      <c r="C743" s="245"/>
      <c r="D743" s="247"/>
      <c r="E743" s="245"/>
      <c r="F743" s="245"/>
      <c r="G743" s="245"/>
      <c r="H743" s="248"/>
      <c r="I743" s="262"/>
      <c r="J743" s="245"/>
    </row>
    <row r="744" ht="15.75" customHeight="1">
      <c r="A744" s="256"/>
      <c r="B744" s="257"/>
      <c r="C744" s="257"/>
      <c r="D744" s="258"/>
      <c r="E744" s="257"/>
      <c r="F744" s="257"/>
      <c r="G744" s="257"/>
      <c r="H744" s="259"/>
      <c r="I744" s="260"/>
      <c r="J744" s="257"/>
    </row>
    <row r="745" ht="15.75" customHeight="1">
      <c r="A745" s="244" t="s">
        <v>3213</v>
      </c>
      <c r="B745" s="245">
        <v>1.0</v>
      </c>
      <c r="C745" s="246"/>
      <c r="D745" s="247"/>
      <c r="E745" s="245"/>
      <c r="F745" s="245"/>
      <c r="G745" s="245"/>
      <c r="H745" s="248"/>
      <c r="I745" s="262"/>
      <c r="J745" s="245"/>
    </row>
    <row r="746" ht="15.75" customHeight="1">
      <c r="A746" s="244" t="s">
        <v>3213</v>
      </c>
      <c r="B746" s="245">
        <v>2.0</v>
      </c>
      <c r="C746" s="246"/>
      <c r="D746" s="247"/>
      <c r="E746" s="245"/>
      <c r="F746" s="245"/>
      <c r="G746" s="245"/>
      <c r="H746" s="248"/>
      <c r="I746" s="262"/>
      <c r="J746" s="245"/>
    </row>
    <row r="747" ht="15.75" customHeight="1">
      <c r="A747" s="244" t="s">
        <v>3213</v>
      </c>
      <c r="B747" s="245">
        <v>3.0</v>
      </c>
      <c r="C747" s="246"/>
      <c r="D747" s="247"/>
      <c r="E747" s="245"/>
      <c r="F747" s="245"/>
      <c r="G747" s="245"/>
      <c r="H747" s="248"/>
      <c r="I747" s="262"/>
      <c r="J747" s="245"/>
    </row>
    <row r="748" ht="15.75" customHeight="1">
      <c r="A748" s="244" t="s">
        <v>3213</v>
      </c>
      <c r="B748" s="245">
        <v>4.0</v>
      </c>
      <c r="C748" s="246"/>
      <c r="D748" s="247"/>
      <c r="E748" s="245"/>
      <c r="F748" s="245"/>
      <c r="G748" s="245"/>
      <c r="H748" s="248"/>
      <c r="I748" s="262"/>
      <c r="J748" s="245"/>
    </row>
    <row r="749" ht="15.75" customHeight="1">
      <c r="A749" s="244" t="s">
        <v>3213</v>
      </c>
      <c r="B749" s="245">
        <v>5.0</v>
      </c>
      <c r="C749" s="246"/>
      <c r="D749" s="247"/>
      <c r="E749" s="245"/>
      <c r="F749" s="245"/>
      <c r="G749" s="245"/>
      <c r="H749" s="248"/>
      <c r="I749" s="262"/>
      <c r="J749" s="245"/>
    </row>
    <row r="750" ht="15.75" customHeight="1">
      <c r="A750" s="244" t="s">
        <v>3213</v>
      </c>
      <c r="B750" s="245">
        <v>6.0</v>
      </c>
      <c r="C750" s="246"/>
      <c r="D750" s="247"/>
      <c r="E750" s="245"/>
      <c r="F750" s="245"/>
      <c r="G750" s="245"/>
      <c r="H750" s="248"/>
      <c r="I750" s="262"/>
      <c r="J750" s="245"/>
    </row>
    <row r="751" ht="15.75" customHeight="1">
      <c r="A751" s="244" t="s">
        <v>3213</v>
      </c>
      <c r="B751" s="245">
        <v>7.0</v>
      </c>
      <c r="C751" s="246"/>
      <c r="D751" s="247"/>
      <c r="E751" s="245"/>
      <c r="F751" s="245"/>
      <c r="G751" s="245"/>
      <c r="H751" s="248"/>
      <c r="I751" s="262"/>
      <c r="J751" s="245"/>
    </row>
    <row r="752" ht="15.75" customHeight="1">
      <c r="A752" s="244" t="s">
        <v>3213</v>
      </c>
      <c r="B752" s="245">
        <v>8.0</v>
      </c>
      <c r="C752" s="246"/>
      <c r="D752" s="247"/>
      <c r="E752" s="245"/>
      <c r="F752" s="245"/>
      <c r="G752" s="245"/>
      <c r="H752" s="248"/>
      <c r="I752" s="262"/>
      <c r="J752" s="245"/>
    </row>
    <row r="753" ht="15.75" customHeight="1">
      <c r="A753" s="244" t="s">
        <v>3213</v>
      </c>
      <c r="B753" s="245">
        <v>9.0</v>
      </c>
      <c r="C753" s="246"/>
      <c r="D753" s="247"/>
      <c r="E753" s="245"/>
      <c r="F753" s="245"/>
      <c r="G753" s="245"/>
      <c r="H753" s="248"/>
      <c r="I753" s="262"/>
      <c r="J753" s="245"/>
    </row>
    <row r="754" ht="15.75" customHeight="1">
      <c r="A754" s="244" t="s">
        <v>3213</v>
      </c>
      <c r="B754" s="245">
        <v>10.0</v>
      </c>
      <c r="C754" s="246"/>
      <c r="D754" s="247"/>
      <c r="E754" s="245"/>
      <c r="F754" s="245"/>
      <c r="G754" s="245"/>
      <c r="H754" s="248"/>
      <c r="I754" s="262"/>
      <c r="J754" s="245"/>
    </row>
    <row r="755" ht="15.75" customHeight="1">
      <c r="A755" s="244" t="s">
        <v>3213</v>
      </c>
      <c r="B755" s="245">
        <v>11.0</v>
      </c>
      <c r="C755" s="246"/>
      <c r="D755" s="247"/>
      <c r="E755" s="245"/>
      <c r="F755" s="245"/>
      <c r="G755" s="245"/>
      <c r="H755" s="248"/>
      <c r="I755" s="262"/>
      <c r="J755" s="245"/>
    </row>
    <row r="756" ht="15.75" customHeight="1">
      <c r="A756" s="244" t="s">
        <v>3213</v>
      </c>
      <c r="B756" s="245">
        <v>12.0</v>
      </c>
      <c r="C756" s="246"/>
      <c r="D756" s="247"/>
      <c r="E756" s="245"/>
      <c r="F756" s="245"/>
      <c r="G756" s="245"/>
      <c r="H756" s="248"/>
      <c r="I756" s="262"/>
      <c r="J756" s="245"/>
    </row>
    <row r="757" ht="15.75" customHeight="1">
      <c r="A757" s="244" t="s">
        <v>3213</v>
      </c>
      <c r="B757" s="245">
        <v>13.0</v>
      </c>
      <c r="C757" s="246"/>
      <c r="D757" s="247"/>
      <c r="E757" s="245"/>
      <c r="F757" s="245"/>
      <c r="G757" s="245"/>
      <c r="H757" s="248"/>
      <c r="I757" s="262"/>
      <c r="J757" s="245"/>
    </row>
    <row r="758" ht="15.75" customHeight="1">
      <c r="A758" s="244" t="s">
        <v>3213</v>
      </c>
      <c r="B758" s="245">
        <v>14.0</v>
      </c>
      <c r="C758" s="246"/>
      <c r="D758" s="247"/>
      <c r="E758" s="245"/>
      <c r="F758" s="245"/>
      <c r="G758" s="245"/>
      <c r="H758" s="248"/>
      <c r="I758" s="262"/>
      <c r="J758" s="245"/>
    </row>
    <row r="759" ht="15.75" customHeight="1">
      <c r="A759" s="244" t="s">
        <v>3213</v>
      </c>
      <c r="B759" s="245">
        <v>15.0</v>
      </c>
      <c r="C759" s="246"/>
      <c r="D759" s="247"/>
      <c r="E759" s="245"/>
      <c r="F759" s="245"/>
      <c r="G759" s="245"/>
      <c r="H759" s="248"/>
      <c r="I759" s="262"/>
      <c r="J759" s="245"/>
    </row>
    <row r="760" ht="15.75" customHeight="1">
      <c r="A760" s="244" t="s">
        <v>3213</v>
      </c>
      <c r="B760" s="245">
        <v>16.0</v>
      </c>
      <c r="C760" s="246"/>
      <c r="D760" s="247"/>
      <c r="E760" s="245"/>
      <c r="F760" s="245"/>
      <c r="G760" s="245"/>
      <c r="H760" s="248"/>
      <c r="I760" s="262"/>
      <c r="J760" s="245"/>
    </row>
    <row r="761" ht="15.75" customHeight="1">
      <c r="A761" s="244" t="s">
        <v>3213</v>
      </c>
      <c r="B761" s="245">
        <v>17.0</v>
      </c>
      <c r="C761" s="246"/>
      <c r="D761" s="247"/>
      <c r="E761" s="245"/>
      <c r="F761" s="245"/>
      <c r="G761" s="245"/>
      <c r="H761" s="248"/>
      <c r="I761" s="262"/>
      <c r="J761" s="245"/>
    </row>
    <row r="762" ht="15.75" customHeight="1">
      <c r="A762" s="244" t="s">
        <v>3213</v>
      </c>
      <c r="B762" s="245">
        <v>18.0</v>
      </c>
      <c r="C762" s="246"/>
      <c r="D762" s="247"/>
      <c r="E762" s="245"/>
      <c r="F762" s="245"/>
      <c r="G762" s="245"/>
      <c r="H762" s="248"/>
      <c r="I762" s="262"/>
      <c r="J762" s="245"/>
    </row>
    <row r="763" ht="15.75" customHeight="1">
      <c r="A763" s="244" t="s">
        <v>3213</v>
      </c>
      <c r="B763" s="245">
        <v>19.0</v>
      </c>
      <c r="C763" s="246"/>
      <c r="D763" s="247"/>
      <c r="E763" s="245"/>
      <c r="F763" s="245"/>
      <c r="G763" s="245"/>
      <c r="H763" s="248"/>
      <c r="I763" s="262"/>
      <c r="J763" s="245"/>
    </row>
    <row r="764" ht="15.75" customHeight="1">
      <c r="A764" s="244" t="s">
        <v>3213</v>
      </c>
      <c r="B764" s="245">
        <v>20.0</v>
      </c>
      <c r="C764" s="246"/>
      <c r="D764" s="247"/>
      <c r="E764" s="245"/>
      <c r="F764" s="245"/>
      <c r="G764" s="245"/>
      <c r="H764" s="248"/>
      <c r="I764" s="262"/>
      <c r="J764" s="245"/>
    </row>
    <row r="765" ht="15.75" customHeight="1">
      <c r="A765" s="244" t="s">
        <v>3213</v>
      </c>
      <c r="B765" s="245">
        <v>21.0</v>
      </c>
      <c r="C765" s="246"/>
      <c r="D765" s="247"/>
      <c r="E765" s="245"/>
      <c r="F765" s="245"/>
      <c r="G765" s="245"/>
      <c r="H765" s="248"/>
      <c r="I765" s="262"/>
      <c r="J765" s="245"/>
    </row>
    <row r="766" ht="15.75" customHeight="1">
      <c r="A766" s="244" t="s">
        <v>3213</v>
      </c>
      <c r="B766" s="245">
        <v>22.0</v>
      </c>
      <c r="C766" s="246"/>
      <c r="D766" s="247"/>
      <c r="E766" s="245"/>
      <c r="F766" s="245"/>
      <c r="G766" s="245"/>
      <c r="H766" s="248"/>
      <c r="I766" s="262"/>
      <c r="J766" s="245"/>
    </row>
    <row r="767" ht="15.75" customHeight="1">
      <c r="A767" s="244" t="s">
        <v>3213</v>
      </c>
      <c r="B767" s="245">
        <v>23.0</v>
      </c>
      <c r="C767" s="246"/>
      <c r="D767" s="247"/>
      <c r="E767" s="245"/>
      <c r="F767" s="245"/>
      <c r="G767" s="245"/>
      <c r="H767" s="248"/>
      <c r="I767" s="262"/>
      <c r="J767" s="245"/>
    </row>
    <row r="768" ht="15.75" customHeight="1">
      <c r="A768" s="256"/>
      <c r="B768" s="257"/>
      <c r="C768" s="257"/>
      <c r="D768" s="258"/>
      <c r="E768" s="257"/>
      <c r="F768" s="257"/>
      <c r="G768" s="257"/>
      <c r="H768" s="259"/>
      <c r="I768" s="260"/>
      <c r="J768" s="257"/>
    </row>
    <row r="769" ht="15.75" customHeight="1">
      <c r="A769" s="244" t="s">
        <v>3214</v>
      </c>
      <c r="B769" s="245">
        <v>1.0</v>
      </c>
      <c r="C769" s="246"/>
      <c r="D769" s="247"/>
      <c r="E769" s="245"/>
      <c r="F769" s="245"/>
      <c r="G769" s="245"/>
      <c r="H769" s="248"/>
      <c r="I769" s="262"/>
      <c r="J769" s="245"/>
    </row>
    <row r="770" ht="15.75" customHeight="1">
      <c r="A770" s="244" t="s">
        <v>3214</v>
      </c>
      <c r="B770" s="245">
        <v>2.0</v>
      </c>
      <c r="C770" s="246"/>
      <c r="D770" s="247"/>
      <c r="E770" s="245"/>
      <c r="F770" s="245"/>
      <c r="G770" s="245"/>
      <c r="H770" s="248"/>
      <c r="I770" s="262"/>
      <c r="J770" s="245"/>
    </row>
    <row r="771" ht="15.75" customHeight="1">
      <c r="A771" s="244" t="s">
        <v>3214</v>
      </c>
      <c r="B771" s="245">
        <v>3.0</v>
      </c>
      <c r="C771" s="246"/>
      <c r="D771" s="247"/>
      <c r="E771" s="245"/>
      <c r="F771" s="245"/>
      <c r="G771" s="245"/>
      <c r="H771" s="248"/>
      <c r="I771" s="262"/>
      <c r="J771" s="245"/>
    </row>
    <row r="772" ht="15.75" customHeight="1">
      <c r="A772" s="244" t="s">
        <v>3214</v>
      </c>
      <c r="B772" s="245">
        <v>4.0</v>
      </c>
      <c r="C772" s="246"/>
      <c r="D772" s="247"/>
      <c r="E772" s="245"/>
      <c r="F772" s="245"/>
      <c r="G772" s="245"/>
      <c r="H772" s="248"/>
      <c r="I772" s="262"/>
      <c r="J772" s="245"/>
    </row>
    <row r="773" ht="15.75" customHeight="1">
      <c r="A773" s="244" t="s">
        <v>3214</v>
      </c>
      <c r="B773" s="245">
        <v>5.0</v>
      </c>
      <c r="C773" s="246"/>
      <c r="D773" s="247"/>
      <c r="E773" s="245"/>
      <c r="F773" s="245"/>
      <c r="G773" s="245"/>
      <c r="H773" s="248"/>
      <c r="I773" s="249"/>
      <c r="J773" s="250"/>
    </row>
    <row r="774" ht="15.75" customHeight="1">
      <c r="A774" s="244" t="s">
        <v>3214</v>
      </c>
      <c r="B774" s="245">
        <v>6.0</v>
      </c>
      <c r="C774" s="246"/>
      <c r="D774" s="247"/>
      <c r="E774" s="245"/>
      <c r="F774" s="245"/>
      <c r="G774" s="245"/>
      <c r="H774" s="248"/>
      <c r="I774" s="262"/>
      <c r="J774" s="245"/>
    </row>
    <row r="775" ht="15.75" customHeight="1">
      <c r="A775" s="244" t="s">
        <v>3214</v>
      </c>
      <c r="B775" s="245">
        <v>7.0</v>
      </c>
      <c r="C775" s="246"/>
      <c r="D775" s="247"/>
      <c r="E775" s="245"/>
      <c r="F775" s="245"/>
      <c r="G775" s="245"/>
      <c r="H775" s="248"/>
      <c r="I775" s="262"/>
      <c r="J775" s="245"/>
    </row>
    <row r="776" ht="15.75" customHeight="1">
      <c r="A776" s="244" t="s">
        <v>3214</v>
      </c>
      <c r="B776" s="245">
        <v>8.0</v>
      </c>
      <c r="C776" s="246"/>
      <c r="D776" s="247"/>
      <c r="E776" s="245"/>
      <c r="F776" s="245"/>
      <c r="G776" s="245"/>
      <c r="H776" s="248"/>
      <c r="I776" s="262"/>
      <c r="J776" s="245"/>
    </row>
    <row r="777" ht="15.75" customHeight="1">
      <c r="A777" s="244" t="s">
        <v>3214</v>
      </c>
      <c r="B777" s="245">
        <v>9.0</v>
      </c>
      <c r="C777" s="246"/>
      <c r="D777" s="247"/>
      <c r="E777" s="245"/>
      <c r="F777" s="245"/>
      <c r="G777" s="245"/>
      <c r="H777" s="248"/>
      <c r="I777" s="262"/>
      <c r="J777" s="245"/>
    </row>
    <row r="778" ht="15.75" customHeight="1">
      <c r="A778" s="244" t="s">
        <v>3214</v>
      </c>
      <c r="B778" s="245">
        <v>10.0</v>
      </c>
      <c r="C778" s="246"/>
      <c r="D778" s="247"/>
      <c r="E778" s="245"/>
      <c r="F778" s="245"/>
      <c r="G778" s="245"/>
      <c r="H778" s="248"/>
      <c r="I778" s="262"/>
      <c r="J778" s="245"/>
    </row>
    <row r="779" ht="15.75" customHeight="1">
      <c r="A779" s="244" t="s">
        <v>3214</v>
      </c>
      <c r="B779" s="245">
        <v>11.0</v>
      </c>
      <c r="C779" s="246"/>
      <c r="D779" s="247"/>
      <c r="E779" s="245"/>
      <c r="F779" s="245"/>
      <c r="G779" s="245"/>
      <c r="H779" s="248"/>
      <c r="I779" s="262"/>
      <c r="J779" s="245"/>
    </row>
    <row r="780" ht="15.75" customHeight="1">
      <c r="A780" s="244" t="s">
        <v>3214</v>
      </c>
      <c r="B780" s="245">
        <v>12.0</v>
      </c>
      <c r="C780" s="246"/>
      <c r="D780" s="247"/>
      <c r="E780" s="245"/>
      <c r="F780" s="245"/>
      <c r="G780" s="245"/>
      <c r="H780" s="248"/>
      <c r="I780" s="262"/>
      <c r="J780" s="245"/>
    </row>
    <row r="781" ht="15.75" customHeight="1">
      <c r="A781" s="244" t="s">
        <v>3214</v>
      </c>
      <c r="B781" s="245">
        <v>13.0</v>
      </c>
      <c r="C781" s="246"/>
      <c r="D781" s="247"/>
      <c r="E781" s="245"/>
      <c r="F781" s="245"/>
      <c r="G781" s="245"/>
      <c r="H781" s="248"/>
      <c r="I781" s="262"/>
      <c r="J781" s="245"/>
    </row>
    <row r="782" ht="15.75" customHeight="1">
      <c r="A782" s="244" t="s">
        <v>3214</v>
      </c>
      <c r="B782" s="245">
        <v>14.0</v>
      </c>
      <c r="C782" s="246"/>
      <c r="D782" s="247"/>
      <c r="E782" s="245"/>
      <c r="F782" s="245"/>
      <c r="G782" s="245"/>
      <c r="H782" s="248"/>
      <c r="I782" s="262"/>
      <c r="J782" s="245"/>
    </row>
    <row r="783" ht="15.75" customHeight="1">
      <c r="A783" s="244" t="s">
        <v>3214</v>
      </c>
      <c r="B783" s="245">
        <v>15.0</v>
      </c>
      <c r="C783" s="246"/>
      <c r="D783" s="247"/>
      <c r="E783" s="245"/>
      <c r="F783" s="245"/>
      <c r="G783" s="245"/>
      <c r="H783" s="248"/>
      <c r="I783" s="262"/>
      <c r="J783" s="245"/>
    </row>
    <row r="784" ht="15.75" customHeight="1">
      <c r="A784" s="244" t="s">
        <v>3214</v>
      </c>
      <c r="B784" s="245">
        <v>16.0</v>
      </c>
      <c r="C784" s="246"/>
      <c r="D784" s="247"/>
      <c r="E784" s="245"/>
      <c r="F784" s="245"/>
      <c r="G784" s="245"/>
      <c r="H784" s="248"/>
      <c r="I784" s="262"/>
      <c r="J784" s="245"/>
    </row>
    <row r="785" ht="15.75" customHeight="1">
      <c r="A785" s="244" t="s">
        <v>3214</v>
      </c>
      <c r="B785" s="245">
        <v>17.0</v>
      </c>
      <c r="C785" s="246"/>
      <c r="D785" s="247"/>
      <c r="E785" s="245"/>
      <c r="F785" s="245"/>
      <c r="G785" s="245"/>
      <c r="H785" s="248"/>
      <c r="I785" s="262"/>
      <c r="J785" s="245"/>
    </row>
    <row r="786" ht="15.75" customHeight="1">
      <c r="A786" s="244" t="s">
        <v>3214</v>
      </c>
      <c r="B786" s="245">
        <v>18.0</v>
      </c>
      <c r="C786" s="246"/>
      <c r="D786" s="247"/>
      <c r="E786" s="245"/>
      <c r="F786" s="245"/>
      <c r="G786" s="245"/>
      <c r="H786" s="248"/>
      <c r="I786" s="262"/>
      <c r="J786" s="245"/>
    </row>
    <row r="787" ht="15.75" customHeight="1">
      <c r="A787" s="244" t="s">
        <v>3214</v>
      </c>
      <c r="B787" s="245">
        <v>19.0</v>
      </c>
      <c r="C787" s="246"/>
      <c r="D787" s="247"/>
      <c r="E787" s="245"/>
      <c r="F787" s="245"/>
      <c r="G787" s="245"/>
      <c r="H787" s="248"/>
      <c r="I787" s="262"/>
      <c r="J787" s="245"/>
    </row>
    <row r="788" ht="15.75" customHeight="1">
      <c r="A788" s="244" t="s">
        <v>3214</v>
      </c>
      <c r="B788" s="245">
        <v>20.0</v>
      </c>
      <c r="C788" s="246"/>
      <c r="D788" s="247"/>
      <c r="E788" s="245"/>
      <c r="F788" s="245"/>
      <c r="G788" s="245"/>
      <c r="H788" s="248"/>
      <c r="I788" s="262"/>
      <c r="J788" s="245"/>
    </row>
    <row r="789" ht="15.75" customHeight="1">
      <c r="A789" s="244" t="s">
        <v>3214</v>
      </c>
      <c r="B789" s="245">
        <v>21.0</v>
      </c>
      <c r="C789" s="246"/>
      <c r="D789" s="247"/>
      <c r="E789" s="245"/>
      <c r="F789" s="245"/>
      <c r="G789" s="245"/>
      <c r="H789" s="248"/>
      <c r="I789" s="262"/>
      <c r="J789" s="245"/>
    </row>
    <row r="790" ht="15.75" customHeight="1">
      <c r="A790" s="244" t="s">
        <v>3214</v>
      </c>
      <c r="B790" s="245">
        <v>22.0</v>
      </c>
      <c r="C790" s="246"/>
      <c r="D790" s="247"/>
      <c r="E790" s="245"/>
      <c r="F790" s="245"/>
      <c r="G790" s="245"/>
      <c r="H790" s="248"/>
      <c r="I790" s="262"/>
      <c r="J790" s="245"/>
    </row>
    <row r="791" ht="15.75" customHeight="1">
      <c r="A791" s="244" t="s">
        <v>3214</v>
      </c>
      <c r="B791" s="245">
        <v>23.0</v>
      </c>
      <c r="C791" s="246"/>
      <c r="D791" s="247"/>
      <c r="E791" s="245"/>
      <c r="F791" s="245"/>
      <c r="G791" s="245"/>
      <c r="H791" s="248"/>
      <c r="I791" s="262"/>
      <c r="J791" s="245"/>
    </row>
    <row r="792" ht="15.75" customHeight="1">
      <c r="A792" s="256"/>
      <c r="B792" s="257"/>
      <c r="C792" s="257"/>
      <c r="D792" s="258"/>
      <c r="E792" s="257"/>
      <c r="F792" s="257"/>
      <c r="G792" s="257"/>
      <c r="H792" s="259"/>
      <c r="I792" s="260"/>
      <c r="J792" s="257"/>
    </row>
    <row r="793" ht="15.75" customHeight="1">
      <c r="A793" s="245"/>
      <c r="B793" s="245"/>
      <c r="C793" s="245"/>
      <c r="D793" s="247"/>
      <c r="E793" s="245"/>
      <c r="F793" s="245"/>
      <c r="G793" s="245"/>
      <c r="H793" s="248"/>
      <c r="I793" s="262"/>
      <c r="J793" s="245"/>
    </row>
    <row r="794" ht="15.75" customHeight="1">
      <c r="A794" s="245"/>
      <c r="B794" s="245"/>
      <c r="C794" s="245"/>
      <c r="D794" s="247"/>
      <c r="E794" s="245"/>
      <c r="F794" s="245"/>
      <c r="G794" s="245"/>
      <c r="H794" s="248"/>
      <c r="I794" s="262"/>
      <c r="J794" s="245"/>
    </row>
    <row r="795" ht="15.75" customHeight="1">
      <c r="A795" s="245"/>
      <c r="B795" s="245"/>
      <c r="C795" s="245"/>
      <c r="D795" s="247"/>
      <c r="E795" s="245"/>
      <c r="F795" s="245"/>
      <c r="G795" s="245"/>
      <c r="H795" s="248"/>
      <c r="I795" s="262"/>
      <c r="J795" s="245"/>
    </row>
    <row r="796" ht="15.75" customHeight="1">
      <c r="A796" s="245"/>
      <c r="B796" s="245"/>
      <c r="C796" s="245"/>
      <c r="D796" s="247"/>
      <c r="E796" s="245"/>
      <c r="F796" s="245"/>
      <c r="G796" s="245"/>
      <c r="H796" s="248"/>
      <c r="I796" s="262"/>
      <c r="J796" s="245"/>
    </row>
    <row r="797" ht="15.75" customHeight="1">
      <c r="A797" s="245"/>
      <c r="B797" s="245"/>
      <c r="C797" s="245"/>
      <c r="D797" s="247"/>
      <c r="E797" s="245"/>
      <c r="F797" s="245"/>
      <c r="G797" s="245"/>
      <c r="H797" s="248"/>
      <c r="I797" s="262"/>
      <c r="J797" s="245"/>
    </row>
    <row r="798" ht="15.75" customHeight="1">
      <c r="A798" s="245"/>
      <c r="B798" s="245"/>
      <c r="C798" s="245"/>
      <c r="D798" s="247"/>
      <c r="E798" s="245"/>
      <c r="F798" s="245"/>
      <c r="G798" s="245"/>
      <c r="H798" s="248"/>
      <c r="I798" s="262"/>
      <c r="J798" s="245"/>
    </row>
    <row r="799" ht="15.75" customHeight="1">
      <c r="A799" s="245"/>
      <c r="B799" s="245"/>
      <c r="C799" s="245"/>
      <c r="D799" s="247"/>
      <c r="E799" s="245"/>
      <c r="F799" s="245"/>
      <c r="G799" s="245"/>
      <c r="H799" s="248"/>
      <c r="I799" s="262"/>
      <c r="J799" s="245"/>
    </row>
    <row r="800" ht="15.75" customHeight="1">
      <c r="A800" s="245"/>
      <c r="B800" s="245"/>
      <c r="C800" s="245"/>
      <c r="D800" s="247"/>
      <c r="E800" s="245"/>
      <c r="F800" s="245"/>
      <c r="G800" s="245"/>
      <c r="H800" s="248"/>
      <c r="I800" s="262"/>
      <c r="J800" s="245"/>
    </row>
    <row r="801" ht="15.75" customHeight="1">
      <c r="A801" s="245"/>
      <c r="B801" s="245"/>
      <c r="C801" s="245"/>
      <c r="D801" s="247"/>
      <c r="E801" s="245"/>
      <c r="F801" s="245"/>
      <c r="G801" s="245"/>
      <c r="H801" s="248"/>
      <c r="I801" s="262"/>
      <c r="J801" s="245"/>
    </row>
    <row r="802" ht="15.75" customHeight="1">
      <c r="A802" s="245"/>
      <c r="B802" s="245"/>
      <c r="C802" s="245"/>
      <c r="D802" s="247"/>
      <c r="E802" s="245"/>
      <c r="F802" s="245"/>
      <c r="G802" s="245"/>
      <c r="H802" s="248"/>
      <c r="I802" s="262"/>
      <c r="J802" s="245"/>
    </row>
    <row r="803" ht="15.75" customHeight="1">
      <c r="A803" s="245"/>
      <c r="B803" s="245"/>
      <c r="C803" s="245"/>
      <c r="D803" s="247"/>
      <c r="E803" s="245"/>
      <c r="F803" s="245"/>
      <c r="G803" s="245"/>
      <c r="H803" s="248"/>
      <c r="I803" s="262"/>
      <c r="J803" s="245"/>
    </row>
    <row r="804" ht="15.75" customHeight="1">
      <c r="A804" s="245"/>
      <c r="B804" s="245"/>
      <c r="C804" s="245"/>
      <c r="D804" s="247"/>
      <c r="E804" s="245"/>
      <c r="F804" s="245"/>
      <c r="G804" s="245"/>
      <c r="H804" s="248"/>
      <c r="I804" s="262"/>
      <c r="J804" s="245"/>
    </row>
    <row r="805" ht="15.75" customHeight="1">
      <c r="A805" s="245"/>
      <c r="B805" s="245"/>
      <c r="C805" s="245"/>
      <c r="D805" s="247"/>
      <c r="E805" s="245"/>
      <c r="F805" s="245"/>
      <c r="G805" s="245"/>
      <c r="H805" s="248"/>
      <c r="I805" s="262"/>
      <c r="J805" s="245"/>
    </row>
    <row r="806" ht="15.75" customHeight="1">
      <c r="A806" s="245"/>
      <c r="B806" s="245"/>
      <c r="C806" s="245"/>
      <c r="D806" s="247"/>
      <c r="E806" s="245"/>
      <c r="F806" s="245"/>
      <c r="G806" s="245"/>
      <c r="H806" s="248"/>
      <c r="I806" s="262"/>
      <c r="J806" s="245"/>
    </row>
    <row r="807" ht="15.75" customHeight="1">
      <c r="A807" s="245"/>
      <c r="B807" s="245"/>
      <c r="C807" s="245"/>
      <c r="D807" s="247"/>
      <c r="E807" s="245"/>
      <c r="F807" s="245"/>
      <c r="G807" s="245"/>
      <c r="H807" s="248"/>
      <c r="I807" s="262"/>
      <c r="J807" s="245"/>
    </row>
    <row r="808" ht="15.75" customHeight="1">
      <c r="A808" s="245"/>
      <c r="B808" s="245"/>
      <c r="C808" s="245"/>
      <c r="D808" s="247"/>
      <c r="E808" s="245"/>
      <c r="F808" s="245"/>
      <c r="G808" s="245"/>
      <c r="H808" s="248"/>
      <c r="I808" s="262"/>
      <c r="J808" s="245"/>
    </row>
    <row r="809" ht="15.75" customHeight="1">
      <c r="A809" s="245"/>
      <c r="B809" s="245"/>
      <c r="C809" s="245"/>
      <c r="D809" s="247"/>
      <c r="E809" s="245"/>
      <c r="F809" s="245"/>
      <c r="G809" s="245"/>
      <c r="H809" s="248"/>
      <c r="I809" s="262"/>
      <c r="J809" s="245"/>
    </row>
    <row r="810" ht="15.75" customHeight="1">
      <c r="A810" s="245"/>
      <c r="B810" s="245"/>
      <c r="C810" s="245"/>
      <c r="D810" s="247"/>
      <c r="E810" s="245"/>
      <c r="F810" s="245"/>
      <c r="G810" s="245"/>
      <c r="H810" s="248"/>
      <c r="I810" s="262"/>
      <c r="J810" s="245"/>
    </row>
    <row r="811" ht="15.75" customHeight="1">
      <c r="A811" s="245"/>
      <c r="B811" s="245"/>
      <c r="C811" s="245"/>
      <c r="D811" s="247"/>
      <c r="E811" s="245"/>
      <c r="F811" s="245"/>
      <c r="G811" s="245"/>
      <c r="H811" s="248"/>
      <c r="I811" s="262"/>
      <c r="J811" s="245"/>
    </row>
    <row r="812" ht="15.75" customHeight="1">
      <c r="A812" s="245"/>
      <c r="B812" s="245"/>
      <c r="C812" s="245"/>
      <c r="D812" s="247"/>
      <c r="E812" s="245"/>
      <c r="F812" s="245"/>
      <c r="G812" s="245"/>
      <c r="H812" s="248"/>
      <c r="I812" s="262"/>
      <c r="J812" s="245"/>
    </row>
    <row r="813" ht="15.75" customHeight="1">
      <c r="A813" s="245"/>
      <c r="B813" s="245"/>
      <c r="C813" s="245"/>
      <c r="D813" s="247"/>
      <c r="E813" s="245"/>
      <c r="F813" s="245"/>
      <c r="G813" s="245"/>
      <c r="H813" s="248"/>
      <c r="I813" s="262"/>
      <c r="J813" s="245"/>
    </row>
    <row r="814" ht="15.75" customHeight="1">
      <c r="A814" s="245"/>
      <c r="B814" s="245"/>
      <c r="C814" s="245"/>
      <c r="D814" s="247"/>
      <c r="E814" s="245"/>
      <c r="F814" s="245"/>
      <c r="G814" s="245"/>
      <c r="H814" s="248"/>
      <c r="I814" s="262"/>
      <c r="J814" s="245"/>
    </row>
    <row r="815" ht="15.75" customHeight="1">
      <c r="A815" s="245"/>
      <c r="B815" s="245"/>
      <c r="C815" s="245"/>
      <c r="D815" s="247"/>
      <c r="E815" s="245"/>
      <c r="F815" s="245"/>
      <c r="G815" s="245"/>
      <c r="H815" s="248"/>
      <c r="I815" s="262"/>
      <c r="J815" s="245"/>
    </row>
    <row r="816" ht="15.75" customHeight="1">
      <c r="A816" s="245"/>
      <c r="B816" s="245"/>
      <c r="C816" s="245"/>
      <c r="D816" s="247"/>
      <c r="E816" s="245"/>
      <c r="F816" s="245"/>
      <c r="G816" s="245"/>
      <c r="H816" s="248"/>
      <c r="I816" s="262"/>
      <c r="J816" s="245"/>
    </row>
    <row r="817" ht="15.75" customHeight="1">
      <c r="A817" s="245"/>
      <c r="B817" s="245"/>
      <c r="C817" s="245"/>
      <c r="D817" s="247"/>
      <c r="E817" s="245"/>
      <c r="F817" s="245"/>
      <c r="G817" s="245"/>
      <c r="H817" s="248"/>
      <c r="I817" s="262"/>
      <c r="J817" s="245"/>
    </row>
    <row r="818" ht="15.75" customHeight="1">
      <c r="A818" s="245"/>
      <c r="B818" s="245"/>
      <c r="C818" s="245"/>
      <c r="D818" s="247"/>
      <c r="E818" s="245"/>
      <c r="F818" s="245"/>
      <c r="G818" s="245"/>
      <c r="H818" s="248"/>
      <c r="I818" s="262"/>
      <c r="J818" s="245"/>
    </row>
    <row r="819" ht="15.75" customHeight="1">
      <c r="A819" s="245"/>
      <c r="B819" s="245"/>
      <c r="C819" s="245"/>
      <c r="D819" s="247"/>
      <c r="E819" s="245"/>
      <c r="F819" s="245"/>
      <c r="G819" s="245"/>
      <c r="H819" s="248"/>
      <c r="I819" s="262"/>
      <c r="J819" s="245"/>
    </row>
    <row r="820" ht="15.75" customHeight="1">
      <c r="A820" s="245"/>
      <c r="B820" s="245"/>
      <c r="C820" s="245"/>
      <c r="D820" s="247"/>
      <c r="E820" s="245"/>
      <c r="F820" s="245"/>
      <c r="G820" s="245"/>
      <c r="H820" s="248"/>
      <c r="I820" s="262"/>
      <c r="J820" s="245"/>
    </row>
    <row r="821" ht="15.75" customHeight="1">
      <c r="A821" s="245"/>
      <c r="B821" s="245"/>
      <c r="C821" s="245"/>
      <c r="D821" s="247"/>
      <c r="E821" s="245"/>
      <c r="F821" s="245"/>
      <c r="G821" s="245"/>
      <c r="H821" s="248"/>
      <c r="I821" s="262"/>
      <c r="J821" s="245"/>
    </row>
    <row r="822" ht="15.75" customHeight="1">
      <c r="A822" s="245"/>
      <c r="B822" s="245"/>
      <c r="C822" s="245"/>
      <c r="D822" s="247"/>
      <c r="E822" s="245"/>
      <c r="F822" s="245"/>
      <c r="G822" s="245"/>
      <c r="H822" s="248"/>
      <c r="I822" s="262"/>
      <c r="J822" s="245"/>
    </row>
    <row r="823" ht="15.75" customHeight="1">
      <c r="A823" s="245"/>
      <c r="B823" s="245"/>
      <c r="C823" s="245"/>
      <c r="D823" s="247"/>
      <c r="E823" s="245"/>
      <c r="F823" s="245"/>
      <c r="G823" s="245"/>
      <c r="H823" s="248"/>
      <c r="I823" s="262"/>
      <c r="J823" s="245"/>
    </row>
    <row r="824" ht="15.75" customHeight="1">
      <c r="A824" s="245"/>
      <c r="B824" s="245"/>
      <c r="C824" s="245"/>
      <c r="D824" s="247"/>
      <c r="E824" s="245"/>
      <c r="F824" s="245"/>
      <c r="G824" s="245"/>
      <c r="H824" s="248"/>
      <c r="I824" s="262"/>
      <c r="J824" s="245"/>
    </row>
    <row r="825" ht="15.75" customHeight="1">
      <c r="A825" s="245"/>
      <c r="B825" s="245"/>
      <c r="C825" s="245"/>
      <c r="D825" s="247"/>
      <c r="E825" s="245"/>
      <c r="F825" s="245"/>
      <c r="G825" s="245"/>
      <c r="H825" s="248"/>
      <c r="I825" s="262"/>
      <c r="J825" s="245"/>
    </row>
    <row r="826" ht="15.75" customHeight="1">
      <c r="A826" s="245"/>
      <c r="B826" s="245"/>
      <c r="C826" s="245"/>
      <c r="D826" s="247"/>
      <c r="E826" s="245"/>
      <c r="F826" s="245"/>
      <c r="G826" s="245"/>
      <c r="H826" s="248"/>
      <c r="I826" s="262"/>
      <c r="J826" s="245"/>
    </row>
    <row r="827" ht="15.75" customHeight="1">
      <c r="A827" s="245"/>
      <c r="B827" s="245"/>
      <c r="C827" s="245"/>
      <c r="D827" s="247"/>
      <c r="E827" s="245"/>
      <c r="F827" s="245"/>
      <c r="G827" s="245"/>
      <c r="H827" s="248"/>
      <c r="I827" s="262"/>
      <c r="J827" s="245"/>
    </row>
    <row r="828" ht="15.75" customHeight="1">
      <c r="A828" s="245"/>
      <c r="B828" s="245"/>
      <c r="C828" s="245"/>
      <c r="D828" s="247"/>
      <c r="E828" s="245"/>
      <c r="F828" s="245"/>
      <c r="G828" s="245"/>
      <c r="H828" s="248"/>
      <c r="I828" s="262"/>
      <c r="J828" s="245"/>
    </row>
    <row r="829" ht="15.75" customHeight="1">
      <c r="A829" s="245"/>
      <c r="B829" s="245"/>
      <c r="C829" s="245"/>
      <c r="D829" s="247"/>
      <c r="E829" s="245"/>
      <c r="F829" s="245"/>
      <c r="G829" s="245"/>
      <c r="H829" s="248"/>
      <c r="I829" s="262"/>
      <c r="J829" s="245"/>
    </row>
    <row r="830" ht="15.75" customHeight="1">
      <c r="A830" s="245"/>
      <c r="B830" s="245"/>
      <c r="C830" s="245"/>
      <c r="D830" s="247"/>
      <c r="E830" s="245"/>
      <c r="F830" s="245"/>
      <c r="G830" s="245"/>
      <c r="H830" s="248"/>
      <c r="I830" s="262"/>
      <c r="J830" s="245"/>
    </row>
    <row r="831" ht="15.75" customHeight="1">
      <c r="A831" s="245"/>
      <c r="B831" s="245"/>
      <c r="C831" s="245"/>
      <c r="D831" s="247"/>
      <c r="E831" s="245"/>
      <c r="F831" s="245"/>
      <c r="G831" s="245"/>
      <c r="H831" s="248"/>
      <c r="I831" s="262"/>
      <c r="J831" s="245"/>
    </row>
    <row r="832" ht="15.75" customHeight="1">
      <c r="A832" s="245"/>
      <c r="B832" s="245"/>
      <c r="C832" s="245"/>
      <c r="D832" s="247"/>
      <c r="E832" s="245"/>
      <c r="F832" s="245"/>
      <c r="G832" s="245"/>
      <c r="H832" s="248"/>
      <c r="I832" s="262"/>
      <c r="J832" s="245"/>
    </row>
    <row r="833" ht="15.75" customHeight="1">
      <c r="A833" s="245"/>
      <c r="B833" s="245"/>
      <c r="C833" s="245"/>
      <c r="D833" s="247"/>
      <c r="E833" s="245"/>
      <c r="F833" s="245"/>
      <c r="G833" s="245"/>
      <c r="H833" s="248"/>
      <c r="I833" s="262"/>
      <c r="J833" s="245"/>
    </row>
    <row r="834" ht="15.75" customHeight="1">
      <c r="A834" s="245"/>
      <c r="B834" s="245"/>
      <c r="C834" s="245"/>
      <c r="D834" s="247"/>
      <c r="E834" s="245"/>
      <c r="F834" s="245"/>
      <c r="G834" s="245"/>
      <c r="H834" s="248"/>
      <c r="I834" s="262"/>
      <c r="J834" s="245"/>
    </row>
    <row r="835" ht="15.75" customHeight="1">
      <c r="A835" s="245"/>
      <c r="B835" s="245"/>
      <c r="C835" s="245"/>
      <c r="D835" s="247"/>
      <c r="E835" s="245"/>
      <c r="F835" s="245"/>
      <c r="G835" s="245"/>
      <c r="H835" s="248"/>
      <c r="I835" s="262"/>
      <c r="J835" s="245"/>
    </row>
    <row r="836" ht="15.75" customHeight="1">
      <c r="A836" s="245"/>
      <c r="B836" s="245"/>
      <c r="C836" s="245"/>
      <c r="D836" s="247"/>
      <c r="E836" s="245"/>
      <c r="F836" s="245"/>
      <c r="G836" s="245"/>
      <c r="H836" s="248"/>
      <c r="I836" s="262"/>
      <c r="J836" s="245"/>
    </row>
    <row r="837" ht="15.75" customHeight="1">
      <c r="A837" s="245"/>
      <c r="B837" s="245"/>
      <c r="C837" s="245"/>
      <c r="D837" s="247"/>
      <c r="E837" s="245"/>
      <c r="F837" s="245"/>
      <c r="G837" s="245"/>
      <c r="H837" s="248"/>
      <c r="I837" s="262"/>
      <c r="J837" s="245"/>
    </row>
    <row r="838" ht="15.75" customHeight="1">
      <c r="A838" s="245"/>
      <c r="B838" s="245"/>
      <c r="C838" s="245"/>
      <c r="D838" s="247"/>
      <c r="E838" s="245"/>
      <c r="F838" s="245"/>
      <c r="G838" s="245"/>
      <c r="H838" s="248"/>
      <c r="I838" s="262"/>
      <c r="J838" s="245"/>
    </row>
    <row r="839" ht="15.75" customHeight="1">
      <c r="A839" s="245"/>
      <c r="B839" s="245"/>
      <c r="C839" s="245"/>
      <c r="D839" s="247"/>
      <c r="E839" s="245"/>
      <c r="F839" s="245"/>
      <c r="G839" s="245"/>
      <c r="H839" s="248"/>
      <c r="I839" s="262"/>
      <c r="J839" s="245"/>
    </row>
    <row r="840" ht="15.75" customHeight="1">
      <c r="A840" s="245"/>
      <c r="B840" s="245"/>
      <c r="C840" s="245"/>
      <c r="D840" s="247"/>
      <c r="E840" s="245"/>
      <c r="F840" s="245"/>
      <c r="G840" s="245"/>
      <c r="H840" s="248"/>
      <c r="I840" s="262"/>
      <c r="J840" s="245"/>
    </row>
    <row r="841" ht="15.75" customHeight="1">
      <c r="A841" s="245"/>
      <c r="B841" s="245"/>
      <c r="C841" s="245"/>
      <c r="D841" s="247"/>
      <c r="E841" s="245"/>
      <c r="F841" s="245"/>
      <c r="G841" s="245"/>
      <c r="H841" s="248"/>
      <c r="I841" s="262"/>
      <c r="J841" s="245"/>
    </row>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J1"/>
    <mergeCell ref="A103:J103"/>
    <mergeCell ref="A205:J205"/>
    <mergeCell ref="A307:J307"/>
    <mergeCell ref="A490:J490"/>
    <mergeCell ref="A592:J592"/>
    <mergeCell ref="A694:J694"/>
  </mergeCells>
  <dataValidations>
    <dataValidation type="list" allowBlank="1" showErrorMessage="1" sqref="A3:A99 A105:A201 A207:A303 A309:A486 A492:A588 A594:A690 A696:A792">
      <formula1>"1°,2°,3°,4°"</formula1>
    </dataValidation>
  </dataValidations>
  <printOptions/>
  <pageMargins bottom="0.0" footer="0.0" header="0.0" left="0.0" right="0.0" top="0.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0"/>
    <col customWidth="1" min="2" max="2" width="14.63"/>
    <col customWidth="1" min="3" max="3" width="15.13"/>
    <col customWidth="1" min="4" max="4" width="9.13"/>
    <col customWidth="1" min="5" max="5" width="11.5"/>
    <col customWidth="1" min="6" max="6" width="25.5"/>
    <col customWidth="1" min="7" max="7" width="28.38"/>
    <col customWidth="1" min="8" max="8" width="9.13"/>
    <col customWidth="1" min="9" max="9" width="8.88"/>
    <col customWidth="1" min="10" max="10" width="46.0"/>
    <col customWidth="1" min="11" max="11" width="18.88"/>
    <col customWidth="1" min="12" max="12" width="47.13"/>
    <col customWidth="1" min="13" max="13" width="43.38"/>
    <col customWidth="1" min="14" max="14" width="25.38"/>
    <col customWidth="1" min="15" max="16" width="49.88"/>
    <col customWidth="1" min="17" max="17" width="33.13"/>
    <col customWidth="1" min="18" max="18" width="47.13"/>
    <col customWidth="1" min="19" max="19" width="28.88"/>
    <col customWidth="1" min="20" max="20" width="39.38"/>
    <col customWidth="1" min="21" max="21" width="48.38"/>
    <col customWidth="1" min="22" max="26" width="8.88"/>
  </cols>
  <sheetData>
    <row r="1" ht="12.75" customHeight="1">
      <c r="A1" s="279"/>
      <c r="B1" s="280"/>
      <c r="C1" s="280"/>
      <c r="D1" s="281"/>
      <c r="E1" s="281"/>
      <c r="F1" s="282"/>
      <c r="G1" s="280"/>
      <c r="H1" s="281"/>
      <c r="I1" s="281"/>
      <c r="J1" s="283"/>
      <c r="K1" s="280"/>
      <c r="L1" s="279"/>
      <c r="M1" s="279"/>
      <c r="N1" s="279"/>
      <c r="O1" s="284"/>
      <c r="P1" s="279"/>
      <c r="Q1" s="284"/>
      <c r="R1" s="284"/>
      <c r="S1" s="279"/>
      <c r="T1" s="279"/>
      <c r="U1" s="279"/>
      <c r="V1" s="285"/>
      <c r="W1" s="285"/>
      <c r="X1" s="285"/>
      <c r="Y1" s="285"/>
      <c r="Z1" s="285"/>
    </row>
    <row r="2" ht="27.0" customHeight="1">
      <c r="A2" s="9" t="s">
        <v>3493</v>
      </c>
      <c r="B2" s="9" t="s">
        <v>2174</v>
      </c>
      <c r="C2" s="9" t="s">
        <v>2175</v>
      </c>
      <c r="D2" s="9" t="s">
        <v>1137</v>
      </c>
      <c r="E2" s="9" t="s">
        <v>1138</v>
      </c>
      <c r="F2" s="44" t="s">
        <v>2176</v>
      </c>
      <c r="G2" s="9" t="s">
        <v>2177</v>
      </c>
      <c r="H2" s="9" t="s">
        <v>2178</v>
      </c>
      <c r="I2" s="286" t="s">
        <v>2179</v>
      </c>
      <c r="J2" s="9" t="s">
        <v>2180</v>
      </c>
      <c r="K2" s="9" t="s">
        <v>2181</v>
      </c>
      <c r="L2" s="9" t="s">
        <v>2182</v>
      </c>
      <c r="M2" s="9" t="s">
        <v>2183</v>
      </c>
      <c r="N2" s="9" t="s">
        <v>2184</v>
      </c>
      <c r="O2" s="44" t="s">
        <v>2185</v>
      </c>
      <c r="P2" s="9" t="s">
        <v>2186</v>
      </c>
      <c r="Q2" s="44" t="s">
        <v>3494</v>
      </c>
      <c r="R2" s="44" t="s">
        <v>3495</v>
      </c>
      <c r="S2" s="9" t="s">
        <v>2187</v>
      </c>
      <c r="T2" s="9" t="s">
        <v>2188</v>
      </c>
      <c r="U2" s="9" t="s">
        <v>3496</v>
      </c>
      <c r="V2" s="75"/>
      <c r="W2" s="75"/>
      <c r="X2" s="75"/>
      <c r="Y2" s="75"/>
      <c r="Z2" s="75"/>
    </row>
    <row r="3" ht="99.0" customHeight="1">
      <c r="A3" s="287"/>
      <c r="B3" s="18" t="s">
        <v>20</v>
      </c>
      <c r="C3" s="18" t="s">
        <v>2464</v>
      </c>
      <c r="D3" s="288" t="s">
        <v>22</v>
      </c>
      <c r="E3" s="288">
        <v>1.0</v>
      </c>
      <c r="F3" s="45" t="s">
        <v>2190</v>
      </c>
      <c r="G3" s="18" t="s">
        <v>2465</v>
      </c>
      <c r="H3" s="289">
        <v>1.0</v>
      </c>
      <c r="I3" s="289">
        <v>1.0</v>
      </c>
      <c r="J3" s="290" t="s">
        <v>3497</v>
      </c>
      <c r="K3" s="291" t="s">
        <v>2240</v>
      </c>
      <c r="L3" s="292"/>
      <c r="M3" s="292"/>
      <c r="N3" s="292"/>
      <c r="O3" s="293"/>
      <c r="P3" s="294"/>
      <c r="Q3" s="295"/>
      <c r="R3" s="295"/>
      <c r="S3" s="294"/>
      <c r="T3" s="294"/>
      <c r="U3" s="294"/>
      <c r="V3" s="285"/>
      <c r="W3" s="285"/>
      <c r="X3" s="285"/>
      <c r="Y3" s="285"/>
      <c r="Z3" s="285"/>
    </row>
    <row r="4" ht="70.5" customHeight="1">
      <c r="A4" s="20"/>
      <c r="B4" s="20"/>
      <c r="C4" s="20"/>
      <c r="D4" s="20"/>
      <c r="E4" s="20"/>
      <c r="F4" s="20"/>
      <c r="G4" s="19"/>
      <c r="H4" s="289">
        <v>2.0</v>
      </c>
      <c r="I4" s="289">
        <v>2.0</v>
      </c>
      <c r="J4" s="290" t="s">
        <v>3498</v>
      </c>
      <c r="K4" s="291" t="s">
        <v>2240</v>
      </c>
      <c r="L4" s="292"/>
      <c r="M4" s="292"/>
      <c r="N4" s="292"/>
      <c r="O4" s="293"/>
      <c r="P4" s="294"/>
      <c r="Q4" s="295"/>
      <c r="R4" s="295"/>
      <c r="S4" s="294"/>
      <c r="T4" s="294"/>
      <c r="U4" s="294"/>
      <c r="V4" s="285"/>
      <c r="W4" s="285"/>
      <c r="X4" s="285"/>
      <c r="Y4" s="285"/>
      <c r="Z4" s="285"/>
    </row>
    <row r="5" ht="67.5" customHeight="1">
      <c r="A5" s="287"/>
      <c r="B5" s="18" t="s">
        <v>20</v>
      </c>
      <c r="C5" s="18" t="s">
        <v>2464</v>
      </c>
      <c r="D5" s="288" t="s">
        <v>22</v>
      </c>
      <c r="E5" s="288">
        <v>2.0</v>
      </c>
      <c r="F5" s="45" t="s">
        <v>2203</v>
      </c>
      <c r="G5" s="19"/>
      <c r="H5" s="289">
        <v>3.0</v>
      </c>
      <c r="I5" s="289">
        <v>3.0</v>
      </c>
      <c r="J5" s="290" t="s">
        <v>3499</v>
      </c>
      <c r="K5" s="291" t="s">
        <v>2240</v>
      </c>
      <c r="L5" s="292"/>
      <c r="M5" s="292"/>
      <c r="N5" s="292"/>
      <c r="O5" s="295"/>
      <c r="P5" s="292"/>
      <c r="Q5" s="295"/>
      <c r="R5" s="295"/>
      <c r="S5" s="294"/>
      <c r="T5" s="294"/>
      <c r="U5" s="294"/>
      <c r="V5" s="285"/>
      <c r="W5" s="285"/>
      <c r="X5" s="285"/>
      <c r="Y5" s="285"/>
      <c r="Z5" s="285"/>
    </row>
    <row r="6" ht="63.75" customHeight="1">
      <c r="A6" s="20"/>
      <c r="B6" s="20"/>
      <c r="C6" s="20"/>
      <c r="D6" s="20"/>
      <c r="E6" s="20"/>
      <c r="F6" s="20"/>
      <c r="G6" s="20"/>
      <c r="H6" s="289">
        <v>4.0</v>
      </c>
      <c r="I6" s="289">
        <v>4.0</v>
      </c>
      <c r="J6" s="290" t="s">
        <v>3500</v>
      </c>
      <c r="K6" s="291" t="s">
        <v>2240</v>
      </c>
      <c r="L6" s="292"/>
      <c r="M6" s="292"/>
      <c r="N6" s="292"/>
      <c r="O6" s="295"/>
      <c r="P6" s="292"/>
      <c r="Q6" s="295"/>
      <c r="R6" s="295"/>
      <c r="S6" s="294"/>
      <c r="T6" s="294"/>
      <c r="U6" s="294"/>
      <c r="V6" s="285"/>
      <c r="W6" s="285"/>
      <c r="X6" s="285"/>
      <c r="Y6" s="285"/>
      <c r="Z6" s="285"/>
    </row>
    <row r="7" ht="61.5" customHeight="1">
      <c r="A7" s="285"/>
      <c r="B7" s="50" t="s">
        <v>20</v>
      </c>
      <c r="C7" s="50" t="s">
        <v>2464</v>
      </c>
      <c r="D7" s="296" t="s">
        <v>22</v>
      </c>
      <c r="E7" s="297">
        <v>3.0</v>
      </c>
      <c r="F7" s="52" t="s">
        <v>2211</v>
      </c>
      <c r="G7" s="51" t="s">
        <v>2212</v>
      </c>
      <c r="H7" s="296"/>
      <c r="I7" s="296"/>
      <c r="J7" s="53"/>
      <c r="K7" s="50"/>
      <c r="L7" s="54"/>
      <c r="M7" s="54"/>
      <c r="N7" s="54"/>
      <c r="O7" s="298"/>
      <c r="P7" s="54"/>
      <c r="Q7" s="298"/>
      <c r="R7" s="298"/>
      <c r="S7" s="299"/>
      <c r="T7" s="299"/>
      <c r="U7" s="299"/>
      <c r="V7" s="285"/>
      <c r="W7" s="285"/>
      <c r="X7" s="285"/>
      <c r="Y7" s="285"/>
      <c r="Z7" s="285"/>
    </row>
    <row r="8" ht="73.5" customHeight="1">
      <c r="A8" s="287"/>
      <c r="B8" s="18" t="s">
        <v>20</v>
      </c>
      <c r="C8" s="18" t="s">
        <v>2464</v>
      </c>
      <c r="D8" s="288" t="s">
        <v>22</v>
      </c>
      <c r="E8" s="300">
        <v>4.0</v>
      </c>
      <c r="F8" s="57" t="s">
        <v>2213</v>
      </c>
      <c r="G8" s="18" t="s">
        <v>2480</v>
      </c>
      <c r="H8" s="289">
        <v>1.0</v>
      </c>
      <c r="I8" s="289">
        <v>5.0</v>
      </c>
      <c r="J8" s="290" t="s">
        <v>2481</v>
      </c>
      <c r="K8" s="291" t="s">
        <v>2193</v>
      </c>
      <c r="L8" s="292"/>
      <c r="M8" s="292"/>
      <c r="N8" s="292"/>
      <c r="O8" s="295"/>
      <c r="P8" s="292"/>
      <c r="Q8" s="295"/>
      <c r="R8" s="295"/>
      <c r="S8" s="294"/>
      <c r="T8" s="294"/>
      <c r="U8" s="292"/>
      <c r="V8" s="285"/>
      <c r="W8" s="285"/>
      <c r="X8" s="285"/>
      <c r="Y8" s="285"/>
      <c r="Z8" s="285"/>
    </row>
    <row r="9" ht="60.75" customHeight="1">
      <c r="A9" s="20"/>
      <c r="B9" s="20"/>
      <c r="C9" s="20"/>
      <c r="D9" s="20"/>
      <c r="E9" s="20"/>
      <c r="F9" s="95"/>
      <c r="G9" s="19"/>
      <c r="H9" s="289">
        <v>2.0</v>
      </c>
      <c r="I9" s="289">
        <v>6.0</v>
      </c>
      <c r="J9" s="290" t="s">
        <v>2486</v>
      </c>
      <c r="K9" s="291" t="s">
        <v>2240</v>
      </c>
      <c r="L9" s="292"/>
      <c r="M9" s="292"/>
      <c r="N9" s="292"/>
      <c r="O9" s="295"/>
      <c r="P9" s="292"/>
      <c r="Q9" s="295"/>
      <c r="R9" s="295"/>
      <c r="S9" s="294"/>
      <c r="T9" s="294"/>
      <c r="U9" s="292"/>
      <c r="V9" s="285"/>
      <c r="W9" s="285"/>
      <c r="X9" s="285"/>
      <c r="Y9" s="285"/>
      <c r="Z9" s="285"/>
    </row>
    <row r="10" ht="75.75" customHeight="1">
      <c r="A10" s="287"/>
      <c r="B10" s="18" t="s">
        <v>20</v>
      </c>
      <c r="C10" s="18" t="s">
        <v>2464</v>
      </c>
      <c r="D10" s="288" t="s">
        <v>22</v>
      </c>
      <c r="E10" s="301">
        <v>5.0</v>
      </c>
      <c r="F10" s="159" t="s">
        <v>2223</v>
      </c>
      <c r="G10" s="19"/>
      <c r="H10" s="289">
        <v>3.0</v>
      </c>
      <c r="I10" s="289">
        <v>7.0</v>
      </c>
      <c r="J10" s="290" t="s">
        <v>2491</v>
      </c>
      <c r="K10" s="291" t="s">
        <v>2240</v>
      </c>
      <c r="L10" s="292"/>
      <c r="M10" s="292"/>
      <c r="N10" s="292"/>
      <c r="O10" s="295"/>
      <c r="P10" s="292"/>
      <c r="Q10" s="295"/>
      <c r="R10" s="295"/>
      <c r="S10" s="292"/>
      <c r="T10" s="292"/>
      <c r="U10" s="292"/>
      <c r="V10" s="285"/>
      <c r="W10" s="285"/>
      <c r="X10" s="285"/>
      <c r="Y10" s="285"/>
      <c r="Z10" s="285"/>
    </row>
    <row r="11" ht="48.0" customHeight="1">
      <c r="A11" s="20"/>
      <c r="B11" s="20"/>
      <c r="C11" s="20"/>
      <c r="D11" s="20"/>
      <c r="E11" s="76"/>
      <c r="F11" s="20"/>
      <c r="G11" s="20"/>
      <c r="H11" s="289">
        <v>4.0</v>
      </c>
      <c r="I11" s="289">
        <v>8.0</v>
      </c>
      <c r="J11" s="290" t="s">
        <v>2496</v>
      </c>
      <c r="K11" s="291" t="s">
        <v>2240</v>
      </c>
      <c r="L11" s="292"/>
      <c r="M11" s="292"/>
      <c r="N11" s="292"/>
      <c r="O11" s="295"/>
      <c r="P11" s="292"/>
      <c r="Q11" s="295"/>
      <c r="R11" s="295"/>
      <c r="S11" s="292"/>
      <c r="T11" s="292"/>
      <c r="U11" s="292"/>
      <c r="V11" s="285"/>
      <c r="W11" s="285"/>
      <c r="X11" s="285"/>
      <c r="Y11" s="285"/>
      <c r="Z11" s="285"/>
    </row>
    <row r="12" ht="72.75" customHeight="1">
      <c r="A12" s="285"/>
      <c r="B12" s="65" t="s">
        <v>20</v>
      </c>
      <c r="C12" s="65" t="s">
        <v>2464</v>
      </c>
      <c r="D12" s="302" t="s">
        <v>22</v>
      </c>
      <c r="E12" s="302">
        <v>6.0</v>
      </c>
      <c r="F12" s="160" t="s">
        <v>2232</v>
      </c>
      <c r="G12" s="86"/>
      <c r="H12" s="302" t="s">
        <v>2233</v>
      </c>
      <c r="I12" s="302" t="s">
        <v>1709</v>
      </c>
      <c r="J12" s="69" t="s">
        <v>3501</v>
      </c>
      <c r="K12" s="70"/>
      <c r="L12" s="70"/>
      <c r="M12" s="70"/>
      <c r="N12" s="70" t="s">
        <v>2235</v>
      </c>
      <c r="O12" s="303" t="s">
        <v>2235</v>
      </c>
      <c r="P12" s="70" t="s">
        <v>2236</v>
      </c>
      <c r="Q12" s="303" t="s">
        <v>2236</v>
      </c>
      <c r="R12" s="303" t="s">
        <v>2235</v>
      </c>
      <c r="S12" s="70" t="s">
        <v>2235</v>
      </c>
      <c r="T12" s="70"/>
      <c r="U12" s="304"/>
      <c r="V12" s="285"/>
      <c r="W12" s="285"/>
      <c r="X12" s="285"/>
      <c r="Y12" s="285"/>
      <c r="Z12" s="285"/>
    </row>
    <row r="13" ht="71.25" customHeight="1">
      <c r="A13" s="287"/>
      <c r="B13" s="18" t="s">
        <v>20</v>
      </c>
      <c r="C13" s="18" t="s">
        <v>2464</v>
      </c>
      <c r="D13" s="288" t="s">
        <v>22</v>
      </c>
      <c r="E13" s="300">
        <v>7.0</v>
      </c>
      <c r="F13" s="45" t="s">
        <v>2237</v>
      </c>
      <c r="G13" s="18" t="s">
        <v>3502</v>
      </c>
      <c r="H13" s="305">
        <v>1.0</v>
      </c>
      <c r="I13" s="289">
        <v>11.0</v>
      </c>
      <c r="J13" s="58" t="s">
        <v>2503</v>
      </c>
      <c r="K13" s="291" t="s">
        <v>2193</v>
      </c>
      <c r="L13" s="292"/>
      <c r="M13" s="292"/>
      <c r="N13" s="306"/>
      <c r="O13" s="295"/>
      <c r="P13" s="292"/>
      <c r="Q13" s="295"/>
      <c r="R13" s="295"/>
      <c r="S13" s="294"/>
      <c r="T13" s="294"/>
      <c r="U13" s="292"/>
      <c r="V13" s="285"/>
      <c r="W13" s="285"/>
      <c r="X13" s="285"/>
      <c r="Y13" s="285"/>
      <c r="Z13" s="285"/>
    </row>
    <row r="14" ht="64.5" customHeight="1">
      <c r="A14" s="20"/>
      <c r="B14" s="20"/>
      <c r="C14" s="20"/>
      <c r="D14" s="20"/>
      <c r="E14" s="20"/>
      <c r="F14" s="20"/>
      <c r="G14" s="19"/>
      <c r="H14" s="305">
        <v>2.0</v>
      </c>
      <c r="I14" s="289">
        <v>12.0</v>
      </c>
      <c r="J14" s="58" t="s">
        <v>2508</v>
      </c>
      <c r="K14" s="291" t="s">
        <v>2193</v>
      </c>
      <c r="L14" s="292"/>
      <c r="M14" s="292"/>
      <c r="N14" s="306"/>
      <c r="O14" s="295"/>
      <c r="P14" s="292"/>
      <c r="Q14" s="295"/>
      <c r="R14" s="295"/>
      <c r="S14" s="294"/>
      <c r="T14" s="294"/>
      <c r="U14" s="292"/>
      <c r="V14" s="285"/>
      <c r="W14" s="285"/>
      <c r="X14" s="285"/>
      <c r="Y14" s="285"/>
      <c r="Z14" s="285"/>
    </row>
    <row r="15" ht="63.75" customHeight="1">
      <c r="A15" s="287"/>
      <c r="B15" s="18" t="s">
        <v>20</v>
      </c>
      <c r="C15" s="18" t="s">
        <v>2464</v>
      </c>
      <c r="D15" s="288" t="s">
        <v>22</v>
      </c>
      <c r="E15" s="300">
        <v>8.0</v>
      </c>
      <c r="F15" s="159" t="s">
        <v>2250</v>
      </c>
      <c r="G15" s="19"/>
      <c r="H15" s="305">
        <v>3.0</v>
      </c>
      <c r="I15" s="289">
        <v>13.0</v>
      </c>
      <c r="J15" s="58" t="s">
        <v>2511</v>
      </c>
      <c r="K15" s="291" t="s">
        <v>2193</v>
      </c>
      <c r="L15" s="292"/>
      <c r="M15" s="292"/>
      <c r="N15" s="306"/>
      <c r="O15" s="295"/>
      <c r="P15" s="292"/>
      <c r="Q15" s="295"/>
      <c r="R15" s="295"/>
      <c r="S15" s="294"/>
      <c r="T15" s="294"/>
      <c r="U15" s="292"/>
      <c r="V15" s="285"/>
      <c r="W15" s="285"/>
      <c r="X15" s="285"/>
      <c r="Y15" s="285"/>
      <c r="Z15" s="285"/>
    </row>
    <row r="16" ht="63.0" customHeight="1">
      <c r="A16" s="20"/>
      <c r="B16" s="20"/>
      <c r="C16" s="20"/>
      <c r="D16" s="20"/>
      <c r="E16" s="20"/>
      <c r="F16" s="20"/>
      <c r="G16" s="20"/>
      <c r="H16" s="305">
        <v>4.0</v>
      </c>
      <c r="I16" s="289">
        <v>14.0</v>
      </c>
      <c r="J16" s="58" t="s">
        <v>2514</v>
      </c>
      <c r="K16" s="291" t="s">
        <v>2193</v>
      </c>
      <c r="L16" s="292"/>
      <c r="M16" s="292"/>
      <c r="N16" s="292"/>
      <c r="O16" s="295"/>
      <c r="P16" s="292"/>
      <c r="Q16" s="295"/>
      <c r="R16" s="295"/>
      <c r="S16" s="294"/>
      <c r="T16" s="294"/>
      <c r="U16" s="292"/>
      <c r="V16" s="285"/>
      <c r="W16" s="285"/>
      <c r="X16" s="285"/>
      <c r="Y16" s="285"/>
      <c r="Z16" s="285"/>
    </row>
    <row r="17" ht="63.0" customHeight="1">
      <c r="A17" s="285"/>
      <c r="B17" s="80" t="s">
        <v>20</v>
      </c>
      <c r="C17" s="80" t="s">
        <v>2464</v>
      </c>
      <c r="D17" s="307" t="s">
        <v>22</v>
      </c>
      <c r="E17" s="307">
        <v>9.0</v>
      </c>
      <c r="F17" s="82" t="s">
        <v>2257</v>
      </c>
      <c r="G17" s="80"/>
      <c r="H17" s="307" t="s">
        <v>2233</v>
      </c>
      <c r="I17" s="307" t="s">
        <v>2258</v>
      </c>
      <c r="J17" s="83" t="s">
        <v>2259</v>
      </c>
      <c r="K17" s="80"/>
      <c r="L17" s="84"/>
      <c r="M17" s="84"/>
      <c r="N17" s="84"/>
      <c r="O17" s="308" t="s">
        <v>2235</v>
      </c>
      <c r="P17" s="84" t="s">
        <v>2235</v>
      </c>
      <c r="Q17" s="308" t="s">
        <v>2236</v>
      </c>
      <c r="R17" s="308" t="s">
        <v>2236</v>
      </c>
      <c r="S17" s="84" t="s">
        <v>2235</v>
      </c>
      <c r="T17" s="84" t="s">
        <v>2235</v>
      </c>
      <c r="U17" s="84"/>
      <c r="V17" s="285"/>
      <c r="W17" s="285"/>
      <c r="X17" s="285"/>
      <c r="Y17" s="285"/>
      <c r="Z17" s="285"/>
    </row>
    <row r="18" ht="100.5" customHeight="1">
      <c r="A18" s="285"/>
      <c r="B18" s="65" t="s">
        <v>20</v>
      </c>
      <c r="C18" s="65" t="s">
        <v>2464</v>
      </c>
      <c r="D18" s="302" t="s">
        <v>22</v>
      </c>
      <c r="E18" s="302">
        <v>10.0</v>
      </c>
      <c r="F18" s="67" t="s">
        <v>2260</v>
      </c>
      <c r="G18" s="65"/>
      <c r="H18" s="302" t="s">
        <v>2233</v>
      </c>
      <c r="I18" s="302" t="s">
        <v>2261</v>
      </c>
      <c r="J18" s="69" t="s">
        <v>3503</v>
      </c>
      <c r="K18" s="70"/>
      <c r="L18" s="70"/>
      <c r="M18" s="70"/>
      <c r="N18" s="70" t="s">
        <v>2235</v>
      </c>
      <c r="O18" s="303" t="s">
        <v>2235</v>
      </c>
      <c r="P18" s="70" t="s">
        <v>2236</v>
      </c>
      <c r="Q18" s="303" t="s">
        <v>2236</v>
      </c>
      <c r="R18" s="303" t="s">
        <v>2235</v>
      </c>
      <c r="S18" s="70" t="s">
        <v>2235</v>
      </c>
      <c r="T18" s="70"/>
      <c r="U18" s="304"/>
      <c r="V18" s="285"/>
      <c r="W18" s="285"/>
      <c r="X18" s="285"/>
      <c r="Y18" s="285"/>
      <c r="Z18" s="285"/>
    </row>
    <row r="19" ht="92.25" customHeight="1">
      <c r="A19" s="309"/>
      <c r="B19" s="87" t="s">
        <v>20</v>
      </c>
      <c r="C19" s="87" t="s">
        <v>2464</v>
      </c>
      <c r="D19" s="310" t="s">
        <v>22</v>
      </c>
      <c r="E19" s="310">
        <v>11.0</v>
      </c>
      <c r="F19" s="162" t="s">
        <v>3504</v>
      </c>
      <c r="G19" s="100"/>
      <c r="H19" s="310" t="s">
        <v>2233</v>
      </c>
      <c r="I19" s="310" t="s">
        <v>2264</v>
      </c>
      <c r="J19" s="90" t="s">
        <v>2265</v>
      </c>
      <c r="K19" s="91"/>
      <c r="L19" s="91"/>
      <c r="M19" s="91"/>
      <c r="N19" s="91"/>
      <c r="O19" s="311"/>
      <c r="P19" s="91"/>
      <c r="Q19" s="311"/>
      <c r="R19" s="311"/>
      <c r="S19" s="91"/>
      <c r="T19" s="91"/>
      <c r="U19" s="312"/>
      <c r="V19" s="285"/>
      <c r="W19" s="285"/>
      <c r="X19" s="285"/>
      <c r="Y19" s="285"/>
      <c r="Z19" s="285"/>
    </row>
    <row r="20" ht="87.75" customHeight="1">
      <c r="A20" s="287"/>
      <c r="B20" s="18" t="s">
        <v>20</v>
      </c>
      <c r="C20" s="18" t="s">
        <v>2464</v>
      </c>
      <c r="D20" s="288" t="s">
        <v>153</v>
      </c>
      <c r="E20" s="288">
        <v>12.0</v>
      </c>
      <c r="F20" s="45" t="s">
        <v>2266</v>
      </c>
      <c r="G20" s="18" t="s">
        <v>3505</v>
      </c>
      <c r="H20" s="289">
        <v>1.0</v>
      </c>
      <c r="I20" s="289">
        <v>21.0</v>
      </c>
      <c r="J20" s="58"/>
      <c r="K20" s="291" t="s">
        <v>2240</v>
      </c>
      <c r="L20" s="292"/>
      <c r="M20" s="292"/>
      <c r="N20" s="292"/>
      <c r="O20" s="295"/>
      <c r="P20" s="292"/>
      <c r="Q20" s="295"/>
      <c r="R20" s="295"/>
      <c r="S20" s="292"/>
      <c r="T20" s="292"/>
      <c r="U20" s="292"/>
      <c r="V20" s="285"/>
      <c r="W20" s="285"/>
      <c r="X20" s="285"/>
      <c r="Y20" s="285"/>
      <c r="Z20" s="285"/>
    </row>
    <row r="21" ht="81.75" customHeight="1">
      <c r="A21" s="20"/>
      <c r="B21" s="20"/>
      <c r="C21" s="20"/>
      <c r="D21" s="20"/>
      <c r="E21" s="20"/>
      <c r="F21" s="20"/>
      <c r="G21" s="19"/>
      <c r="H21" s="289">
        <v>2.0</v>
      </c>
      <c r="I21" s="289">
        <v>22.0</v>
      </c>
      <c r="J21" s="58"/>
      <c r="K21" s="291" t="s">
        <v>2240</v>
      </c>
      <c r="L21" s="292"/>
      <c r="M21" s="292"/>
      <c r="N21" s="292"/>
      <c r="O21" s="295"/>
      <c r="P21" s="292"/>
      <c r="Q21" s="295"/>
      <c r="R21" s="295"/>
      <c r="S21" s="292"/>
      <c r="T21" s="292"/>
      <c r="U21" s="292"/>
      <c r="V21" s="285"/>
      <c r="W21" s="285"/>
      <c r="X21" s="285"/>
      <c r="Y21" s="285"/>
      <c r="Z21" s="285"/>
    </row>
    <row r="22" ht="62.25" customHeight="1">
      <c r="A22" s="287"/>
      <c r="B22" s="18" t="s">
        <v>20</v>
      </c>
      <c r="C22" s="18" t="s">
        <v>2464</v>
      </c>
      <c r="D22" s="288" t="s">
        <v>153</v>
      </c>
      <c r="E22" s="288">
        <v>13.0</v>
      </c>
      <c r="F22" s="45" t="s">
        <v>2274</v>
      </c>
      <c r="G22" s="19"/>
      <c r="H22" s="289">
        <v>3.0</v>
      </c>
      <c r="I22" s="289">
        <v>23.0</v>
      </c>
      <c r="J22" s="58"/>
      <c r="K22" s="291" t="s">
        <v>2240</v>
      </c>
      <c r="L22" s="292"/>
      <c r="M22" s="292"/>
      <c r="N22" s="292"/>
      <c r="O22" s="295"/>
      <c r="P22" s="292"/>
      <c r="Q22" s="295"/>
      <c r="R22" s="295"/>
      <c r="S22" s="294"/>
      <c r="T22" s="294"/>
      <c r="U22" s="292"/>
      <c r="V22" s="285"/>
      <c r="W22" s="285"/>
      <c r="X22" s="285"/>
      <c r="Y22" s="285"/>
      <c r="Z22" s="285"/>
    </row>
    <row r="23" ht="71.25" customHeight="1">
      <c r="A23" s="20"/>
      <c r="B23" s="20"/>
      <c r="C23" s="20"/>
      <c r="D23" s="20"/>
      <c r="E23" s="20"/>
      <c r="F23" s="20"/>
      <c r="G23" s="20"/>
      <c r="H23" s="289">
        <v>4.0</v>
      </c>
      <c r="I23" s="289">
        <v>24.0</v>
      </c>
      <c r="J23" s="58"/>
      <c r="K23" s="291" t="s">
        <v>2240</v>
      </c>
      <c r="L23" s="292"/>
      <c r="M23" s="292"/>
      <c r="N23" s="292"/>
      <c r="O23" s="295"/>
      <c r="P23" s="292"/>
      <c r="Q23" s="295"/>
      <c r="R23" s="295"/>
      <c r="S23" s="294"/>
      <c r="T23" s="294"/>
      <c r="U23" s="292"/>
      <c r="V23" s="285"/>
      <c r="W23" s="285"/>
      <c r="X23" s="285"/>
      <c r="Y23" s="285"/>
      <c r="Z23" s="285"/>
    </row>
    <row r="24" ht="150.0" customHeight="1">
      <c r="A24" s="285"/>
      <c r="B24" s="65" t="s">
        <v>20</v>
      </c>
      <c r="C24" s="65" t="s">
        <v>2464</v>
      </c>
      <c r="D24" s="302" t="s">
        <v>153</v>
      </c>
      <c r="E24" s="302">
        <v>14.0</v>
      </c>
      <c r="F24" s="67" t="s">
        <v>2281</v>
      </c>
      <c r="G24" s="65"/>
      <c r="H24" s="302" t="s">
        <v>2233</v>
      </c>
      <c r="I24" s="302" t="s">
        <v>2282</v>
      </c>
      <c r="J24" s="69" t="s">
        <v>3506</v>
      </c>
      <c r="K24" s="70"/>
      <c r="L24" s="70"/>
      <c r="M24" s="70"/>
      <c r="N24" s="70" t="s">
        <v>2235</v>
      </c>
      <c r="O24" s="303" t="s">
        <v>2235</v>
      </c>
      <c r="P24" s="70" t="s">
        <v>2236</v>
      </c>
      <c r="Q24" s="303" t="s">
        <v>2236</v>
      </c>
      <c r="R24" s="303" t="s">
        <v>2235</v>
      </c>
      <c r="S24" s="70" t="s">
        <v>2235</v>
      </c>
      <c r="T24" s="70"/>
      <c r="U24" s="304"/>
      <c r="V24" s="285"/>
      <c r="W24" s="285"/>
      <c r="X24" s="285"/>
      <c r="Y24" s="285"/>
      <c r="Z24" s="285"/>
    </row>
    <row r="25" ht="100.5" customHeight="1">
      <c r="A25" s="287"/>
      <c r="B25" s="18" t="s">
        <v>20</v>
      </c>
      <c r="C25" s="18" t="s">
        <v>2464</v>
      </c>
      <c r="D25" s="288" t="s">
        <v>153</v>
      </c>
      <c r="E25" s="288">
        <v>15.0</v>
      </c>
      <c r="F25" s="45" t="s">
        <v>2284</v>
      </c>
      <c r="G25" s="18" t="s">
        <v>3507</v>
      </c>
      <c r="H25" s="289">
        <v>1.0</v>
      </c>
      <c r="I25" s="289">
        <v>27.0</v>
      </c>
      <c r="J25" s="290"/>
      <c r="K25" s="291"/>
      <c r="L25" s="292"/>
      <c r="M25" s="292"/>
      <c r="N25" s="306"/>
      <c r="O25" s="295"/>
      <c r="P25" s="292"/>
      <c r="Q25" s="295"/>
      <c r="R25" s="295"/>
      <c r="S25" s="294"/>
      <c r="T25" s="294"/>
      <c r="U25" s="292"/>
      <c r="V25" s="285"/>
      <c r="W25" s="285"/>
      <c r="X25" s="285"/>
      <c r="Y25" s="285"/>
      <c r="Z25" s="285"/>
    </row>
    <row r="26" ht="100.5" customHeight="1">
      <c r="A26" s="20"/>
      <c r="B26" s="20"/>
      <c r="C26" s="20"/>
      <c r="D26" s="20"/>
      <c r="E26" s="20"/>
      <c r="F26" s="20"/>
      <c r="G26" s="19"/>
      <c r="H26" s="289">
        <v>2.0</v>
      </c>
      <c r="I26" s="289">
        <v>28.0</v>
      </c>
      <c r="J26" s="290"/>
      <c r="K26" s="291"/>
      <c r="L26" s="292"/>
      <c r="M26" s="292"/>
      <c r="N26" s="292"/>
      <c r="O26" s="295"/>
      <c r="P26" s="292"/>
      <c r="Q26" s="295"/>
      <c r="R26" s="295"/>
      <c r="S26" s="294"/>
      <c r="T26" s="294"/>
      <c r="U26" s="294"/>
      <c r="V26" s="285"/>
      <c r="W26" s="285"/>
      <c r="X26" s="285"/>
      <c r="Y26" s="285"/>
      <c r="Z26" s="285"/>
    </row>
    <row r="27" ht="100.5" customHeight="1">
      <c r="A27" s="285"/>
      <c r="B27" s="18" t="s">
        <v>20</v>
      </c>
      <c r="C27" s="18" t="s">
        <v>2464</v>
      </c>
      <c r="D27" s="288" t="s">
        <v>153</v>
      </c>
      <c r="E27" s="300">
        <v>16.0</v>
      </c>
      <c r="F27" s="45" t="s">
        <v>2294</v>
      </c>
      <c r="G27" s="19"/>
      <c r="H27" s="289">
        <v>3.0</v>
      </c>
      <c r="I27" s="289">
        <v>29.0</v>
      </c>
      <c r="J27" s="290"/>
      <c r="K27" s="291"/>
      <c r="L27" s="292"/>
      <c r="M27" s="292"/>
      <c r="N27" s="292"/>
      <c r="O27" s="295"/>
      <c r="P27" s="292"/>
      <c r="Q27" s="295"/>
      <c r="R27" s="295"/>
      <c r="S27" s="294"/>
      <c r="T27" s="294"/>
      <c r="U27" s="294"/>
      <c r="V27" s="285"/>
      <c r="W27" s="285"/>
      <c r="X27" s="285"/>
      <c r="Y27" s="285"/>
      <c r="Z27" s="285"/>
    </row>
    <row r="28" ht="100.5" customHeight="1">
      <c r="A28" s="285"/>
      <c r="B28" s="20"/>
      <c r="C28" s="20"/>
      <c r="D28" s="20"/>
      <c r="E28" s="20"/>
      <c r="F28" s="20"/>
      <c r="G28" s="19"/>
      <c r="H28" s="289">
        <v>4.0</v>
      </c>
      <c r="I28" s="289">
        <v>30.0</v>
      </c>
      <c r="J28" s="290"/>
      <c r="K28" s="291"/>
      <c r="L28" s="292"/>
      <c r="M28" s="292"/>
      <c r="N28" s="292"/>
      <c r="O28" s="295"/>
      <c r="P28" s="292"/>
      <c r="Q28" s="295"/>
      <c r="R28" s="295"/>
      <c r="S28" s="294"/>
      <c r="T28" s="294"/>
      <c r="U28" s="294"/>
      <c r="V28" s="285"/>
      <c r="W28" s="285"/>
      <c r="X28" s="285"/>
      <c r="Y28" s="285"/>
      <c r="Z28" s="285"/>
    </row>
    <row r="29" ht="68.25" customHeight="1">
      <c r="A29" s="285"/>
      <c r="B29" s="80" t="s">
        <v>20</v>
      </c>
      <c r="C29" s="80" t="s">
        <v>2464</v>
      </c>
      <c r="D29" s="307" t="s">
        <v>153</v>
      </c>
      <c r="E29" s="307">
        <v>17.0</v>
      </c>
      <c r="F29" s="82" t="s">
        <v>2303</v>
      </c>
      <c r="G29" s="80"/>
      <c r="H29" s="307" t="s">
        <v>2233</v>
      </c>
      <c r="I29" s="307" t="s">
        <v>2304</v>
      </c>
      <c r="J29" s="83" t="s">
        <v>2259</v>
      </c>
      <c r="K29" s="80"/>
      <c r="L29" s="84"/>
      <c r="M29" s="84"/>
      <c r="N29" s="84"/>
      <c r="O29" s="308" t="s">
        <v>2235</v>
      </c>
      <c r="P29" s="84" t="s">
        <v>2235</v>
      </c>
      <c r="Q29" s="308" t="s">
        <v>2236</v>
      </c>
      <c r="R29" s="308" t="s">
        <v>2236</v>
      </c>
      <c r="S29" s="84" t="s">
        <v>2235</v>
      </c>
      <c r="T29" s="84" t="s">
        <v>2235</v>
      </c>
      <c r="U29" s="84"/>
      <c r="V29" s="285"/>
      <c r="W29" s="285"/>
      <c r="X29" s="285"/>
      <c r="Y29" s="285"/>
      <c r="Z29" s="285"/>
    </row>
    <row r="30" ht="100.5" customHeight="1">
      <c r="A30" s="287"/>
      <c r="B30" s="18" t="s">
        <v>20</v>
      </c>
      <c r="C30" s="18" t="s">
        <v>2464</v>
      </c>
      <c r="D30" s="288" t="s">
        <v>153</v>
      </c>
      <c r="E30" s="300">
        <v>18.0</v>
      </c>
      <c r="F30" s="45" t="s">
        <v>2305</v>
      </c>
      <c r="G30" s="18" t="s">
        <v>3507</v>
      </c>
      <c r="H30" s="289">
        <v>5.0</v>
      </c>
      <c r="I30" s="289">
        <v>33.0</v>
      </c>
      <c r="J30" s="290"/>
      <c r="K30" s="291"/>
      <c r="L30" s="292"/>
      <c r="M30" s="292"/>
      <c r="N30" s="306"/>
      <c r="O30" s="295"/>
      <c r="P30" s="292"/>
      <c r="Q30" s="295"/>
      <c r="R30" s="295"/>
      <c r="S30" s="294"/>
      <c r="T30" s="294"/>
      <c r="U30" s="294"/>
      <c r="V30" s="285"/>
      <c r="W30" s="285"/>
      <c r="X30" s="285"/>
      <c r="Y30" s="285"/>
      <c r="Z30" s="285"/>
    </row>
    <row r="31" ht="100.5" customHeight="1">
      <c r="A31" s="20"/>
      <c r="B31" s="20"/>
      <c r="C31" s="20"/>
      <c r="D31" s="20"/>
      <c r="E31" s="20"/>
      <c r="F31" s="20"/>
      <c r="G31" s="19"/>
      <c r="H31" s="289">
        <v>6.0</v>
      </c>
      <c r="I31" s="289">
        <v>34.0</v>
      </c>
      <c r="J31" s="290"/>
      <c r="K31" s="291"/>
      <c r="L31" s="292"/>
      <c r="M31" s="292"/>
      <c r="N31" s="292"/>
      <c r="O31" s="295"/>
      <c r="P31" s="292"/>
      <c r="Q31" s="295"/>
      <c r="R31" s="295"/>
      <c r="S31" s="294"/>
      <c r="T31" s="294"/>
      <c r="U31" s="294"/>
      <c r="V31" s="285"/>
      <c r="W31" s="285"/>
      <c r="X31" s="285"/>
      <c r="Y31" s="285"/>
      <c r="Z31" s="285"/>
    </row>
    <row r="32" ht="100.5" customHeight="1">
      <c r="A32" s="287"/>
      <c r="B32" s="18" t="s">
        <v>20</v>
      </c>
      <c r="C32" s="18" t="s">
        <v>2464</v>
      </c>
      <c r="D32" s="288" t="s">
        <v>153</v>
      </c>
      <c r="E32" s="300">
        <v>19.0</v>
      </c>
      <c r="F32" s="45" t="s">
        <v>2315</v>
      </c>
      <c r="G32" s="19"/>
      <c r="H32" s="289">
        <v>7.0</v>
      </c>
      <c r="I32" s="289">
        <v>35.0</v>
      </c>
      <c r="J32" s="290"/>
      <c r="K32" s="291"/>
      <c r="L32" s="292"/>
      <c r="M32" s="292"/>
      <c r="N32" s="292"/>
      <c r="O32" s="295"/>
      <c r="P32" s="292"/>
      <c r="Q32" s="295"/>
      <c r="R32" s="295"/>
      <c r="S32" s="294"/>
      <c r="T32" s="294"/>
      <c r="U32" s="294"/>
      <c r="V32" s="285"/>
      <c r="W32" s="285"/>
      <c r="X32" s="285"/>
      <c r="Y32" s="285"/>
      <c r="Z32" s="285"/>
    </row>
    <row r="33" ht="100.5" customHeight="1">
      <c r="A33" s="20"/>
      <c r="B33" s="20"/>
      <c r="C33" s="20"/>
      <c r="D33" s="20"/>
      <c r="E33" s="20"/>
      <c r="F33" s="20"/>
      <c r="G33" s="19"/>
      <c r="H33" s="289">
        <v>8.0</v>
      </c>
      <c r="I33" s="289">
        <v>36.0</v>
      </c>
      <c r="J33" s="290"/>
      <c r="K33" s="291"/>
      <c r="L33" s="292"/>
      <c r="M33" s="292"/>
      <c r="N33" s="292"/>
      <c r="O33" s="295"/>
      <c r="P33" s="292"/>
      <c r="Q33" s="295"/>
      <c r="R33" s="295"/>
      <c r="S33" s="294"/>
      <c r="T33" s="294"/>
      <c r="U33" s="294"/>
      <c r="V33" s="285"/>
      <c r="W33" s="285"/>
      <c r="X33" s="285"/>
      <c r="Y33" s="285"/>
      <c r="Z33" s="285"/>
    </row>
    <row r="34" ht="100.5" customHeight="1">
      <c r="A34" s="285"/>
      <c r="B34" s="65" t="s">
        <v>20</v>
      </c>
      <c r="C34" s="65" t="s">
        <v>2464</v>
      </c>
      <c r="D34" s="302" t="s">
        <v>153</v>
      </c>
      <c r="E34" s="302">
        <v>20.0</v>
      </c>
      <c r="F34" s="67" t="s">
        <v>2322</v>
      </c>
      <c r="G34" s="65"/>
      <c r="H34" s="302" t="s">
        <v>2233</v>
      </c>
      <c r="I34" s="302" t="s">
        <v>2323</v>
      </c>
      <c r="J34" s="69" t="s">
        <v>3508</v>
      </c>
      <c r="K34" s="70"/>
      <c r="L34" s="70"/>
      <c r="M34" s="70"/>
      <c r="N34" s="70" t="s">
        <v>2235</v>
      </c>
      <c r="O34" s="303" t="s">
        <v>2235</v>
      </c>
      <c r="P34" s="70" t="s">
        <v>2236</v>
      </c>
      <c r="Q34" s="303" t="s">
        <v>2236</v>
      </c>
      <c r="R34" s="303" t="s">
        <v>2235</v>
      </c>
      <c r="S34" s="70" t="s">
        <v>2235</v>
      </c>
      <c r="T34" s="70"/>
      <c r="U34" s="304"/>
      <c r="V34" s="285"/>
      <c r="W34" s="285"/>
      <c r="X34" s="285"/>
      <c r="Y34" s="285"/>
      <c r="Z34" s="285"/>
    </row>
    <row r="35" ht="92.25" customHeight="1">
      <c r="A35" s="309"/>
      <c r="B35" s="87" t="s">
        <v>20</v>
      </c>
      <c r="C35" s="87" t="s">
        <v>2464</v>
      </c>
      <c r="D35" s="310" t="s">
        <v>153</v>
      </c>
      <c r="E35" s="310">
        <v>21.0</v>
      </c>
      <c r="F35" s="162" t="s">
        <v>3509</v>
      </c>
      <c r="G35" s="100"/>
      <c r="H35" s="310" t="s">
        <v>2233</v>
      </c>
      <c r="I35" s="310" t="s">
        <v>2326</v>
      </c>
      <c r="J35" s="90" t="s">
        <v>2564</v>
      </c>
      <c r="K35" s="91"/>
      <c r="L35" s="91"/>
      <c r="M35" s="91"/>
      <c r="N35" s="91"/>
      <c r="O35" s="311"/>
      <c r="P35" s="91"/>
      <c r="Q35" s="311"/>
      <c r="R35" s="311"/>
      <c r="S35" s="91"/>
      <c r="T35" s="91"/>
      <c r="U35" s="312"/>
      <c r="V35" s="285"/>
      <c r="W35" s="285"/>
      <c r="X35" s="285"/>
      <c r="Y35" s="285"/>
      <c r="Z35" s="285"/>
    </row>
    <row r="36" ht="93.0" customHeight="1">
      <c r="A36" s="287"/>
      <c r="B36" s="18" t="s">
        <v>20</v>
      </c>
      <c r="C36" s="18" t="s">
        <v>2661</v>
      </c>
      <c r="D36" s="288" t="s">
        <v>22</v>
      </c>
      <c r="E36" s="288">
        <v>1.0</v>
      </c>
      <c r="F36" s="159" t="s">
        <v>2190</v>
      </c>
      <c r="G36" s="313" t="s">
        <v>2662</v>
      </c>
      <c r="H36" s="289">
        <v>1.0</v>
      </c>
      <c r="I36" s="289">
        <v>1.0</v>
      </c>
      <c r="J36" s="180" t="s">
        <v>3510</v>
      </c>
      <c r="K36" s="10" t="s">
        <v>2193</v>
      </c>
      <c r="L36" s="47" t="s">
        <v>2664</v>
      </c>
      <c r="M36" s="47" t="s">
        <v>2665</v>
      </c>
      <c r="N36" s="292"/>
      <c r="O36" s="295"/>
      <c r="P36" s="292"/>
      <c r="Q36" s="295"/>
      <c r="R36" s="295"/>
      <c r="S36" s="294"/>
      <c r="T36" s="294"/>
      <c r="U36" s="294"/>
      <c r="V36" s="285"/>
      <c r="W36" s="285"/>
      <c r="X36" s="285"/>
      <c r="Y36" s="285"/>
      <c r="Z36" s="285"/>
    </row>
    <row r="37" ht="92.25" customHeight="1">
      <c r="A37" s="20"/>
      <c r="B37" s="20"/>
      <c r="C37" s="20"/>
      <c r="D37" s="20"/>
      <c r="E37" s="20"/>
      <c r="F37" s="20"/>
      <c r="G37" s="19"/>
      <c r="H37" s="289">
        <v>2.0</v>
      </c>
      <c r="I37" s="289">
        <v>2.0</v>
      </c>
      <c r="J37" s="180" t="s">
        <v>2668</v>
      </c>
      <c r="K37" s="10" t="s">
        <v>2240</v>
      </c>
      <c r="L37" s="47" t="s">
        <v>3511</v>
      </c>
      <c r="M37" s="47" t="s">
        <v>3512</v>
      </c>
      <c r="N37" s="292"/>
      <c r="O37" s="293"/>
      <c r="P37" s="294"/>
      <c r="Q37" s="295"/>
      <c r="R37" s="295"/>
      <c r="S37" s="292"/>
      <c r="T37" s="292"/>
      <c r="U37" s="294"/>
      <c r="V37" s="285"/>
      <c r="W37" s="285"/>
      <c r="X37" s="285"/>
      <c r="Y37" s="285"/>
      <c r="Z37" s="285"/>
    </row>
    <row r="38" ht="77.25" customHeight="1">
      <c r="A38" s="287"/>
      <c r="B38" s="18" t="s">
        <v>20</v>
      </c>
      <c r="C38" s="18" t="s">
        <v>2661</v>
      </c>
      <c r="D38" s="288" t="s">
        <v>22</v>
      </c>
      <c r="E38" s="300">
        <v>2.0</v>
      </c>
      <c r="F38" s="159" t="s">
        <v>2203</v>
      </c>
      <c r="G38" s="19"/>
      <c r="H38" s="289">
        <v>3.0</v>
      </c>
      <c r="I38" s="289">
        <v>3.0</v>
      </c>
      <c r="J38" s="180" t="s">
        <v>2673</v>
      </c>
      <c r="K38" s="10" t="s">
        <v>2240</v>
      </c>
      <c r="L38" s="47" t="s">
        <v>3513</v>
      </c>
      <c r="M38" s="47" t="s">
        <v>3514</v>
      </c>
      <c r="N38" s="306"/>
      <c r="O38" s="295"/>
      <c r="P38" s="292"/>
      <c r="Q38" s="295"/>
      <c r="R38" s="295"/>
      <c r="S38" s="294"/>
      <c r="T38" s="294"/>
      <c r="U38" s="294"/>
      <c r="V38" s="285"/>
      <c r="W38" s="285"/>
      <c r="X38" s="285"/>
      <c r="Y38" s="285"/>
      <c r="Z38" s="285"/>
    </row>
    <row r="39" ht="77.25" customHeight="1">
      <c r="A39" s="20"/>
      <c r="B39" s="20"/>
      <c r="C39" s="20"/>
      <c r="D39" s="20"/>
      <c r="E39" s="20"/>
      <c r="F39" s="20"/>
      <c r="G39" s="20"/>
      <c r="H39" s="289">
        <v>4.0</v>
      </c>
      <c r="I39" s="289">
        <v>4.0</v>
      </c>
      <c r="J39" s="180" t="s">
        <v>2678</v>
      </c>
      <c r="K39" s="10" t="s">
        <v>2240</v>
      </c>
      <c r="L39" s="47" t="s">
        <v>2679</v>
      </c>
      <c r="M39" s="47" t="s">
        <v>2680</v>
      </c>
      <c r="N39" s="292"/>
      <c r="O39" s="293"/>
      <c r="P39" s="294"/>
      <c r="Q39" s="295"/>
      <c r="R39" s="295"/>
      <c r="S39" s="292"/>
      <c r="T39" s="292"/>
      <c r="U39" s="294"/>
      <c r="V39" s="285"/>
      <c r="W39" s="285"/>
      <c r="X39" s="285"/>
      <c r="Y39" s="285"/>
      <c r="Z39" s="285"/>
    </row>
    <row r="40" ht="87.75" customHeight="1">
      <c r="A40" s="285"/>
      <c r="B40" s="50" t="s">
        <v>20</v>
      </c>
      <c r="C40" s="50" t="s">
        <v>2661</v>
      </c>
      <c r="D40" s="296" t="s">
        <v>22</v>
      </c>
      <c r="E40" s="297">
        <v>3.0</v>
      </c>
      <c r="F40" s="52" t="s">
        <v>2211</v>
      </c>
      <c r="G40" s="51" t="s">
        <v>2212</v>
      </c>
      <c r="H40" s="296"/>
      <c r="I40" s="296"/>
      <c r="J40" s="53"/>
      <c r="K40" s="50"/>
      <c r="L40" s="54"/>
      <c r="M40" s="54"/>
      <c r="N40" s="54"/>
      <c r="O40" s="298"/>
      <c r="P40" s="54"/>
      <c r="Q40" s="298"/>
      <c r="R40" s="298"/>
      <c r="S40" s="299"/>
      <c r="T40" s="299"/>
      <c r="U40" s="299"/>
      <c r="V40" s="285"/>
      <c r="W40" s="285"/>
      <c r="X40" s="285"/>
      <c r="Y40" s="285"/>
      <c r="Z40" s="285"/>
    </row>
    <row r="41" ht="87.75" customHeight="1">
      <c r="A41" s="287"/>
      <c r="B41" s="18" t="s">
        <v>20</v>
      </c>
      <c r="C41" s="18" t="s">
        <v>2661</v>
      </c>
      <c r="D41" s="288" t="s">
        <v>22</v>
      </c>
      <c r="E41" s="300">
        <v>4.0</v>
      </c>
      <c r="F41" s="159" t="s">
        <v>2213</v>
      </c>
      <c r="G41" s="314" t="s">
        <v>2662</v>
      </c>
      <c r="H41" s="289">
        <v>5.0</v>
      </c>
      <c r="I41" s="289">
        <v>5.0</v>
      </c>
      <c r="J41" s="58" t="s">
        <v>2682</v>
      </c>
      <c r="K41" s="10" t="s">
        <v>2240</v>
      </c>
      <c r="L41" s="47" t="s">
        <v>2683</v>
      </c>
      <c r="M41" s="47" t="s">
        <v>2684</v>
      </c>
      <c r="N41" s="292"/>
      <c r="O41" s="295"/>
      <c r="P41" s="292"/>
      <c r="Q41" s="295"/>
      <c r="R41" s="295"/>
      <c r="S41" s="294"/>
      <c r="T41" s="294"/>
      <c r="U41" s="294"/>
      <c r="V41" s="285"/>
      <c r="W41" s="285"/>
      <c r="X41" s="285"/>
      <c r="Y41" s="285"/>
      <c r="Z41" s="285"/>
    </row>
    <row r="42" ht="87.75" customHeight="1">
      <c r="A42" s="20"/>
      <c r="B42" s="20"/>
      <c r="C42" s="20"/>
      <c r="D42" s="20"/>
      <c r="E42" s="20"/>
      <c r="F42" s="20"/>
      <c r="G42" s="19"/>
      <c r="H42" s="289">
        <v>6.0</v>
      </c>
      <c r="I42" s="289">
        <v>6.0</v>
      </c>
      <c r="J42" s="58" t="s">
        <v>2686</v>
      </c>
      <c r="K42" s="10" t="s">
        <v>2240</v>
      </c>
      <c r="L42" s="47" t="s">
        <v>2687</v>
      </c>
      <c r="M42" s="47" t="s">
        <v>2688</v>
      </c>
      <c r="N42" s="292"/>
      <c r="O42" s="295"/>
      <c r="P42" s="292"/>
      <c r="Q42" s="295"/>
      <c r="R42" s="295"/>
      <c r="S42" s="294"/>
      <c r="T42" s="294"/>
      <c r="U42" s="294"/>
      <c r="V42" s="285"/>
      <c r="W42" s="285"/>
      <c r="X42" s="285"/>
      <c r="Y42" s="285"/>
      <c r="Z42" s="285"/>
    </row>
    <row r="43" ht="87.75" customHeight="1">
      <c r="A43" s="287"/>
      <c r="B43" s="18" t="s">
        <v>20</v>
      </c>
      <c r="C43" s="18" t="s">
        <v>2661</v>
      </c>
      <c r="D43" s="288" t="s">
        <v>22</v>
      </c>
      <c r="E43" s="300">
        <v>5.0</v>
      </c>
      <c r="F43" s="159" t="s">
        <v>2223</v>
      </c>
      <c r="G43" s="19"/>
      <c r="H43" s="289">
        <v>7.0</v>
      </c>
      <c r="I43" s="289">
        <v>7.0</v>
      </c>
      <c r="J43" s="58" t="s">
        <v>2691</v>
      </c>
      <c r="K43" s="10" t="s">
        <v>2240</v>
      </c>
      <c r="L43" s="47" t="s">
        <v>2692</v>
      </c>
      <c r="M43" s="47" t="s">
        <v>2693</v>
      </c>
      <c r="N43" s="292"/>
      <c r="O43" s="295"/>
      <c r="P43" s="292"/>
      <c r="Q43" s="295"/>
      <c r="R43" s="295"/>
      <c r="S43" s="294"/>
      <c r="T43" s="294"/>
      <c r="U43" s="294"/>
      <c r="V43" s="285"/>
      <c r="W43" s="285"/>
      <c r="X43" s="285"/>
      <c r="Y43" s="285"/>
      <c r="Z43" s="285"/>
    </row>
    <row r="44" ht="87.75" customHeight="1">
      <c r="A44" s="20"/>
      <c r="B44" s="20"/>
      <c r="C44" s="20"/>
      <c r="D44" s="20"/>
      <c r="E44" s="20"/>
      <c r="F44" s="20"/>
      <c r="G44" s="20"/>
      <c r="H44" s="289">
        <v>8.0</v>
      </c>
      <c r="I44" s="289">
        <v>8.0</v>
      </c>
      <c r="J44" s="58" t="s">
        <v>2694</v>
      </c>
      <c r="K44" s="10" t="s">
        <v>2193</v>
      </c>
      <c r="L44" s="47" t="s">
        <v>2695</v>
      </c>
      <c r="M44" s="47" t="s">
        <v>2696</v>
      </c>
      <c r="N44" s="292"/>
      <c r="O44" s="295"/>
      <c r="P44" s="292"/>
      <c r="Q44" s="295"/>
      <c r="R44" s="295"/>
      <c r="S44" s="294"/>
      <c r="T44" s="294"/>
      <c r="U44" s="294"/>
      <c r="V44" s="285"/>
      <c r="W44" s="285"/>
      <c r="X44" s="285"/>
      <c r="Y44" s="285"/>
      <c r="Z44" s="285"/>
    </row>
    <row r="45" ht="77.25" customHeight="1">
      <c r="A45" s="285"/>
      <c r="B45" s="65" t="s">
        <v>20</v>
      </c>
      <c r="C45" s="65" t="s">
        <v>3515</v>
      </c>
      <c r="D45" s="302" t="s">
        <v>22</v>
      </c>
      <c r="E45" s="302">
        <v>6.0</v>
      </c>
      <c r="F45" s="160" t="s">
        <v>2232</v>
      </c>
      <c r="G45" s="86"/>
      <c r="H45" s="302" t="s">
        <v>2233</v>
      </c>
      <c r="I45" s="302" t="s">
        <v>1709</v>
      </c>
      <c r="J45" s="69" t="s">
        <v>2697</v>
      </c>
      <c r="K45" s="70"/>
      <c r="L45" s="70"/>
      <c r="M45" s="70"/>
      <c r="N45" s="70" t="s">
        <v>2235</v>
      </c>
      <c r="O45" s="303" t="s">
        <v>2235</v>
      </c>
      <c r="P45" s="70" t="s">
        <v>2236</v>
      </c>
      <c r="Q45" s="303" t="s">
        <v>2236</v>
      </c>
      <c r="R45" s="303" t="s">
        <v>2235</v>
      </c>
      <c r="S45" s="70" t="s">
        <v>2235</v>
      </c>
      <c r="T45" s="70"/>
      <c r="U45" s="304"/>
      <c r="V45" s="285"/>
      <c r="W45" s="285"/>
      <c r="X45" s="285"/>
      <c r="Y45" s="285"/>
      <c r="Z45" s="285"/>
    </row>
    <row r="46" ht="96.75" customHeight="1">
      <c r="A46" s="287"/>
      <c r="B46" s="18" t="s">
        <v>20</v>
      </c>
      <c r="C46" s="18" t="s">
        <v>2661</v>
      </c>
      <c r="D46" s="288" t="s">
        <v>22</v>
      </c>
      <c r="E46" s="300">
        <v>7.0</v>
      </c>
      <c r="F46" s="159" t="s">
        <v>2237</v>
      </c>
      <c r="G46" s="59" t="s">
        <v>3516</v>
      </c>
      <c r="H46" s="289">
        <v>1.0</v>
      </c>
      <c r="I46" s="289">
        <v>11.0</v>
      </c>
      <c r="J46" s="58" t="s">
        <v>2699</v>
      </c>
      <c r="K46" s="10" t="s">
        <v>2700</v>
      </c>
      <c r="L46" s="47" t="s">
        <v>3517</v>
      </c>
      <c r="M46" s="47" t="s">
        <v>3518</v>
      </c>
      <c r="N46" s="292"/>
      <c r="O46" s="293"/>
      <c r="P46" s="294"/>
      <c r="Q46" s="295"/>
      <c r="R46" s="295"/>
      <c r="S46" s="292"/>
      <c r="T46" s="292"/>
      <c r="U46" s="294"/>
      <c r="V46" s="285"/>
      <c r="W46" s="285"/>
      <c r="X46" s="285"/>
      <c r="Y46" s="285"/>
      <c r="Z46" s="285"/>
    </row>
    <row r="47" ht="103.5" customHeight="1">
      <c r="A47" s="20"/>
      <c r="B47" s="20"/>
      <c r="C47" s="20"/>
      <c r="D47" s="20"/>
      <c r="E47" s="20"/>
      <c r="F47" s="20"/>
      <c r="G47" s="19"/>
      <c r="H47" s="289">
        <v>2.0</v>
      </c>
      <c r="I47" s="289">
        <v>12.0</v>
      </c>
      <c r="J47" s="58" t="s">
        <v>2707</v>
      </c>
      <c r="K47" s="10" t="s">
        <v>2700</v>
      </c>
      <c r="L47" s="47" t="s">
        <v>3519</v>
      </c>
      <c r="M47" s="47" t="s">
        <v>3520</v>
      </c>
      <c r="N47" s="306"/>
      <c r="O47" s="295"/>
      <c r="P47" s="292"/>
      <c r="Q47" s="295"/>
      <c r="R47" s="295"/>
      <c r="S47" s="294"/>
      <c r="T47" s="294"/>
      <c r="U47" s="294"/>
      <c r="V47" s="285"/>
      <c r="W47" s="285"/>
      <c r="X47" s="285"/>
      <c r="Y47" s="285"/>
      <c r="Z47" s="285"/>
    </row>
    <row r="48" ht="106.5" customHeight="1">
      <c r="A48" s="287"/>
      <c r="B48" s="18" t="s">
        <v>20</v>
      </c>
      <c r="C48" s="18" t="s">
        <v>2661</v>
      </c>
      <c r="D48" s="288" t="s">
        <v>22</v>
      </c>
      <c r="E48" s="300">
        <v>8.0</v>
      </c>
      <c r="F48" s="159" t="s">
        <v>2250</v>
      </c>
      <c r="G48" s="19"/>
      <c r="H48" s="289">
        <v>3.0</v>
      </c>
      <c r="I48" s="289">
        <v>13.0</v>
      </c>
      <c r="J48" s="58" t="s">
        <v>2712</v>
      </c>
      <c r="K48" s="10" t="s">
        <v>2700</v>
      </c>
      <c r="L48" s="47" t="s">
        <v>3521</v>
      </c>
      <c r="M48" s="47" t="s">
        <v>3522</v>
      </c>
      <c r="N48" s="292"/>
      <c r="O48" s="293"/>
      <c r="P48" s="294"/>
      <c r="Q48" s="295"/>
      <c r="R48" s="295"/>
      <c r="S48" s="294"/>
      <c r="T48" s="294"/>
      <c r="U48" s="292"/>
      <c r="V48" s="285"/>
      <c r="W48" s="285"/>
      <c r="X48" s="285"/>
      <c r="Y48" s="285"/>
      <c r="Z48" s="285"/>
    </row>
    <row r="49" ht="123.0" customHeight="1">
      <c r="A49" s="20"/>
      <c r="B49" s="20"/>
      <c r="C49" s="20"/>
      <c r="D49" s="20"/>
      <c r="E49" s="20"/>
      <c r="F49" s="20"/>
      <c r="G49" s="20"/>
      <c r="H49" s="289">
        <v>4.0</v>
      </c>
      <c r="I49" s="289">
        <v>14.0</v>
      </c>
      <c r="J49" s="58" t="s">
        <v>2715</v>
      </c>
      <c r="K49" s="10" t="s">
        <v>2700</v>
      </c>
      <c r="L49" s="47" t="s">
        <v>3523</v>
      </c>
      <c r="M49" s="47" t="s">
        <v>3524</v>
      </c>
      <c r="N49" s="292"/>
      <c r="O49" s="293"/>
      <c r="P49" s="294"/>
      <c r="Q49" s="295"/>
      <c r="R49" s="295"/>
      <c r="S49" s="294"/>
      <c r="T49" s="294"/>
      <c r="U49" s="292"/>
      <c r="V49" s="285"/>
      <c r="W49" s="285"/>
      <c r="X49" s="285"/>
      <c r="Y49" s="285"/>
      <c r="Z49" s="285"/>
    </row>
    <row r="50" ht="111.0" customHeight="1">
      <c r="A50" s="285"/>
      <c r="B50" s="80" t="s">
        <v>20</v>
      </c>
      <c r="C50" s="80" t="s">
        <v>2661</v>
      </c>
      <c r="D50" s="307" t="s">
        <v>22</v>
      </c>
      <c r="E50" s="307">
        <v>9.0</v>
      </c>
      <c r="F50" s="82" t="s">
        <v>2257</v>
      </c>
      <c r="G50" s="80"/>
      <c r="H50" s="307" t="s">
        <v>2233</v>
      </c>
      <c r="I50" s="307" t="s">
        <v>2258</v>
      </c>
      <c r="J50" s="83" t="s">
        <v>2259</v>
      </c>
      <c r="K50" s="80"/>
      <c r="L50" s="84"/>
      <c r="M50" s="84"/>
      <c r="N50" s="84"/>
      <c r="O50" s="308" t="s">
        <v>2235</v>
      </c>
      <c r="P50" s="84" t="s">
        <v>2235</v>
      </c>
      <c r="Q50" s="308" t="s">
        <v>2236</v>
      </c>
      <c r="R50" s="308" t="s">
        <v>2236</v>
      </c>
      <c r="S50" s="84" t="s">
        <v>2235</v>
      </c>
      <c r="T50" s="84" t="s">
        <v>2235</v>
      </c>
      <c r="U50" s="84"/>
      <c r="V50" s="285"/>
      <c r="W50" s="285"/>
      <c r="X50" s="285"/>
      <c r="Y50" s="285"/>
      <c r="Z50" s="285"/>
    </row>
    <row r="51" ht="100.5" customHeight="1">
      <c r="A51" s="285"/>
      <c r="B51" s="65" t="s">
        <v>20</v>
      </c>
      <c r="C51" s="65" t="s">
        <v>2661</v>
      </c>
      <c r="D51" s="302" t="s">
        <v>22</v>
      </c>
      <c r="E51" s="302">
        <v>10.0</v>
      </c>
      <c r="F51" s="67" t="s">
        <v>2260</v>
      </c>
      <c r="G51" s="65"/>
      <c r="H51" s="302" t="s">
        <v>2233</v>
      </c>
      <c r="I51" s="302" t="s">
        <v>2261</v>
      </c>
      <c r="J51" s="69" t="s">
        <v>3525</v>
      </c>
      <c r="K51" s="70"/>
      <c r="L51" s="70"/>
      <c r="M51" s="70"/>
      <c r="N51" s="70" t="s">
        <v>2235</v>
      </c>
      <c r="O51" s="303" t="s">
        <v>2235</v>
      </c>
      <c r="P51" s="70" t="s">
        <v>2236</v>
      </c>
      <c r="Q51" s="303" t="s">
        <v>2236</v>
      </c>
      <c r="R51" s="303" t="s">
        <v>2235</v>
      </c>
      <c r="S51" s="70" t="s">
        <v>2235</v>
      </c>
      <c r="T51" s="70"/>
      <c r="U51" s="304"/>
      <c r="V51" s="285"/>
      <c r="W51" s="285"/>
      <c r="X51" s="285"/>
      <c r="Y51" s="285"/>
      <c r="Z51" s="285"/>
    </row>
    <row r="52" ht="92.25" customHeight="1">
      <c r="A52" s="309"/>
      <c r="B52" s="87" t="s">
        <v>20</v>
      </c>
      <c r="C52" s="87" t="s">
        <v>2661</v>
      </c>
      <c r="D52" s="310" t="s">
        <v>22</v>
      </c>
      <c r="E52" s="310">
        <v>11.0</v>
      </c>
      <c r="F52" s="162" t="s">
        <v>3504</v>
      </c>
      <c r="G52" s="100"/>
      <c r="H52" s="310" t="s">
        <v>2233</v>
      </c>
      <c r="I52" s="310" t="s">
        <v>2264</v>
      </c>
      <c r="J52" s="90" t="s">
        <v>2265</v>
      </c>
      <c r="K52" s="91"/>
      <c r="L52" s="91"/>
      <c r="M52" s="91"/>
      <c r="N52" s="91"/>
      <c r="O52" s="311"/>
      <c r="P52" s="91"/>
      <c r="Q52" s="311"/>
      <c r="R52" s="311"/>
      <c r="S52" s="91"/>
      <c r="T52" s="91"/>
      <c r="U52" s="312"/>
      <c r="V52" s="285"/>
      <c r="W52" s="285"/>
      <c r="X52" s="285"/>
      <c r="Y52" s="285"/>
      <c r="Z52" s="285"/>
    </row>
    <row r="53" ht="77.25" customHeight="1">
      <c r="A53" s="287"/>
      <c r="B53" s="18" t="s">
        <v>20</v>
      </c>
      <c r="C53" s="18" t="s">
        <v>2661</v>
      </c>
      <c r="D53" s="288" t="s">
        <v>153</v>
      </c>
      <c r="E53" s="300">
        <v>12.0</v>
      </c>
      <c r="F53" s="159" t="s">
        <v>2266</v>
      </c>
      <c r="G53" s="59" t="s">
        <v>3526</v>
      </c>
      <c r="H53" s="289">
        <v>1.0</v>
      </c>
      <c r="I53" s="289">
        <v>21.0</v>
      </c>
      <c r="J53" s="290"/>
      <c r="K53" s="291"/>
      <c r="L53" s="292"/>
      <c r="M53" s="292"/>
      <c r="N53" s="292"/>
      <c r="O53" s="293"/>
      <c r="P53" s="294"/>
      <c r="Q53" s="295"/>
      <c r="R53" s="295"/>
      <c r="S53" s="294"/>
      <c r="T53" s="294"/>
      <c r="U53" s="292"/>
      <c r="V53" s="285"/>
      <c r="W53" s="285"/>
      <c r="X53" s="285"/>
      <c r="Y53" s="285"/>
      <c r="Z53" s="285"/>
    </row>
    <row r="54" ht="66.0" customHeight="1">
      <c r="A54" s="20"/>
      <c r="B54" s="20"/>
      <c r="C54" s="20"/>
      <c r="D54" s="20"/>
      <c r="E54" s="20"/>
      <c r="F54" s="20"/>
      <c r="G54" s="19"/>
      <c r="H54" s="289">
        <v>2.0</v>
      </c>
      <c r="I54" s="289">
        <v>22.0</v>
      </c>
      <c r="J54" s="290"/>
      <c r="K54" s="291"/>
      <c r="L54" s="292"/>
      <c r="M54" s="292"/>
      <c r="N54" s="292"/>
      <c r="O54" s="293"/>
      <c r="P54" s="294"/>
      <c r="Q54" s="295"/>
      <c r="R54" s="295"/>
      <c r="S54" s="294"/>
      <c r="T54" s="294"/>
      <c r="U54" s="292"/>
      <c r="V54" s="285"/>
      <c r="W54" s="285"/>
      <c r="X54" s="285"/>
      <c r="Y54" s="285"/>
      <c r="Z54" s="285"/>
    </row>
    <row r="55" ht="66.0" customHeight="1">
      <c r="A55" s="287"/>
      <c r="B55" s="18" t="s">
        <v>20</v>
      </c>
      <c r="C55" s="18" t="s">
        <v>2661</v>
      </c>
      <c r="D55" s="288" t="s">
        <v>153</v>
      </c>
      <c r="E55" s="300">
        <v>13.0</v>
      </c>
      <c r="F55" s="159" t="s">
        <v>2274</v>
      </c>
      <c r="G55" s="19"/>
      <c r="H55" s="289">
        <v>3.0</v>
      </c>
      <c r="I55" s="289">
        <v>23.0</v>
      </c>
      <c r="J55" s="290"/>
      <c r="K55" s="291"/>
      <c r="L55" s="292"/>
      <c r="M55" s="292"/>
      <c r="N55" s="292"/>
      <c r="O55" s="293"/>
      <c r="P55" s="294"/>
      <c r="Q55" s="295"/>
      <c r="R55" s="295"/>
      <c r="S55" s="294"/>
      <c r="T55" s="294"/>
      <c r="U55" s="292"/>
      <c r="V55" s="285"/>
      <c r="W55" s="285"/>
      <c r="X55" s="285"/>
      <c r="Y55" s="285"/>
      <c r="Z55" s="285"/>
    </row>
    <row r="56" ht="66.0" customHeight="1">
      <c r="A56" s="20"/>
      <c r="B56" s="20"/>
      <c r="C56" s="20"/>
      <c r="D56" s="20"/>
      <c r="E56" s="20"/>
      <c r="F56" s="20"/>
      <c r="G56" s="20"/>
      <c r="H56" s="289">
        <v>4.0</v>
      </c>
      <c r="I56" s="289">
        <v>24.0</v>
      </c>
      <c r="J56" s="290"/>
      <c r="K56" s="291"/>
      <c r="L56" s="292"/>
      <c r="M56" s="292"/>
      <c r="N56" s="292"/>
      <c r="O56" s="293"/>
      <c r="P56" s="294"/>
      <c r="Q56" s="295"/>
      <c r="R56" s="295"/>
      <c r="S56" s="294"/>
      <c r="T56" s="294"/>
      <c r="U56" s="292"/>
      <c r="V56" s="285"/>
      <c r="W56" s="285"/>
      <c r="X56" s="285"/>
      <c r="Y56" s="285"/>
      <c r="Z56" s="285"/>
    </row>
    <row r="57" ht="66.0" customHeight="1">
      <c r="A57" s="285"/>
      <c r="B57" s="65" t="s">
        <v>20</v>
      </c>
      <c r="C57" s="65" t="s">
        <v>2661</v>
      </c>
      <c r="D57" s="302" t="s">
        <v>153</v>
      </c>
      <c r="E57" s="302">
        <v>14.0</v>
      </c>
      <c r="F57" s="67" t="s">
        <v>2281</v>
      </c>
      <c r="G57" s="65"/>
      <c r="H57" s="302" t="s">
        <v>2233</v>
      </c>
      <c r="I57" s="302" t="s">
        <v>2282</v>
      </c>
      <c r="J57" s="69" t="s">
        <v>3527</v>
      </c>
      <c r="K57" s="70"/>
      <c r="L57" s="70"/>
      <c r="M57" s="70"/>
      <c r="N57" s="70" t="s">
        <v>2235</v>
      </c>
      <c r="O57" s="303" t="s">
        <v>2235</v>
      </c>
      <c r="P57" s="70" t="s">
        <v>2236</v>
      </c>
      <c r="Q57" s="303" t="s">
        <v>2236</v>
      </c>
      <c r="R57" s="303" t="s">
        <v>2235</v>
      </c>
      <c r="S57" s="70" t="s">
        <v>2235</v>
      </c>
      <c r="T57" s="70"/>
      <c r="U57" s="304"/>
      <c r="V57" s="285"/>
      <c r="W57" s="285"/>
      <c r="X57" s="285"/>
      <c r="Y57" s="285"/>
      <c r="Z57" s="285"/>
    </row>
    <row r="58" ht="72.75" customHeight="1">
      <c r="A58" s="287"/>
      <c r="B58" s="18" t="s">
        <v>20</v>
      </c>
      <c r="C58" s="18" t="s">
        <v>2661</v>
      </c>
      <c r="D58" s="288" t="s">
        <v>153</v>
      </c>
      <c r="E58" s="288">
        <v>15.0</v>
      </c>
      <c r="F58" s="45" t="s">
        <v>2284</v>
      </c>
      <c r="G58" s="314" t="s">
        <v>3528</v>
      </c>
      <c r="H58" s="289">
        <v>1.0</v>
      </c>
      <c r="I58" s="289">
        <v>27.0</v>
      </c>
      <c r="J58" s="290"/>
      <c r="K58" s="291"/>
      <c r="L58" s="292"/>
      <c r="M58" s="292"/>
      <c r="N58" s="306"/>
      <c r="O58" s="293"/>
      <c r="P58" s="294"/>
      <c r="Q58" s="295"/>
      <c r="R58" s="295"/>
      <c r="S58" s="294"/>
      <c r="T58" s="294"/>
      <c r="U58" s="292"/>
      <c r="V58" s="285"/>
      <c r="W58" s="285"/>
      <c r="X58" s="285"/>
      <c r="Y58" s="285"/>
      <c r="Z58" s="285"/>
    </row>
    <row r="59" ht="72.0" customHeight="1">
      <c r="A59" s="20"/>
      <c r="B59" s="20"/>
      <c r="C59" s="20"/>
      <c r="D59" s="20"/>
      <c r="E59" s="20"/>
      <c r="F59" s="20"/>
      <c r="G59" s="19"/>
      <c r="H59" s="289">
        <v>2.0</v>
      </c>
      <c r="I59" s="289">
        <v>28.0</v>
      </c>
      <c r="J59" s="290"/>
      <c r="K59" s="291"/>
      <c r="L59" s="292"/>
      <c r="M59" s="292"/>
      <c r="N59" s="292"/>
      <c r="O59" s="293"/>
      <c r="P59" s="294"/>
      <c r="Q59" s="295"/>
      <c r="R59" s="295"/>
      <c r="S59" s="294"/>
      <c r="T59" s="294"/>
      <c r="U59" s="292"/>
      <c r="V59" s="285"/>
      <c r="W59" s="285"/>
      <c r="X59" s="285"/>
      <c r="Y59" s="285"/>
      <c r="Z59" s="285"/>
    </row>
    <row r="60" ht="64.5" customHeight="1">
      <c r="A60" s="287"/>
      <c r="B60" s="18" t="s">
        <v>20</v>
      </c>
      <c r="C60" s="18" t="s">
        <v>2661</v>
      </c>
      <c r="D60" s="288" t="s">
        <v>153</v>
      </c>
      <c r="E60" s="288">
        <v>16.0</v>
      </c>
      <c r="F60" s="45" t="s">
        <v>2294</v>
      </c>
      <c r="G60" s="19"/>
      <c r="H60" s="289">
        <v>3.0</v>
      </c>
      <c r="I60" s="289">
        <v>29.0</v>
      </c>
      <c r="J60" s="290"/>
      <c r="K60" s="291"/>
      <c r="L60" s="292"/>
      <c r="M60" s="292"/>
      <c r="N60" s="292"/>
      <c r="O60" s="293"/>
      <c r="P60" s="294"/>
      <c r="Q60" s="295"/>
      <c r="R60" s="295"/>
      <c r="S60" s="294"/>
      <c r="T60" s="294"/>
      <c r="U60" s="292"/>
      <c r="V60" s="285"/>
      <c r="W60" s="285"/>
      <c r="X60" s="285"/>
      <c r="Y60" s="285"/>
      <c r="Z60" s="285"/>
    </row>
    <row r="61" ht="64.5" customHeight="1">
      <c r="A61" s="20"/>
      <c r="B61" s="20"/>
      <c r="C61" s="20"/>
      <c r="D61" s="20"/>
      <c r="E61" s="20"/>
      <c r="F61" s="20"/>
      <c r="G61" s="95"/>
      <c r="H61" s="289">
        <v>4.0</v>
      </c>
      <c r="I61" s="289">
        <v>30.0</v>
      </c>
      <c r="J61" s="290"/>
      <c r="K61" s="291"/>
      <c r="L61" s="292"/>
      <c r="M61" s="292"/>
      <c r="N61" s="292"/>
      <c r="O61" s="293"/>
      <c r="P61" s="294"/>
      <c r="Q61" s="295"/>
      <c r="R61" s="295"/>
      <c r="S61" s="294"/>
      <c r="T61" s="294"/>
      <c r="U61" s="292"/>
      <c r="V61" s="285"/>
      <c r="W61" s="285"/>
      <c r="X61" s="285"/>
      <c r="Y61" s="285"/>
      <c r="Z61" s="285"/>
    </row>
    <row r="62" ht="64.5" customHeight="1">
      <c r="A62" s="285"/>
      <c r="B62" s="80" t="s">
        <v>20</v>
      </c>
      <c r="C62" s="80" t="s">
        <v>2661</v>
      </c>
      <c r="D62" s="307" t="s">
        <v>153</v>
      </c>
      <c r="E62" s="307">
        <v>17.0</v>
      </c>
      <c r="F62" s="82" t="s">
        <v>2303</v>
      </c>
      <c r="G62" s="80"/>
      <c r="H62" s="307" t="s">
        <v>2233</v>
      </c>
      <c r="I62" s="307" t="s">
        <v>2304</v>
      </c>
      <c r="J62" s="83" t="s">
        <v>2259</v>
      </c>
      <c r="K62" s="80"/>
      <c r="L62" s="84"/>
      <c r="M62" s="84"/>
      <c r="N62" s="84"/>
      <c r="O62" s="308" t="s">
        <v>2235</v>
      </c>
      <c r="P62" s="84" t="s">
        <v>2235</v>
      </c>
      <c r="Q62" s="308" t="s">
        <v>2236</v>
      </c>
      <c r="R62" s="308" t="s">
        <v>2236</v>
      </c>
      <c r="S62" s="84" t="s">
        <v>2235</v>
      </c>
      <c r="T62" s="84" t="s">
        <v>2235</v>
      </c>
      <c r="U62" s="84"/>
      <c r="V62" s="285"/>
      <c r="W62" s="285"/>
      <c r="X62" s="285"/>
      <c r="Y62" s="285"/>
      <c r="Z62" s="285"/>
    </row>
    <row r="63" ht="64.5" customHeight="1">
      <c r="A63" s="287"/>
      <c r="B63" s="18" t="s">
        <v>20</v>
      </c>
      <c r="C63" s="18" t="s">
        <v>2661</v>
      </c>
      <c r="D63" s="288" t="s">
        <v>153</v>
      </c>
      <c r="E63" s="288">
        <v>18.0</v>
      </c>
      <c r="F63" s="45" t="s">
        <v>2305</v>
      </c>
      <c r="G63" s="315" t="s">
        <v>3528</v>
      </c>
      <c r="H63" s="289">
        <v>5.0</v>
      </c>
      <c r="I63" s="289">
        <v>33.0</v>
      </c>
      <c r="J63" s="290"/>
      <c r="K63" s="291"/>
      <c r="L63" s="292"/>
      <c r="M63" s="292"/>
      <c r="N63" s="292"/>
      <c r="O63" s="293"/>
      <c r="P63" s="294"/>
      <c r="Q63" s="295"/>
      <c r="R63" s="295"/>
      <c r="S63" s="294"/>
      <c r="T63" s="294"/>
      <c r="U63" s="292"/>
      <c r="V63" s="285"/>
      <c r="W63" s="285"/>
      <c r="X63" s="285"/>
      <c r="Y63" s="285"/>
      <c r="Z63" s="285"/>
    </row>
    <row r="64" ht="64.5" customHeight="1">
      <c r="A64" s="20"/>
      <c r="B64" s="20"/>
      <c r="C64" s="20"/>
      <c r="D64" s="20"/>
      <c r="E64" s="20"/>
      <c r="F64" s="20"/>
      <c r="G64" s="19"/>
      <c r="H64" s="289">
        <v>6.0</v>
      </c>
      <c r="I64" s="289">
        <v>34.0</v>
      </c>
      <c r="J64" s="290"/>
      <c r="K64" s="291"/>
      <c r="L64" s="292"/>
      <c r="M64" s="292"/>
      <c r="N64" s="292"/>
      <c r="O64" s="293"/>
      <c r="P64" s="294"/>
      <c r="Q64" s="295"/>
      <c r="R64" s="295"/>
      <c r="S64" s="294"/>
      <c r="T64" s="294"/>
      <c r="U64" s="292"/>
      <c r="V64" s="285"/>
      <c r="W64" s="285"/>
      <c r="X64" s="285"/>
      <c r="Y64" s="285"/>
      <c r="Z64" s="285"/>
    </row>
    <row r="65" ht="64.5" customHeight="1">
      <c r="A65" s="287"/>
      <c r="B65" s="18" t="s">
        <v>20</v>
      </c>
      <c r="C65" s="18" t="s">
        <v>2661</v>
      </c>
      <c r="D65" s="288" t="s">
        <v>153</v>
      </c>
      <c r="E65" s="288">
        <v>19.0</v>
      </c>
      <c r="F65" s="45" t="s">
        <v>2315</v>
      </c>
      <c r="G65" s="19"/>
      <c r="H65" s="289">
        <v>7.0</v>
      </c>
      <c r="I65" s="289">
        <v>35.0</v>
      </c>
      <c r="J65" s="290"/>
      <c r="K65" s="291"/>
      <c r="L65" s="292"/>
      <c r="M65" s="292"/>
      <c r="N65" s="292"/>
      <c r="O65" s="293"/>
      <c r="P65" s="294"/>
      <c r="Q65" s="295"/>
      <c r="R65" s="295"/>
      <c r="S65" s="294"/>
      <c r="T65" s="294"/>
      <c r="U65" s="292"/>
      <c r="V65" s="285"/>
      <c r="W65" s="285"/>
      <c r="X65" s="285"/>
      <c r="Y65" s="285"/>
      <c r="Z65" s="285"/>
    </row>
    <row r="66" ht="64.5" customHeight="1">
      <c r="A66" s="20"/>
      <c r="B66" s="20"/>
      <c r="C66" s="20"/>
      <c r="D66" s="20"/>
      <c r="E66" s="20"/>
      <c r="F66" s="20"/>
      <c r="G66" s="20"/>
      <c r="H66" s="289">
        <v>8.0</v>
      </c>
      <c r="I66" s="289">
        <v>36.0</v>
      </c>
      <c r="J66" s="290"/>
      <c r="K66" s="291"/>
      <c r="L66" s="292"/>
      <c r="M66" s="292"/>
      <c r="N66" s="292"/>
      <c r="O66" s="293"/>
      <c r="P66" s="294"/>
      <c r="Q66" s="295"/>
      <c r="R66" s="295"/>
      <c r="S66" s="294"/>
      <c r="T66" s="294"/>
      <c r="U66" s="292"/>
      <c r="V66" s="285"/>
      <c r="W66" s="285"/>
      <c r="X66" s="285"/>
      <c r="Y66" s="285"/>
      <c r="Z66" s="285"/>
    </row>
    <row r="67" ht="64.5" customHeight="1">
      <c r="A67" s="285"/>
      <c r="B67" s="65" t="s">
        <v>20</v>
      </c>
      <c r="C67" s="65" t="s">
        <v>2661</v>
      </c>
      <c r="D67" s="302" t="s">
        <v>153</v>
      </c>
      <c r="E67" s="302">
        <v>20.0</v>
      </c>
      <c r="F67" s="67" t="s">
        <v>2322</v>
      </c>
      <c r="G67" s="65"/>
      <c r="H67" s="302" t="s">
        <v>2233</v>
      </c>
      <c r="I67" s="302" t="s">
        <v>2323</v>
      </c>
      <c r="J67" s="69" t="s">
        <v>3529</v>
      </c>
      <c r="K67" s="70"/>
      <c r="L67" s="70"/>
      <c r="M67" s="70"/>
      <c r="N67" s="70" t="s">
        <v>2235</v>
      </c>
      <c r="O67" s="303" t="s">
        <v>2235</v>
      </c>
      <c r="P67" s="70" t="s">
        <v>2236</v>
      </c>
      <c r="Q67" s="303" t="s">
        <v>2236</v>
      </c>
      <c r="R67" s="303" t="s">
        <v>2235</v>
      </c>
      <c r="S67" s="70" t="s">
        <v>2235</v>
      </c>
      <c r="T67" s="70"/>
      <c r="U67" s="304"/>
      <c r="V67" s="285"/>
      <c r="W67" s="285"/>
      <c r="X67" s="285"/>
      <c r="Y67" s="285"/>
      <c r="Z67" s="285"/>
    </row>
    <row r="68" ht="64.5" customHeight="1">
      <c r="A68" s="309"/>
      <c r="B68" s="87" t="s">
        <v>20</v>
      </c>
      <c r="C68" s="87" t="s">
        <v>2661</v>
      </c>
      <c r="D68" s="310" t="s">
        <v>153</v>
      </c>
      <c r="E68" s="310">
        <v>21.0</v>
      </c>
      <c r="F68" s="162" t="s">
        <v>3509</v>
      </c>
      <c r="G68" s="100"/>
      <c r="H68" s="310" t="s">
        <v>2233</v>
      </c>
      <c r="I68" s="310" t="s">
        <v>2326</v>
      </c>
      <c r="J68" s="90" t="s">
        <v>2564</v>
      </c>
      <c r="K68" s="91"/>
      <c r="L68" s="91"/>
      <c r="M68" s="91"/>
      <c r="N68" s="91"/>
      <c r="O68" s="311"/>
      <c r="P68" s="91"/>
      <c r="Q68" s="311"/>
      <c r="R68" s="311"/>
      <c r="S68" s="91"/>
      <c r="T68" s="91"/>
      <c r="U68" s="312"/>
      <c r="V68" s="285"/>
      <c r="W68" s="285"/>
      <c r="X68" s="285"/>
      <c r="Y68" s="285"/>
      <c r="Z68" s="285"/>
    </row>
    <row r="69" ht="150.0" hidden="1" customHeight="1">
      <c r="A69" s="285"/>
      <c r="B69" s="10" t="s">
        <v>20</v>
      </c>
      <c r="C69" s="10" t="s">
        <v>2661</v>
      </c>
      <c r="D69" s="289" t="s">
        <v>153</v>
      </c>
      <c r="E69" s="316"/>
      <c r="F69" s="317"/>
      <c r="G69" s="30"/>
      <c r="H69" s="289"/>
      <c r="I69" s="289"/>
      <c r="J69" s="58"/>
      <c r="K69" s="10"/>
      <c r="L69" s="318"/>
      <c r="M69" s="319"/>
      <c r="N69" s="318"/>
      <c r="O69" s="320"/>
      <c r="P69" s="318"/>
      <c r="Q69" s="320"/>
      <c r="R69" s="320"/>
      <c r="S69" s="319"/>
      <c r="T69" s="319"/>
      <c r="U69" s="319"/>
      <c r="V69" s="285"/>
      <c r="W69" s="285"/>
      <c r="X69" s="285"/>
      <c r="Y69" s="285"/>
      <c r="Z69" s="285"/>
    </row>
    <row r="70" ht="12.75" customHeight="1">
      <c r="A70" s="285"/>
      <c r="B70" s="75"/>
      <c r="C70" s="75"/>
      <c r="D70" s="321"/>
      <c r="E70" s="321"/>
      <c r="F70" s="322"/>
      <c r="G70" s="75"/>
      <c r="H70" s="321"/>
      <c r="I70" s="321"/>
      <c r="J70" s="323"/>
      <c r="K70" s="324"/>
      <c r="L70" s="285"/>
      <c r="M70" s="285"/>
      <c r="N70" s="285"/>
      <c r="O70" s="325"/>
      <c r="P70" s="285"/>
      <c r="Q70" s="325"/>
      <c r="R70" s="325"/>
      <c r="S70" s="285"/>
      <c r="T70" s="285"/>
      <c r="U70" s="285"/>
      <c r="V70" s="285"/>
      <c r="W70" s="285"/>
      <c r="X70" s="285"/>
      <c r="Y70" s="285"/>
      <c r="Z70" s="285"/>
    </row>
    <row r="71" ht="12.75" customHeight="1">
      <c r="A71" s="285"/>
      <c r="B71" s="75"/>
      <c r="C71" s="75"/>
      <c r="D71" s="321"/>
      <c r="E71" s="321"/>
      <c r="F71" s="322"/>
      <c r="G71" s="75"/>
      <c r="H71" s="321"/>
      <c r="I71" s="321"/>
      <c r="J71" s="323"/>
      <c r="K71" s="324"/>
      <c r="L71" s="285"/>
      <c r="M71" s="285"/>
      <c r="N71" s="285"/>
      <c r="O71" s="325"/>
      <c r="P71" s="285"/>
      <c r="Q71" s="325"/>
      <c r="R71" s="325"/>
      <c r="S71" s="285"/>
      <c r="T71" s="285"/>
      <c r="U71" s="285"/>
      <c r="V71" s="285"/>
      <c r="W71" s="285"/>
      <c r="X71" s="285"/>
      <c r="Y71" s="285"/>
      <c r="Z71" s="285"/>
    </row>
    <row r="72" ht="12.75" customHeight="1">
      <c r="A72" s="285"/>
      <c r="B72" s="75"/>
      <c r="C72" s="75"/>
      <c r="D72" s="321"/>
      <c r="E72" s="321"/>
      <c r="F72" s="322"/>
      <c r="G72" s="75"/>
      <c r="H72" s="321"/>
      <c r="I72" s="321"/>
      <c r="J72" s="323"/>
      <c r="K72" s="324"/>
      <c r="L72" s="285"/>
      <c r="M72" s="285"/>
      <c r="N72" s="285"/>
      <c r="O72" s="325"/>
      <c r="P72" s="285"/>
      <c r="Q72" s="325"/>
      <c r="R72" s="325"/>
      <c r="S72" s="285"/>
      <c r="T72" s="285"/>
      <c r="U72" s="285"/>
      <c r="V72" s="285"/>
      <c r="W72" s="285"/>
      <c r="X72" s="285"/>
      <c r="Y72" s="285"/>
      <c r="Z72" s="285"/>
    </row>
    <row r="73" ht="12.75" customHeight="1">
      <c r="A73" s="285"/>
      <c r="B73" s="75"/>
      <c r="C73" s="75"/>
      <c r="D73" s="321"/>
      <c r="E73" s="321"/>
      <c r="F73" s="322"/>
      <c r="G73" s="75"/>
      <c r="H73" s="321"/>
      <c r="I73" s="321"/>
      <c r="J73" s="323"/>
      <c r="K73" s="324"/>
      <c r="L73" s="285"/>
      <c r="M73" s="285"/>
      <c r="N73" s="285"/>
      <c r="O73" s="325"/>
      <c r="P73" s="285"/>
      <c r="Q73" s="325"/>
      <c r="R73" s="325"/>
      <c r="S73" s="285"/>
      <c r="T73" s="285"/>
      <c r="U73" s="285"/>
      <c r="V73" s="285"/>
      <c r="W73" s="285"/>
      <c r="X73" s="285"/>
      <c r="Y73" s="285"/>
      <c r="Z73" s="285"/>
    </row>
    <row r="74" ht="12.75" customHeight="1">
      <c r="A74" s="285"/>
      <c r="B74" s="75"/>
      <c r="C74" s="75"/>
      <c r="D74" s="321"/>
      <c r="E74" s="321"/>
      <c r="F74" s="322"/>
      <c r="G74" s="75"/>
      <c r="H74" s="321"/>
      <c r="I74" s="321"/>
      <c r="J74" s="323"/>
      <c r="K74" s="324"/>
      <c r="L74" s="285"/>
      <c r="M74" s="285"/>
      <c r="N74" s="285"/>
      <c r="O74" s="325"/>
      <c r="P74" s="285"/>
      <c r="Q74" s="325"/>
      <c r="R74" s="325"/>
      <c r="S74" s="285"/>
      <c r="T74" s="285"/>
      <c r="U74" s="285"/>
      <c r="V74" s="285"/>
      <c r="W74" s="285"/>
      <c r="X74" s="285"/>
      <c r="Y74" s="285"/>
      <c r="Z74" s="285"/>
    </row>
    <row r="75" ht="12.75" customHeight="1">
      <c r="A75" s="285"/>
      <c r="B75" s="75"/>
      <c r="C75" s="75"/>
      <c r="D75" s="321"/>
      <c r="E75" s="321"/>
      <c r="F75" s="322"/>
      <c r="G75" s="75"/>
      <c r="H75" s="321"/>
      <c r="I75" s="321"/>
      <c r="J75" s="323"/>
      <c r="K75" s="324"/>
      <c r="L75" s="285"/>
      <c r="M75" s="285"/>
      <c r="N75" s="285"/>
      <c r="O75" s="325"/>
      <c r="P75" s="285"/>
      <c r="Q75" s="325"/>
      <c r="R75" s="325"/>
      <c r="S75" s="285"/>
      <c r="T75" s="285"/>
      <c r="U75" s="285"/>
      <c r="V75" s="285"/>
      <c r="W75" s="285"/>
      <c r="X75" s="285"/>
      <c r="Y75" s="285"/>
      <c r="Z75" s="285"/>
    </row>
    <row r="76" ht="12.75" customHeight="1">
      <c r="A76" s="285"/>
      <c r="B76" s="75"/>
      <c r="C76" s="75"/>
      <c r="D76" s="321"/>
      <c r="E76" s="321"/>
      <c r="F76" s="322"/>
      <c r="G76" s="75"/>
      <c r="H76" s="321"/>
      <c r="I76" s="321"/>
      <c r="J76" s="323"/>
      <c r="K76" s="324"/>
      <c r="L76" s="285"/>
      <c r="M76" s="285"/>
      <c r="N76" s="285"/>
      <c r="O76" s="325"/>
      <c r="P76" s="285"/>
      <c r="Q76" s="325"/>
      <c r="R76" s="325"/>
      <c r="S76" s="285"/>
      <c r="T76" s="285"/>
      <c r="U76" s="285"/>
      <c r="V76" s="285"/>
      <c r="W76" s="285"/>
      <c r="X76" s="285"/>
      <c r="Y76" s="285"/>
      <c r="Z76" s="285"/>
    </row>
    <row r="77" ht="12.75" customHeight="1">
      <c r="A77" s="285"/>
      <c r="B77" s="75"/>
      <c r="C77" s="75"/>
      <c r="D77" s="321"/>
      <c r="E77" s="321"/>
      <c r="F77" s="322"/>
      <c r="G77" s="75"/>
      <c r="H77" s="321"/>
      <c r="I77" s="321"/>
      <c r="J77" s="323"/>
      <c r="K77" s="324"/>
      <c r="L77" s="285"/>
      <c r="M77" s="285"/>
      <c r="N77" s="285"/>
      <c r="O77" s="325"/>
      <c r="P77" s="285"/>
      <c r="Q77" s="325"/>
      <c r="R77" s="325"/>
      <c r="S77" s="285"/>
      <c r="T77" s="285"/>
      <c r="U77" s="285"/>
      <c r="V77" s="285"/>
      <c r="W77" s="285"/>
      <c r="X77" s="285"/>
      <c r="Y77" s="285"/>
      <c r="Z77" s="285"/>
    </row>
    <row r="78" ht="12.75" customHeight="1">
      <c r="A78" s="285"/>
      <c r="B78" s="75"/>
      <c r="C78" s="75"/>
      <c r="D78" s="321"/>
      <c r="E78" s="321"/>
      <c r="F78" s="322"/>
      <c r="G78" s="75"/>
      <c r="H78" s="321"/>
      <c r="I78" s="321"/>
      <c r="J78" s="323"/>
      <c r="K78" s="324"/>
      <c r="L78" s="285"/>
      <c r="M78" s="285"/>
      <c r="N78" s="285"/>
      <c r="O78" s="325"/>
      <c r="P78" s="285"/>
      <c r="Q78" s="325"/>
      <c r="R78" s="325"/>
      <c r="S78" s="285"/>
      <c r="T78" s="285"/>
      <c r="U78" s="285"/>
      <c r="V78" s="285"/>
      <c r="W78" s="285"/>
      <c r="X78" s="285"/>
      <c r="Y78" s="285"/>
      <c r="Z78" s="285"/>
    </row>
    <row r="79" ht="12.75" customHeight="1">
      <c r="A79" s="285"/>
      <c r="B79" s="75"/>
      <c r="C79" s="75"/>
      <c r="D79" s="321"/>
      <c r="E79" s="321"/>
      <c r="F79" s="322"/>
      <c r="G79" s="75"/>
      <c r="H79" s="321"/>
      <c r="I79" s="321"/>
      <c r="J79" s="323"/>
      <c r="K79" s="324"/>
      <c r="L79" s="285"/>
      <c r="M79" s="285"/>
      <c r="N79" s="285"/>
      <c r="O79" s="325"/>
      <c r="P79" s="285"/>
      <c r="Q79" s="325"/>
      <c r="R79" s="325"/>
      <c r="S79" s="285"/>
      <c r="T79" s="285"/>
      <c r="U79" s="285"/>
      <c r="V79" s="285"/>
      <c r="W79" s="285"/>
      <c r="X79" s="285"/>
      <c r="Y79" s="285"/>
      <c r="Z79" s="285"/>
    </row>
    <row r="80" ht="12.75" customHeight="1">
      <c r="A80" s="285"/>
      <c r="B80" s="75"/>
      <c r="C80" s="75"/>
      <c r="D80" s="321"/>
      <c r="E80" s="321"/>
      <c r="F80" s="322"/>
      <c r="G80" s="75"/>
      <c r="H80" s="321"/>
      <c r="I80" s="321"/>
      <c r="J80" s="323"/>
      <c r="K80" s="324"/>
      <c r="L80" s="285"/>
      <c r="M80" s="285"/>
      <c r="N80" s="285"/>
      <c r="O80" s="325"/>
      <c r="P80" s="285"/>
      <c r="Q80" s="325"/>
      <c r="R80" s="325"/>
      <c r="S80" s="285"/>
      <c r="T80" s="285"/>
      <c r="U80" s="285"/>
      <c r="V80" s="285"/>
      <c r="W80" s="285"/>
      <c r="X80" s="285"/>
      <c r="Y80" s="285"/>
      <c r="Z80" s="285"/>
    </row>
    <row r="81" ht="12.75" customHeight="1">
      <c r="A81" s="285"/>
      <c r="B81" s="75"/>
      <c r="C81" s="75"/>
      <c r="D81" s="321"/>
      <c r="E81" s="321"/>
      <c r="F81" s="322"/>
      <c r="G81" s="75"/>
      <c r="H81" s="321"/>
      <c r="I81" s="321"/>
      <c r="J81" s="323"/>
      <c r="K81" s="324"/>
      <c r="L81" s="285"/>
      <c r="M81" s="285"/>
      <c r="N81" s="285"/>
      <c r="O81" s="325"/>
      <c r="P81" s="285"/>
      <c r="Q81" s="325"/>
      <c r="R81" s="325"/>
      <c r="S81" s="285"/>
      <c r="T81" s="285"/>
      <c r="U81" s="285"/>
      <c r="V81" s="285"/>
      <c r="W81" s="285"/>
      <c r="X81" s="285"/>
      <c r="Y81" s="285"/>
      <c r="Z81" s="285"/>
    </row>
    <row r="82" ht="12.75" customHeight="1">
      <c r="A82" s="285"/>
      <c r="B82" s="75"/>
      <c r="C82" s="75"/>
      <c r="D82" s="321"/>
      <c r="E82" s="321"/>
      <c r="F82" s="322"/>
      <c r="G82" s="75"/>
      <c r="H82" s="321"/>
      <c r="I82" s="321"/>
      <c r="J82" s="323"/>
      <c r="K82" s="324"/>
      <c r="L82" s="285"/>
      <c r="M82" s="285"/>
      <c r="N82" s="285"/>
      <c r="O82" s="325"/>
      <c r="P82" s="285"/>
      <c r="Q82" s="325"/>
      <c r="R82" s="325"/>
      <c r="S82" s="285"/>
      <c r="T82" s="285"/>
      <c r="U82" s="285"/>
      <c r="V82" s="285"/>
      <c r="W82" s="285"/>
      <c r="X82" s="285"/>
      <c r="Y82" s="285"/>
      <c r="Z82" s="285"/>
    </row>
    <row r="83" ht="12.75" customHeight="1">
      <c r="A83" s="285"/>
      <c r="B83" s="75"/>
      <c r="C83" s="75"/>
      <c r="D83" s="321"/>
      <c r="E83" s="321"/>
      <c r="F83" s="322"/>
      <c r="G83" s="75"/>
      <c r="H83" s="321"/>
      <c r="I83" s="321"/>
      <c r="J83" s="323"/>
      <c r="K83" s="324"/>
      <c r="L83" s="285"/>
      <c r="M83" s="285"/>
      <c r="N83" s="285"/>
      <c r="O83" s="325"/>
      <c r="P83" s="285"/>
      <c r="Q83" s="325"/>
      <c r="R83" s="325"/>
      <c r="S83" s="285"/>
      <c r="T83" s="285"/>
      <c r="U83" s="285"/>
      <c r="V83" s="285"/>
      <c r="W83" s="285"/>
      <c r="X83" s="285"/>
      <c r="Y83" s="285"/>
      <c r="Z83" s="285"/>
    </row>
    <row r="84" ht="12.75" customHeight="1">
      <c r="A84" s="285"/>
      <c r="B84" s="75"/>
      <c r="C84" s="75"/>
      <c r="D84" s="321"/>
      <c r="E84" s="321"/>
      <c r="F84" s="322"/>
      <c r="G84" s="75"/>
      <c r="H84" s="321"/>
      <c r="I84" s="321"/>
      <c r="J84" s="323"/>
      <c r="K84" s="324"/>
      <c r="L84" s="285"/>
      <c r="M84" s="285"/>
      <c r="N84" s="285"/>
      <c r="O84" s="325"/>
      <c r="P84" s="285"/>
      <c r="Q84" s="325"/>
      <c r="R84" s="325"/>
      <c r="S84" s="285"/>
      <c r="T84" s="285"/>
      <c r="U84" s="285"/>
      <c r="V84" s="285"/>
      <c r="W84" s="285"/>
      <c r="X84" s="285"/>
      <c r="Y84" s="285"/>
      <c r="Z84" s="285"/>
    </row>
    <row r="85" ht="12.75" customHeight="1">
      <c r="A85" s="285"/>
      <c r="B85" s="75"/>
      <c r="C85" s="75"/>
      <c r="D85" s="321"/>
      <c r="E85" s="321"/>
      <c r="F85" s="322"/>
      <c r="G85" s="75"/>
      <c r="H85" s="321"/>
      <c r="I85" s="321"/>
      <c r="J85" s="323"/>
      <c r="K85" s="324"/>
      <c r="L85" s="285"/>
      <c r="M85" s="285"/>
      <c r="N85" s="285"/>
      <c r="O85" s="325"/>
      <c r="P85" s="285"/>
      <c r="Q85" s="325"/>
      <c r="R85" s="325"/>
      <c r="S85" s="285"/>
      <c r="T85" s="285"/>
      <c r="U85" s="285"/>
      <c r="V85" s="285"/>
      <c r="W85" s="285"/>
      <c r="X85" s="285"/>
      <c r="Y85" s="285"/>
      <c r="Z85" s="285"/>
    </row>
    <row r="86" ht="12.75" customHeight="1">
      <c r="A86" s="285"/>
      <c r="B86" s="75"/>
      <c r="C86" s="75"/>
      <c r="D86" s="321"/>
      <c r="E86" s="321"/>
      <c r="F86" s="322"/>
      <c r="G86" s="75"/>
      <c r="H86" s="321"/>
      <c r="I86" s="321"/>
      <c r="J86" s="323"/>
      <c r="K86" s="324"/>
      <c r="L86" s="285"/>
      <c r="M86" s="285"/>
      <c r="N86" s="285"/>
      <c r="O86" s="325"/>
      <c r="P86" s="285"/>
      <c r="Q86" s="325"/>
      <c r="R86" s="325"/>
      <c r="S86" s="285"/>
      <c r="T86" s="285"/>
      <c r="U86" s="285"/>
      <c r="V86" s="285"/>
      <c r="W86" s="285"/>
      <c r="X86" s="285"/>
      <c r="Y86" s="285"/>
      <c r="Z86" s="285"/>
    </row>
    <row r="87" ht="12.75" customHeight="1">
      <c r="A87" s="285"/>
      <c r="B87" s="75"/>
      <c r="C87" s="75"/>
      <c r="D87" s="321"/>
      <c r="E87" s="321"/>
      <c r="F87" s="322"/>
      <c r="G87" s="75"/>
      <c r="H87" s="321"/>
      <c r="I87" s="321"/>
      <c r="J87" s="323"/>
      <c r="K87" s="324"/>
      <c r="L87" s="285"/>
      <c r="M87" s="285"/>
      <c r="N87" s="285"/>
      <c r="O87" s="325"/>
      <c r="P87" s="285"/>
      <c r="Q87" s="325"/>
      <c r="R87" s="325"/>
      <c r="S87" s="285"/>
      <c r="T87" s="285"/>
      <c r="U87" s="285"/>
      <c r="V87" s="285"/>
      <c r="W87" s="285"/>
      <c r="X87" s="285"/>
      <c r="Y87" s="285"/>
      <c r="Z87" s="285"/>
    </row>
    <row r="88" ht="12.75" customHeight="1">
      <c r="A88" s="285"/>
      <c r="B88" s="75"/>
      <c r="C88" s="75"/>
      <c r="D88" s="321"/>
      <c r="E88" s="321"/>
      <c r="F88" s="322"/>
      <c r="G88" s="75"/>
      <c r="H88" s="321"/>
      <c r="I88" s="321"/>
      <c r="J88" s="323"/>
      <c r="K88" s="324"/>
      <c r="L88" s="285"/>
      <c r="M88" s="285"/>
      <c r="N88" s="285"/>
      <c r="O88" s="325"/>
      <c r="P88" s="285"/>
      <c r="Q88" s="325"/>
      <c r="R88" s="325"/>
      <c r="S88" s="285"/>
      <c r="T88" s="285"/>
      <c r="U88" s="285"/>
      <c r="V88" s="285"/>
      <c r="W88" s="285"/>
      <c r="X88" s="285"/>
      <c r="Y88" s="285"/>
      <c r="Z88" s="285"/>
    </row>
    <row r="89" ht="12.75" customHeight="1">
      <c r="A89" s="285"/>
      <c r="B89" s="75"/>
      <c r="C89" s="75"/>
      <c r="D89" s="321"/>
      <c r="E89" s="321"/>
      <c r="F89" s="322"/>
      <c r="G89" s="75"/>
      <c r="H89" s="321"/>
      <c r="I89" s="321"/>
      <c r="J89" s="323"/>
      <c r="K89" s="324"/>
      <c r="L89" s="285"/>
      <c r="M89" s="285"/>
      <c r="N89" s="285"/>
      <c r="O89" s="325"/>
      <c r="P89" s="285"/>
      <c r="Q89" s="325"/>
      <c r="R89" s="325"/>
      <c r="S89" s="285"/>
      <c r="T89" s="285"/>
      <c r="U89" s="285"/>
      <c r="V89" s="285"/>
      <c r="W89" s="285"/>
      <c r="X89" s="285"/>
      <c r="Y89" s="285"/>
      <c r="Z89" s="285"/>
    </row>
    <row r="90" ht="12.75" customHeight="1">
      <c r="A90" s="285"/>
      <c r="B90" s="75"/>
      <c r="C90" s="75"/>
      <c r="D90" s="321"/>
      <c r="E90" s="321"/>
      <c r="F90" s="322"/>
      <c r="G90" s="75"/>
      <c r="H90" s="321"/>
      <c r="I90" s="321"/>
      <c r="J90" s="323"/>
      <c r="K90" s="324"/>
      <c r="L90" s="285"/>
      <c r="M90" s="285"/>
      <c r="N90" s="285"/>
      <c r="O90" s="325"/>
      <c r="P90" s="285"/>
      <c r="Q90" s="325"/>
      <c r="R90" s="325"/>
      <c r="S90" s="285"/>
      <c r="T90" s="285"/>
      <c r="U90" s="285"/>
      <c r="V90" s="285"/>
      <c r="W90" s="285"/>
      <c r="X90" s="285"/>
      <c r="Y90" s="285"/>
      <c r="Z90" s="285"/>
    </row>
    <row r="91" ht="12.75" customHeight="1">
      <c r="A91" s="285"/>
      <c r="B91" s="75"/>
      <c r="C91" s="75"/>
      <c r="D91" s="321"/>
      <c r="E91" s="321"/>
      <c r="F91" s="322"/>
      <c r="G91" s="75"/>
      <c r="H91" s="321"/>
      <c r="I91" s="321"/>
      <c r="J91" s="323"/>
      <c r="K91" s="324"/>
      <c r="L91" s="285"/>
      <c r="M91" s="285"/>
      <c r="N91" s="285"/>
      <c r="O91" s="325"/>
      <c r="P91" s="285"/>
      <c r="Q91" s="325"/>
      <c r="R91" s="325"/>
      <c r="S91" s="285"/>
      <c r="T91" s="285"/>
      <c r="U91" s="285"/>
      <c r="V91" s="285"/>
      <c r="W91" s="285"/>
      <c r="X91" s="285"/>
      <c r="Y91" s="285"/>
      <c r="Z91" s="285"/>
    </row>
    <row r="92" ht="12.75" customHeight="1">
      <c r="A92" s="285"/>
      <c r="B92" s="75"/>
      <c r="C92" s="75"/>
      <c r="D92" s="321"/>
      <c r="E92" s="321"/>
      <c r="F92" s="322"/>
      <c r="G92" s="75"/>
      <c r="H92" s="321"/>
      <c r="I92" s="321"/>
      <c r="J92" s="323"/>
      <c r="K92" s="324"/>
      <c r="L92" s="285"/>
      <c r="M92" s="285"/>
      <c r="N92" s="285"/>
      <c r="O92" s="325"/>
      <c r="P92" s="285"/>
      <c r="Q92" s="325"/>
      <c r="R92" s="325"/>
      <c r="S92" s="285"/>
      <c r="T92" s="285"/>
      <c r="U92" s="285"/>
      <c r="V92" s="285"/>
      <c r="W92" s="285"/>
      <c r="X92" s="285"/>
      <c r="Y92" s="285"/>
      <c r="Z92" s="285"/>
    </row>
    <row r="93" ht="12.75" customHeight="1">
      <c r="A93" s="285"/>
      <c r="B93" s="75"/>
      <c r="C93" s="75"/>
      <c r="D93" s="321"/>
      <c r="E93" s="321"/>
      <c r="F93" s="322"/>
      <c r="G93" s="75"/>
      <c r="H93" s="321"/>
      <c r="I93" s="321"/>
      <c r="J93" s="323"/>
      <c r="K93" s="324"/>
      <c r="L93" s="285"/>
      <c r="M93" s="285"/>
      <c r="N93" s="285"/>
      <c r="O93" s="325"/>
      <c r="P93" s="285"/>
      <c r="Q93" s="325"/>
      <c r="R93" s="325"/>
      <c r="S93" s="285"/>
      <c r="T93" s="285"/>
      <c r="U93" s="285"/>
      <c r="V93" s="285"/>
      <c r="W93" s="285"/>
      <c r="X93" s="285"/>
      <c r="Y93" s="285"/>
      <c r="Z93" s="285"/>
    </row>
    <row r="94" ht="12.75" customHeight="1">
      <c r="A94" s="285"/>
      <c r="B94" s="75"/>
      <c r="C94" s="75"/>
      <c r="D94" s="321"/>
      <c r="E94" s="321"/>
      <c r="F94" s="322"/>
      <c r="G94" s="75"/>
      <c r="H94" s="321"/>
      <c r="I94" s="321"/>
      <c r="J94" s="323"/>
      <c r="K94" s="324"/>
      <c r="L94" s="285"/>
      <c r="M94" s="285"/>
      <c r="N94" s="285"/>
      <c r="O94" s="325"/>
      <c r="P94" s="285"/>
      <c r="Q94" s="325"/>
      <c r="R94" s="325"/>
      <c r="S94" s="285"/>
      <c r="T94" s="285"/>
      <c r="U94" s="285"/>
      <c r="V94" s="285"/>
      <c r="W94" s="285"/>
      <c r="X94" s="285"/>
      <c r="Y94" s="285"/>
      <c r="Z94" s="285"/>
    </row>
    <row r="95" ht="12.75" customHeight="1">
      <c r="A95" s="285"/>
      <c r="B95" s="75"/>
      <c r="C95" s="75"/>
      <c r="D95" s="321"/>
      <c r="E95" s="321"/>
      <c r="F95" s="322"/>
      <c r="G95" s="75"/>
      <c r="H95" s="321"/>
      <c r="I95" s="321"/>
      <c r="J95" s="323"/>
      <c r="K95" s="324"/>
      <c r="L95" s="285"/>
      <c r="M95" s="285"/>
      <c r="N95" s="285"/>
      <c r="O95" s="325"/>
      <c r="P95" s="285"/>
      <c r="Q95" s="325"/>
      <c r="R95" s="325"/>
      <c r="S95" s="285"/>
      <c r="T95" s="285"/>
      <c r="U95" s="285"/>
      <c r="V95" s="285"/>
      <c r="W95" s="285"/>
      <c r="X95" s="285"/>
      <c r="Y95" s="285"/>
      <c r="Z95" s="285"/>
    </row>
    <row r="96" ht="12.75" customHeight="1">
      <c r="A96" s="285"/>
      <c r="B96" s="75"/>
      <c r="C96" s="75"/>
      <c r="D96" s="321"/>
      <c r="E96" s="321"/>
      <c r="F96" s="322"/>
      <c r="G96" s="75"/>
      <c r="H96" s="321"/>
      <c r="I96" s="321"/>
      <c r="J96" s="323"/>
      <c r="K96" s="324"/>
      <c r="L96" s="285"/>
      <c r="M96" s="285"/>
      <c r="N96" s="285"/>
      <c r="O96" s="325"/>
      <c r="P96" s="285"/>
      <c r="Q96" s="325"/>
      <c r="R96" s="325"/>
      <c r="S96" s="285"/>
      <c r="T96" s="285"/>
      <c r="U96" s="285"/>
      <c r="V96" s="285"/>
      <c r="W96" s="285"/>
      <c r="X96" s="285"/>
      <c r="Y96" s="285"/>
      <c r="Z96" s="285"/>
    </row>
    <row r="97" ht="12.75" customHeight="1">
      <c r="A97" s="285"/>
      <c r="B97" s="75"/>
      <c r="C97" s="75"/>
      <c r="D97" s="321"/>
      <c r="E97" s="321"/>
      <c r="F97" s="322"/>
      <c r="G97" s="75"/>
      <c r="H97" s="321"/>
      <c r="I97" s="321"/>
      <c r="J97" s="323"/>
      <c r="K97" s="324"/>
      <c r="L97" s="285"/>
      <c r="M97" s="285"/>
      <c r="N97" s="285"/>
      <c r="O97" s="325"/>
      <c r="P97" s="285"/>
      <c r="Q97" s="325"/>
      <c r="R97" s="325"/>
      <c r="S97" s="285"/>
      <c r="T97" s="285"/>
      <c r="U97" s="285"/>
      <c r="V97" s="285"/>
      <c r="W97" s="285"/>
      <c r="X97" s="285"/>
      <c r="Y97" s="285"/>
      <c r="Z97" s="285"/>
    </row>
    <row r="98" ht="12.75" customHeight="1">
      <c r="A98" s="285"/>
      <c r="B98" s="75"/>
      <c r="C98" s="75"/>
      <c r="D98" s="321"/>
      <c r="E98" s="321"/>
      <c r="F98" s="322"/>
      <c r="G98" s="75"/>
      <c r="H98" s="321"/>
      <c r="I98" s="321"/>
      <c r="J98" s="323"/>
      <c r="K98" s="324"/>
      <c r="L98" s="285"/>
      <c r="M98" s="285"/>
      <c r="N98" s="285"/>
      <c r="O98" s="325"/>
      <c r="P98" s="285"/>
      <c r="Q98" s="325"/>
      <c r="R98" s="325"/>
      <c r="S98" s="285"/>
      <c r="T98" s="285"/>
      <c r="U98" s="285"/>
      <c r="V98" s="285"/>
      <c r="W98" s="285"/>
      <c r="X98" s="285"/>
      <c r="Y98" s="285"/>
      <c r="Z98" s="285"/>
    </row>
    <row r="99" ht="12.75" customHeight="1">
      <c r="A99" s="285"/>
      <c r="B99" s="75"/>
      <c r="C99" s="75"/>
      <c r="D99" s="321"/>
      <c r="E99" s="321"/>
      <c r="F99" s="322"/>
      <c r="G99" s="75"/>
      <c r="H99" s="321"/>
      <c r="I99" s="321"/>
      <c r="J99" s="323"/>
      <c r="K99" s="324"/>
      <c r="L99" s="285"/>
      <c r="M99" s="285"/>
      <c r="N99" s="285"/>
      <c r="O99" s="325"/>
      <c r="P99" s="285"/>
      <c r="Q99" s="325"/>
      <c r="R99" s="325"/>
      <c r="S99" s="285"/>
      <c r="T99" s="285"/>
      <c r="U99" s="285"/>
      <c r="V99" s="285"/>
      <c r="W99" s="285"/>
      <c r="X99" s="285"/>
      <c r="Y99" s="285"/>
      <c r="Z99" s="285"/>
    </row>
    <row r="100" ht="12.75" customHeight="1">
      <c r="A100" s="285"/>
      <c r="B100" s="75"/>
      <c r="C100" s="75"/>
      <c r="D100" s="321"/>
      <c r="E100" s="321"/>
      <c r="F100" s="322"/>
      <c r="G100" s="75"/>
      <c r="H100" s="321"/>
      <c r="I100" s="321"/>
      <c r="J100" s="323"/>
      <c r="K100" s="324"/>
      <c r="L100" s="285"/>
      <c r="M100" s="285"/>
      <c r="N100" s="285"/>
      <c r="O100" s="325"/>
      <c r="P100" s="285"/>
      <c r="Q100" s="325"/>
      <c r="R100" s="325"/>
      <c r="S100" s="285"/>
      <c r="T100" s="285"/>
      <c r="U100" s="285"/>
      <c r="V100" s="285"/>
      <c r="W100" s="285"/>
      <c r="X100" s="285"/>
      <c r="Y100" s="285"/>
      <c r="Z100" s="285"/>
    </row>
    <row r="101" ht="12.75" customHeight="1">
      <c r="A101" s="285"/>
      <c r="B101" s="75"/>
      <c r="C101" s="75"/>
      <c r="D101" s="321"/>
      <c r="E101" s="321"/>
      <c r="F101" s="322"/>
      <c r="G101" s="75"/>
      <c r="H101" s="321"/>
      <c r="I101" s="321"/>
      <c r="J101" s="323"/>
      <c r="K101" s="324"/>
      <c r="L101" s="285"/>
      <c r="M101" s="285"/>
      <c r="N101" s="285"/>
      <c r="O101" s="325"/>
      <c r="P101" s="285"/>
      <c r="Q101" s="325"/>
      <c r="R101" s="325"/>
      <c r="S101" s="285"/>
      <c r="T101" s="285"/>
      <c r="U101" s="285"/>
      <c r="V101" s="285"/>
      <c r="W101" s="285"/>
      <c r="X101" s="285"/>
      <c r="Y101" s="285"/>
      <c r="Z101" s="285"/>
    </row>
    <row r="102" ht="12.75" customHeight="1">
      <c r="A102" s="285"/>
      <c r="B102" s="75"/>
      <c r="C102" s="75"/>
      <c r="D102" s="321"/>
      <c r="E102" s="321"/>
      <c r="F102" s="322"/>
      <c r="G102" s="75"/>
      <c r="H102" s="321"/>
      <c r="I102" s="321"/>
      <c r="J102" s="323"/>
      <c r="K102" s="324"/>
      <c r="L102" s="285"/>
      <c r="M102" s="285"/>
      <c r="N102" s="285"/>
      <c r="O102" s="325"/>
      <c r="P102" s="285"/>
      <c r="Q102" s="325"/>
      <c r="R102" s="325"/>
      <c r="S102" s="285"/>
      <c r="T102" s="285"/>
      <c r="U102" s="285"/>
      <c r="V102" s="285"/>
      <c r="W102" s="285"/>
      <c r="X102" s="285"/>
      <c r="Y102" s="285"/>
      <c r="Z102" s="285"/>
    </row>
    <row r="103" ht="12.75" customHeight="1">
      <c r="A103" s="285"/>
      <c r="B103" s="75"/>
      <c r="C103" s="75"/>
      <c r="D103" s="321"/>
      <c r="E103" s="321"/>
      <c r="F103" s="322"/>
      <c r="G103" s="75"/>
      <c r="H103" s="321"/>
      <c r="I103" s="321"/>
      <c r="J103" s="323"/>
      <c r="K103" s="324"/>
      <c r="L103" s="285"/>
      <c r="M103" s="285"/>
      <c r="N103" s="285"/>
      <c r="O103" s="325"/>
      <c r="P103" s="285"/>
      <c r="Q103" s="325"/>
      <c r="R103" s="325"/>
      <c r="S103" s="285"/>
      <c r="T103" s="285"/>
      <c r="U103" s="285"/>
      <c r="V103" s="285"/>
      <c r="W103" s="285"/>
      <c r="X103" s="285"/>
      <c r="Y103" s="285"/>
      <c r="Z103" s="285"/>
    </row>
    <row r="104" ht="12.75" customHeight="1">
      <c r="A104" s="285"/>
      <c r="B104" s="75"/>
      <c r="C104" s="75"/>
      <c r="D104" s="321"/>
      <c r="E104" s="321"/>
      <c r="F104" s="322"/>
      <c r="G104" s="75"/>
      <c r="H104" s="321"/>
      <c r="I104" s="321"/>
      <c r="J104" s="323"/>
      <c r="K104" s="324"/>
      <c r="L104" s="285"/>
      <c r="M104" s="285"/>
      <c r="N104" s="285"/>
      <c r="O104" s="325"/>
      <c r="P104" s="285"/>
      <c r="Q104" s="325"/>
      <c r="R104" s="325"/>
      <c r="S104" s="285"/>
      <c r="T104" s="285"/>
      <c r="U104" s="285"/>
      <c r="V104" s="285"/>
      <c r="W104" s="285"/>
      <c r="X104" s="285"/>
      <c r="Y104" s="285"/>
      <c r="Z104" s="285"/>
    </row>
    <row r="105" ht="12.75" customHeight="1">
      <c r="A105" s="285"/>
      <c r="B105" s="75"/>
      <c r="C105" s="75"/>
      <c r="D105" s="321"/>
      <c r="E105" s="321"/>
      <c r="F105" s="322"/>
      <c r="G105" s="75"/>
      <c r="H105" s="321"/>
      <c r="I105" s="321"/>
      <c r="J105" s="323"/>
      <c r="K105" s="324"/>
      <c r="L105" s="285"/>
      <c r="M105" s="285"/>
      <c r="N105" s="285"/>
      <c r="O105" s="325"/>
      <c r="P105" s="285"/>
      <c r="Q105" s="325"/>
      <c r="R105" s="325"/>
      <c r="S105" s="285"/>
      <c r="T105" s="285"/>
      <c r="U105" s="285"/>
      <c r="V105" s="285"/>
      <c r="W105" s="285"/>
      <c r="X105" s="285"/>
      <c r="Y105" s="285"/>
      <c r="Z105" s="285"/>
    </row>
    <row r="106" ht="12.75" customHeight="1">
      <c r="A106" s="285"/>
      <c r="B106" s="75"/>
      <c r="C106" s="75"/>
      <c r="D106" s="321"/>
      <c r="E106" s="321"/>
      <c r="F106" s="322"/>
      <c r="G106" s="75"/>
      <c r="H106" s="321"/>
      <c r="I106" s="321"/>
      <c r="J106" s="323"/>
      <c r="K106" s="324"/>
      <c r="L106" s="285"/>
      <c r="M106" s="285"/>
      <c r="N106" s="285"/>
      <c r="O106" s="325"/>
      <c r="P106" s="285"/>
      <c r="Q106" s="325"/>
      <c r="R106" s="325"/>
      <c r="S106" s="285"/>
      <c r="T106" s="285"/>
      <c r="U106" s="285"/>
      <c r="V106" s="285"/>
      <c r="W106" s="285"/>
      <c r="X106" s="285"/>
      <c r="Y106" s="285"/>
      <c r="Z106" s="285"/>
    </row>
    <row r="107" ht="12.75" customHeight="1">
      <c r="A107" s="285"/>
      <c r="B107" s="75"/>
      <c r="C107" s="75"/>
      <c r="D107" s="321"/>
      <c r="E107" s="321"/>
      <c r="F107" s="322"/>
      <c r="G107" s="75"/>
      <c r="H107" s="321"/>
      <c r="I107" s="321"/>
      <c r="J107" s="323"/>
      <c r="K107" s="324"/>
      <c r="L107" s="285"/>
      <c r="M107" s="285"/>
      <c r="N107" s="285"/>
      <c r="O107" s="325"/>
      <c r="P107" s="285"/>
      <c r="Q107" s="325"/>
      <c r="R107" s="325"/>
      <c r="S107" s="285"/>
      <c r="T107" s="285"/>
      <c r="U107" s="285"/>
      <c r="V107" s="285"/>
      <c r="W107" s="285"/>
      <c r="X107" s="285"/>
      <c r="Y107" s="285"/>
      <c r="Z107" s="285"/>
    </row>
    <row r="108" ht="12.75" customHeight="1">
      <c r="A108" s="285"/>
      <c r="B108" s="75"/>
      <c r="C108" s="75"/>
      <c r="D108" s="321"/>
      <c r="E108" s="321"/>
      <c r="F108" s="322"/>
      <c r="G108" s="75"/>
      <c r="H108" s="321"/>
      <c r="I108" s="321"/>
      <c r="J108" s="323"/>
      <c r="K108" s="324"/>
      <c r="L108" s="285"/>
      <c r="M108" s="285"/>
      <c r="N108" s="285"/>
      <c r="O108" s="325"/>
      <c r="P108" s="285"/>
      <c r="Q108" s="325"/>
      <c r="R108" s="325"/>
      <c r="S108" s="285"/>
      <c r="T108" s="285"/>
      <c r="U108" s="285"/>
      <c r="V108" s="285"/>
      <c r="W108" s="285"/>
      <c r="X108" s="285"/>
      <c r="Y108" s="285"/>
      <c r="Z108" s="285"/>
    </row>
    <row r="109" ht="12.75" customHeight="1">
      <c r="A109" s="285"/>
      <c r="B109" s="75"/>
      <c r="C109" s="75"/>
      <c r="D109" s="321"/>
      <c r="E109" s="321"/>
      <c r="F109" s="322"/>
      <c r="G109" s="75"/>
      <c r="H109" s="321"/>
      <c r="I109" s="321"/>
      <c r="J109" s="323"/>
      <c r="K109" s="324"/>
      <c r="L109" s="285"/>
      <c r="M109" s="285"/>
      <c r="N109" s="285"/>
      <c r="O109" s="325"/>
      <c r="P109" s="285"/>
      <c r="Q109" s="325"/>
      <c r="R109" s="325"/>
      <c r="S109" s="285"/>
      <c r="T109" s="285"/>
      <c r="U109" s="285"/>
      <c r="V109" s="285"/>
      <c r="W109" s="285"/>
      <c r="X109" s="285"/>
      <c r="Y109" s="285"/>
      <c r="Z109" s="285"/>
    </row>
    <row r="110" ht="12.75" customHeight="1">
      <c r="A110" s="285"/>
      <c r="B110" s="75"/>
      <c r="C110" s="75"/>
      <c r="D110" s="321"/>
      <c r="E110" s="321"/>
      <c r="F110" s="322"/>
      <c r="G110" s="75"/>
      <c r="H110" s="321"/>
      <c r="I110" s="321"/>
      <c r="J110" s="323"/>
      <c r="K110" s="324"/>
      <c r="L110" s="285"/>
      <c r="M110" s="285"/>
      <c r="N110" s="285"/>
      <c r="O110" s="325"/>
      <c r="P110" s="285"/>
      <c r="Q110" s="325"/>
      <c r="R110" s="325"/>
      <c r="S110" s="285"/>
      <c r="T110" s="285"/>
      <c r="U110" s="285"/>
      <c r="V110" s="285"/>
      <c r="W110" s="285"/>
      <c r="X110" s="285"/>
      <c r="Y110" s="285"/>
      <c r="Z110" s="285"/>
    </row>
    <row r="111" ht="12.75" customHeight="1">
      <c r="A111" s="285"/>
      <c r="B111" s="75"/>
      <c r="C111" s="75"/>
      <c r="D111" s="321"/>
      <c r="E111" s="321"/>
      <c r="F111" s="322"/>
      <c r="G111" s="75"/>
      <c r="H111" s="321"/>
      <c r="I111" s="321"/>
      <c r="J111" s="323"/>
      <c r="K111" s="324"/>
      <c r="L111" s="285"/>
      <c r="M111" s="285"/>
      <c r="N111" s="285"/>
      <c r="O111" s="325"/>
      <c r="P111" s="285"/>
      <c r="Q111" s="325"/>
      <c r="R111" s="325"/>
      <c r="S111" s="285"/>
      <c r="T111" s="285"/>
      <c r="U111" s="285"/>
      <c r="V111" s="285"/>
      <c r="W111" s="285"/>
      <c r="X111" s="285"/>
      <c r="Y111" s="285"/>
      <c r="Z111" s="285"/>
    </row>
    <row r="112" ht="12.75" customHeight="1">
      <c r="A112" s="285"/>
      <c r="B112" s="75"/>
      <c r="C112" s="75"/>
      <c r="D112" s="321"/>
      <c r="E112" s="321"/>
      <c r="F112" s="322"/>
      <c r="G112" s="75"/>
      <c r="H112" s="321"/>
      <c r="I112" s="321"/>
      <c r="J112" s="323"/>
      <c r="K112" s="324"/>
      <c r="L112" s="285"/>
      <c r="M112" s="285"/>
      <c r="N112" s="285"/>
      <c r="O112" s="325"/>
      <c r="P112" s="285"/>
      <c r="Q112" s="325"/>
      <c r="R112" s="325"/>
      <c r="S112" s="285"/>
      <c r="T112" s="285"/>
      <c r="U112" s="285"/>
      <c r="V112" s="285"/>
      <c r="W112" s="285"/>
      <c r="X112" s="285"/>
      <c r="Y112" s="285"/>
      <c r="Z112" s="285"/>
    </row>
    <row r="113" ht="12.75" customHeight="1">
      <c r="A113" s="285"/>
      <c r="B113" s="75"/>
      <c r="C113" s="75"/>
      <c r="D113" s="321"/>
      <c r="E113" s="321"/>
      <c r="F113" s="322"/>
      <c r="G113" s="75"/>
      <c r="H113" s="321"/>
      <c r="I113" s="321"/>
      <c r="J113" s="323"/>
      <c r="K113" s="324"/>
      <c r="L113" s="285"/>
      <c r="M113" s="285"/>
      <c r="N113" s="285"/>
      <c r="O113" s="325"/>
      <c r="P113" s="285"/>
      <c r="Q113" s="325"/>
      <c r="R113" s="325"/>
      <c r="S113" s="285"/>
      <c r="T113" s="285"/>
      <c r="U113" s="285"/>
      <c r="V113" s="285"/>
      <c r="W113" s="285"/>
      <c r="X113" s="285"/>
      <c r="Y113" s="285"/>
      <c r="Z113" s="285"/>
    </row>
    <row r="114" ht="12.75" customHeight="1">
      <c r="A114" s="285"/>
      <c r="B114" s="75"/>
      <c r="C114" s="75"/>
      <c r="D114" s="321"/>
      <c r="E114" s="321"/>
      <c r="F114" s="322"/>
      <c r="G114" s="75"/>
      <c r="H114" s="321"/>
      <c r="I114" s="321"/>
      <c r="J114" s="323"/>
      <c r="K114" s="324"/>
      <c r="L114" s="285"/>
      <c r="M114" s="285"/>
      <c r="N114" s="285"/>
      <c r="O114" s="325"/>
      <c r="P114" s="285"/>
      <c r="Q114" s="325"/>
      <c r="R114" s="325"/>
      <c r="S114" s="285"/>
      <c r="T114" s="285"/>
      <c r="U114" s="285"/>
      <c r="V114" s="285"/>
      <c r="W114" s="285"/>
      <c r="X114" s="285"/>
      <c r="Y114" s="285"/>
      <c r="Z114" s="285"/>
    </row>
    <row r="115" ht="12.75" customHeight="1">
      <c r="A115" s="285"/>
      <c r="B115" s="75"/>
      <c r="C115" s="75"/>
      <c r="D115" s="321"/>
      <c r="E115" s="321"/>
      <c r="F115" s="322"/>
      <c r="G115" s="75"/>
      <c r="H115" s="321"/>
      <c r="I115" s="321"/>
      <c r="J115" s="323"/>
      <c r="K115" s="324"/>
      <c r="L115" s="285"/>
      <c r="M115" s="285"/>
      <c r="N115" s="285"/>
      <c r="O115" s="325"/>
      <c r="P115" s="285"/>
      <c r="Q115" s="325"/>
      <c r="R115" s="325"/>
      <c r="S115" s="285"/>
      <c r="T115" s="285"/>
      <c r="U115" s="285"/>
      <c r="V115" s="285"/>
      <c r="W115" s="285"/>
      <c r="X115" s="285"/>
      <c r="Y115" s="285"/>
      <c r="Z115" s="285"/>
    </row>
    <row r="116" ht="12.75" customHeight="1">
      <c r="A116" s="285"/>
      <c r="B116" s="75"/>
      <c r="C116" s="75"/>
      <c r="D116" s="321"/>
      <c r="E116" s="321"/>
      <c r="F116" s="322"/>
      <c r="G116" s="75"/>
      <c r="H116" s="321"/>
      <c r="I116" s="321"/>
      <c r="J116" s="323"/>
      <c r="K116" s="324"/>
      <c r="L116" s="285"/>
      <c r="M116" s="285"/>
      <c r="N116" s="285"/>
      <c r="O116" s="325"/>
      <c r="P116" s="285"/>
      <c r="Q116" s="325"/>
      <c r="R116" s="325"/>
      <c r="S116" s="285"/>
      <c r="T116" s="285"/>
      <c r="U116" s="285"/>
      <c r="V116" s="285"/>
      <c r="W116" s="285"/>
      <c r="X116" s="285"/>
      <c r="Y116" s="285"/>
      <c r="Z116" s="285"/>
    </row>
    <row r="117" ht="12.75" customHeight="1">
      <c r="A117" s="285"/>
      <c r="B117" s="75"/>
      <c r="C117" s="75"/>
      <c r="D117" s="321"/>
      <c r="E117" s="321"/>
      <c r="F117" s="322"/>
      <c r="G117" s="75"/>
      <c r="H117" s="321"/>
      <c r="I117" s="321"/>
      <c r="J117" s="323"/>
      <c r="K117" s="324"/>
      <c r="L117" s="285"/>
      <c r="M117" s="285"/>
      <c r="N117" s="285"/>
      <c r="O117" s="325"/>
      <c r="P117" s="285"/>
      <c r="Q117" s="325"/>
      <c r="R117" s="325"/>
      <c r="S117" s="285"/>
      <c r="T117" s="285"/>
      <c r="U117" s="285"/>
      <c r="V117" s="285"/>
      <c r="W117" s="285"/>
      <c r="X117" s="285"/>
      <c r="Y117" s="285"/>
      <c r="Z117" s="285"/>
    </row>
    <row r="118" ht="12.75" customHeight="1">
      <c r="A118" s="285"/>
      <c r="B118" s="75"/>
      <c r="C118" s="75"/>
      <c r="D118" s="321"/>
      <c r="E118" s="321"/>
      <c r="F118" s="322"/>
      <c r="G118" s="75"/>
      <c r="H118" s="321"/>
      <c r="I118" s="321"/>
      <c r="J118" s="323"/>
      <c r="K118" s="324"/>
      <c r="L118" s="285"/>
      <c r="M118" s="285"/>
      <c r="N118" s="285"/>
      <c r="O118" s="325"/>
      <c r="P118" s="285"/>
      <c r="Q118" s="325"/>
      <c r="R118" s="325"/>
      <c r="S118" s="285"/>
      <c r="T118" s="285"/>
      <c r="U118" s="285"/>
      <c r="V118" s="285"/>
      <c r="W118" s="285"/>
      <c r="X118" s="285"/>
      <c r="Y118" s="285"/>
      <c r="Z118" s="285"/>
    </row>
    <row r="119" ht="12.75" customHeight="1">
      <c r="A119" s="285"/>
      <c r="B119" s="75"/>
      <c r="C119" s="75"/>
      <c r="D119" s="321"/>
      <c r="E119" s="321"/>
      <c r="F119" s="322"/>
      <c r="G119" s="75"/>
      <c r="H119" s="321"/>
      <c r="I119" s="321"/>
      <c r="J119" s="323"/>
      <c r="K119" s="324"/>
      <c r="L119" s="285"/>
      <c r="M119" s="285"/>
      <c r="N119" s="285"/>
      <c r="O119" s="325"/>
      <c r="P119" s="285"/>
      <c r="Q119" s="325"/>
      <c r="R119" s="325"/>
      <c r="S119" s="285"/>
      <c r="T119" s="285"/>
      <c r="U119" s="285"/>
      <c r="V119" s="285"/>
      <c r="W119" s="285"/>
      <c r="X119" s="285"/>
      <c r="Y119" s="285"/>
      <c r="Z119" s="285"/>
    </row>
    <row r="120" ht="12.75" customHeight="1">
      <c r="A120" s="285"/>
      <c r="B120" s="75"/>
      <c r="C120" s="75"/>
      <c r="D120" s="321"/>
      <c r="E120" s="321"/>
      <c r="F120" s="322"/>
      <c r="G120" s="75"/>
      <c r="H120" s="321"/>
      <c r="I120" s="321"/>
      <c r="J120" s="323"/>
      <c r="K120" s="324"/>
      <c r="L120" s="285"/>
      <c r="M120" s="285"/>
      <c r="N120" s="285"/>
      <c r="O120" s="325"/>
      <c r="P120" s="285"/>
      <c r="Q120" s="325"/>
      <c r="R120" s="325"/>
      <c r="S120" s="285"/>
      <c r="T120" s="285"/>
      <c r="U120" s="285"/>
      <c r="V120" s="285"/>
      <c r="W120" s="285"/>
      <c r="X120" s="285"/>
      <c r="Y120" s="285"/>
      <c r="Z120" s="285"/>
    </row>
    <row r="121" ht="12.75" customHeight="1">
      <c r="A121" s="285"/>
      <c r="B121" s="75"/>
      <c r="C121" s="75"/>
      <c r="D121" s="321"/>
      <c r="E121" s="321"/>
      <c r="F121" s="322"/>
      <c r="G121" s="75"/>
      <c r="H121" s="321"/>
      <c r="I121" s="321"/>
      <c r="J121" s="323"/>
      <c r="K121" s="324"/>
      <c r="L121" s="285"/>
      <c r="M121" s="285"/>
      <c r="N121" s="285"/>
      <c r="O121" s="325"/>
      <c r="P121" s="285"/>
      <c r="Q121" s="325"/>
      <c r="R121" s="325"/>
      <c r="S121" s="285"/>
      <c r="T121" s="285"/>
      <c r="U121" s="285"/>
      <c r="V121" s="285"/>
      <c r="W121" s="285"/>
      <c r="X121" s="285"/>
      <c r="Y121" s="285"/>
      <c r="Z121" s="285"/>
    </row>
    <row r="122" ht="12.75" customHeight="1">
      <c r="A122" s="285"/>
      <c r="B122" s="75"/>
      <c r="C122" s="75"/>
      <c r="D122" s="321"/>
      <c r="E122" s="321"/>
      <c r="F122" s="322"/>
      <c r="G122" s="75"/>
      <c r="H122" s="321"/>
      <c r="I122" s="321"/>
      <c r="J122" s="323"/>
      <c r="K122" s="324"/>
      <c r="L122" s="285"/>
      <c r="M122" s="285"/>
      <c r="N122" s="285"/>
      <c r="O122" s="325"/>
      <c r="P122" s="285"/>
      <c r="Q122" s="325"/>
      <c r="R122" s="325"/>
      <c r="S122" s="285"/>
      <c r="T122" s="285"/>
      <c r="U122" s="285"/>
      <c r="V122" s="285"/>
      <c r="W122" s="285"/>
      <c r="X122" s="285"/>
      <c r="Y122" s="285"/>
      <c r="Z122" s="285"/>
    </row>
    <row r="123" ht="12.75" customHeight="1">
      <c r="A123" s="285"/>
      <c r="B123" s="75"/>
      <c r="C123" s="75"/>
      <c r="D123" s="321"/>
      <c r="E123" s="321"/>
      <c r="F123" s="322"/>
      <c r="G123" s="75"/>
      <c r="H123" s="321"/>
      <c r="I123" s="321"/>
      <c r="J123" s="323"/>
      <c r="K123" s="324"/>
      <c r="L123" s="285"/>
      <c r="M123" s="285"/>
      <c r="N123" s="285"/>
      <c r="O123" s="325"/>
      <c r="P123" s="285"/>
      <c r="Q123" s="325"/>
      <c r="R123" s="325"/>
      <c r="S123" s="285"/>
      <c r="T123" s="285"/>
      <c r="U123" s="285"/>
      <c r="V123" s="285"/>
      <c r="W123" s="285"/>
      <c r="X123" s="285"/>
      <c r="Y123" s="285"/>
      <c r="Z123" s="285"/>
    </row>
    <row r="124" ht="12.75" customHeight="1">
      <c r="A124" s="285"/>
      <c r="B124" s="75"/>
      <c r="C124" s="75"/>
      <c r="D124" s="321"/>
      <c r="E124" s="321"/>
      <c r="F124" s="322"/>
      <c r="G124" s="75"/>
      <c r="H124" s="321"/>
      <c r="I124" s="321"/>
      <c r="J124" s="323"/>
      <c r="K124" s="324"/>
      <c r="L124" s="285"/>
      <c r="M124" s="285"/>
      <c r="N124" s="285"/>
      <c r="O124" s="325"/>
      <c r="P124" s="285"/>
      <c r="Q124" s="325"/>
      <c r="R124" s="325"/>
      <c r="S124" s="285"/>
      <c r="T124" s="285"/>
      <c r="U124" s="285"/>
      <c r="V124" s="285"/>
      <c r="W124" s="285"/>
      <c r="X124" s="285"/>
      <c r="Y124" s="285"/>
      <c r="Z124" s="285"/>
    </row>
    <row r="125" ht="12.75" customHeight="1">
      <c r="A125" s="285"/>
      <c r="B125" s="75"/>
      <c r="C125" s="75"/>
      <c r="D125" s="321"/>
      <c r="E125" s="321"/>
      <c r="F125" s="322"/>
      <c r="G125" s="75"/>
      <c r="H125" s="321"/>
      <c r="I125" s="321"/>
      <c r="J125" s="323"/>
      <c r="K125" s="324"/>
      <c r="L125" s="285"/>
      <c r="M125" s="285"/>
      <c r="N125" s="285"/>
      <c r="O125" s="325"/>
      <c r="P125" s="285"/>
      <c r="Q125" s="325"/>
      <c r="R125" s="325"/>
      <c r="S125" s="285"/>
      <c r="T125" s="285"/>
      <c r="U125" s="285"/>
      <c r="V125" s="285"/>
      <c r="W125" s="285"/>
      <c r="X125" s="285"/>
      <c r="Y125" s="285"/>
      <c r="Z125" s="285"/>
    </row>
    <row r="126" ht="12.75" customHeight="1">
      <c r="A126" s="285"/>
      <c r="B126" s="75"/>
      <c r="C126" s="75"/>
      <c r="D126" s="321"/>
      <c r="E126" s="321"/>
      <c r="F126" s="322"/>
      <c r="G126" s="75"/>
      <c r="H126" s="321"/>
      <c r="I126" s="321"/>
      <c r="J126" s="323"/>
      <c r="K126" s="324"/>
      <c r="L126" s="285"/>
      <c r="M126" s="285"/>
      <c r="N126" s="285"/>
      <c r="O126" s="325"/>
      <c r="P126" s="285"/>
      <c r="Q126" s="325"/>
      <c r="R126" s="325"/>
      <c r="S126" s="285"/>
      <c r="T126" s="285"/>
      <c r="U126" s="285"/>
      <c r="V126" s="285"/>
      <c r="W126" s="285"/>
      <c r="X126" s="285"/>
      <c r="Y126" s="285"/>
      <c r="Z126" s="285"/>
    </row>
    <row r="127" ht="12.75" customHeight="1">
      <c r="A127" s="285"/>
      <c r="B127" s="75"/>
      <c r="C127" s="75"/>
      <c r="D127" s="321"/>
      <c r="E127" s="321"/>
      <c r="F127" s="322"/>
      <c r="G127" s="75"/>
      <c r="H127" s="321"/>
      <c r="I127" s="321"/>
      <c r="J127" s="323"/>
      <c r="K127" s="324"/>
      <c r="L127" s="285"/>
      <c r="M127" s="285"/>
      <c r="N127" s="285"/>
      <c r="O127" s="325"/>
      <c r="P127" s="285"/>
      <c r="Q127" s="325"/>
      <c r="R127" s="325"/>
      <c r="S127" s="285"/>
      <c r="T127" s="285"/>
      <c r="U127" s="285"/>
      <c r="V127" s="285"/>
      <c r="W127" s="285"/>
      <c r="X127" s="285"/>
      <c r="Y127" s="285"/>
      <c r="Z127" s="285"/>
    </row>
    <row r="128" ht="12.75" customHeight="1">
      <c r="A128" s="285"/>
      <c r="B128" s="75"/>
      <c r="C128" s="75"/>
      <c r="D128" s="321"/>
      <c r="E128" s="321"/>
      <c r="F128" s="322"/>
      <c r="G128" s="75"/>
      <c r="H128" s="321"/>
      <c r="I128" s="321"/>
      <c r="J128" s="323"/>
      <c r="K128" s="324"/>
      <c r="L128" s="285"/>
      <c r="M128" s="285"/>
      <c r="N128" s="285"/>
      <c r="O128" s="325"/>
      <c r="P128" s="285"/>
      <c r="Q128" s="325"/>
      <c r="R128" s="325"/>
      <c r="S128" s="285"/>
      <c r="T128" s="285"/>
      <c r="U128" s="285"/>
      <c r="V128" s="285"/>
      <c r="W128" s="285"/>
      <c r="X128" s="285"/>
      <c r="Y128" s="285"/>
      <c r="Z128" s="285"/>
    </row>
    <row r="129" ht="12.75" customHeight="1">
      <c r="A129" s="285"/>
      <c r="B129" s="75"/>
      <c r="C129" s="75"/>
      <c r="D129" s="321"/>
      <c r="E129" s="321"/>
      <c r="F129" s="322"/>
      <c r="G129" s="75"/>
      <c r="H129" s="321"/>
      <c r="I129" s="321"/>
      <c r="J129" s="323"/>
      <c r="K129" s="324"/>
      <c r="L129" s="285"/>
      <c r="M129" s="285"/>
      <c r="N129" s="285"/>
      <c r="O129" s="325"/>
      <c r="P129" s="285"/>
      <c r="Q129" s="325"/>
      <c r="R129" s="325"/>
      <c r="S129" s="285"/>
      <c r="T129" s="285"/>
      <c r="U129" s="285"/>
      <c r="V129" s="285"/>
      <c r="W129" s="285"/>
      <c r="X129" s="285"/>
      <c r="Y129" s="285"/>
      <c r="Z129" s="285"/>
    </row>
    <row r="130" ht="12.75" customHeight="1">
      <c r="A130" s="285"/>
      <c r="B130" s="75"/>
      <c r="C130" s="75"/>
      <c r="D130" s="321"/>
      <c r="E130" s="321"/>
      <c r="F130" s="322"/>
      <c r="G130" s="75"/>
      <c r="H130" s="321"/>
      <c r="I130" s="321"/>
      <c r="J130" s="323"/>
      <c r="K130" s="324"/>
      <c r="L130" s="285"/>
      <c r="M130" s="285"/>
      <c r="N130" s="285"/>
      <c r="O130" s="325"/>
      <c r="P130" s="285"/>
      <c r="Q130" s="325"/>
      <c r="R130" s="325"/>
      <c r="S130" s="285"/>
      <c r="T130" s="285"/>
      <c r="U130" s="285"/>
      <c r="V130" s="285"/>
      <c r="W130" s="285"/>
      <c r="X130" s="285"/>
      <c r="Y130" s="285"/>
      <c r="Z130" s="285"/>
    </row>
    <row r="131" ht="12.75" customHeight="1">
      <c r="A131" s="285"/>
      <c r="B131" s="75"/>
      <c r="C131" s="75"/>
      <c r="D131" s="321"/>
      <c r="E131" s="321"/>
      <c r="F131" s="322"/>
      <c r="G131" s="75"/>
      <c r="H131" s="321"/>
      <c r="I131" s="321"/>
      <c r="J131" s="323"/>
      <c r="K131" s="324"/>
      <c r="L131" s="285"/>
      <c r="M131" s="285"/>
      <c r="N131" s="285"/>
      <c r="O131" s="325"/>
      <c r="P131" s="285"/>
      <c r="Q131" s="325"/>
      <c r="R131" s="325"/>
      <c r="S131" s="285"/>
      <c r="T131" s="285"/>
      <c r="U131" s="285"/>
      <c r="V131" s="285"/>
      <c r="W131" s="285"/>
      <c r="X131" s="285"/>
      <c r="Y131" s="285"/>
      <c r="Z131" s="285"/>
    </row>
    <row r="132" ht="12.75" customHeight="1">
      <c r="A132" s="285"/>
      <c r="B132" s="75"/>
      <c r="C132" s="75"/>
      <c r="D132" s="321"/>
      <c r="E132" s="321"/>
      <c r="F132" s="322"/>
      <c r="G132" s="75"/>
      <c r="H132" s="321"/>
      <c r="I132" s="321"/>
      <c r="J132" s="323"/>
      <c r="K132" s="324"/>
      <c r="L132" s="285"/>
      <c r="M132" s="285"/>
      <c r="N132" s="285"/>
      <c r="O132" s="325"/>
      <c r="P132" s="285"/>
      <c r="Q132" s="325"/>
      <c r="R132" s="325"/>
      <c r="S132" s="285"/>
      <c r="T132" s="285"/>
      <c r="U132" s="285"/>
      <c r="V132" s="285"/>
      <c r="W132" s="285"/>
      <c r="X132" s="285"/>
      <c r="Y132" s="285"/>
      <c r="Z132" s="285"/>
    </row>
    <row r="133" ht="12.75" customHeight="1">
      <c r="A133" s="285"/>
      <c r="B133" s="75"/>
      <c r="C133" s="75"/>
      <c r="D133" s="321"/>
      <c r="E133" s="321"/>
      <c r="F133" s="322"/>
      <c r="G133" s="75"/>
      <c r="H133" s="321"/>
      <c r="I133" s="321"/>
      <c r="J133" s="323"/>
      <c r="K133" s="324"/>
      <c r="L133" s="285"/>
      <c r="M133" s="285"/>
      <c r="N133" s="285"/>
      <c r="O133" s="325"/>
      <c r="P133" s="285"/>
      <c r="Q133" s="325"/>
      <c r="R133" s="325"/>
      <c r="S133" s="285"/>
      <c r="T133" s="285"/>
      <c r="U133" s="285"/>
      <c r="V133" s="285"/>
      <c r="W133" s="285"/>
      <c r="X133" s="285"/>
      <c r="Y133" s="285"/>
      <c r="Z133" s="285"/>
    </row>
    <row r="134" ht="12.75" customHeight="1">
      <c r="A134" s="285"/>
      <c r="B134" s="75"/>
      <c r="C134" s="75"/>
      <c r="D134" s="321"/>
      <c r="E134" s="321"/>
      <c r="F134" s="322"/>
      <c r="G134" s="75"/>
      <c r="H134" s="321"/>
      <c r="I134" s="321"/>
      <c r="J134" s="323"/>
      <c r="K134" s="324"/>
      <c r="L134" s="285"/>
      <c r="M134" s="285"/>
      <c r="N134" s="285"/>
      <c r="O134" s="325"/>
      <c r="P134" s="285"/>
      <c r="Q134" s="325"/>
      <c r="R134" s="325"/>
      <c r="S134" s="285"/>
      <c r="T134" s="285"/>
      <c r="U134" s="285"/>
      <c r="V134" s="285"/>
      <c r="W134" s="285"/>
      <c r="X134" s="285"/>
      <c r="Y134" s="285"/>
      <c r="Z134" s="285"/>
    </row>
    <row r="135" ht="12.75" customHeight="1">
      <c r="A135" s="285"/>
      <c r="B135" s="75"/>
      <c r="C135" s="75"/>
      <c r="D135" s="321"/>
      <c r="E135" s="321"/>
      <c r="F135" s="322"/>
      <c r="G135" s="75"/>
      <c r="H135" s="321"/>
      <c r="I135" s="321"/>
      <c r="J135" s="323"/>
      <c r="K135" s="324"/>
      <c r="L135" s="285"/>
      <c r="M135" s="285"/>
      <c r="N135" s="285"/>
      <c r="O135" s="325"/>
      <c r="P135" s="285"/>
      <c r="Q135" s="325"/>
      <c r="R135" s="325"/>
      <c r="S135" s="285"/>
      <c r="T135" s="285"/>
      <c r="U135" s="285"/>
      <c r="V135" s="285"/>
      <c r="W135" s="285"/>
      <c r="X135" s="285"/>
      <c r="Y135" s="285"/>
      <c r="Z135" s="285"/>
    </row>
    <row r="136" ht="12.75" customHeight="1">
      <c r="A136" s="285"/>
      <c r="B136" s="75"/>
      <c r="C136" s="75"/>
      <c r="D136" s="321"/>
      <c r="E136" s="321"/>
      <c r="F136" s="322"/>
      <c r="G136" s="75"/>
      <c r="H136" s="321"/>
      <c r="I136" s="321"/>
      <c r="J136" s="323"/>
      <c r="K136" s="324"/>
      <c r="L136" s="285"/>
      <c r="M136" s="285"/>
      <c r="N136" s="285"/>
      <c r="O136" s="325"/>
      <c r="P136" s="285"/>
      <c r="Q136" s="325"/>
      <c r="R136" s="325"/>
      <c r="S136" s="285"/>
      <c r="T136" s="285"/>
      <c r="U136" s="285"/>
      <c r="V136" s="285"/>
      <c r="W136" s="285"/>
      <c r="X136" s="285"/>
      <c r="Y136" s="285"/>
      <c r="Z136" s="285"/>
    </row>
    <row r="137" ht="12.75" customHeight="1">
      <c r="A137" s="285"/>
      <c r="B137" s="75"/>
      <c r="C137" s="75"/>
      <c r="D137" s="321"/>
      <c r="E137" s="321"/>
      <c r="F137" s="322"/>
      <c r="G137" s="75"/>
      <c r="H137" s="321"/>
      <c r="I137" s="321"/>
      <c r="J137" s="323"/>
      <c r="K137" s="324"/>
      <c r="L137" s="285"/>
      <c r="M137" s="285"/>
      <c r="N137" s="285"/>
      <c r="O137" s="325"/>
      <c r="P137" s="285"/>
      <c r="Q137" s="325"/>
      <c r="R137" s="325"/>
      <c r="S137" s="285"/>
      <c r="T137" s="285"/>
      <c r="U137" s="285"/>
      <c r="V137" s="285"/>
      <c r="W137" s="285"/>
      <c r="X137" s="285"/>
      <c r="Y137" s="285"/>
      <c r="Z137" s="285"/>
    </row>
    <row r="138" ht="12.75" customHeight="1">
      <c r="A138" s="285"/>
      <c r="B138" s="75"/>
      <c r="C138" s="75"/>
      <c r="D138" s="321"/>
      <c r="E138" s="321"/>
      <c r="F138" s="322"/>
      <c r="G138" s="75"/>
      <c r="H138" s="321"/>
      <c r="I138" s="321"/>
      <c r="J138" s="323"/>
      <c r="K138" s="324"/>
      <c r="L138" s="285"/>
      <c r="M138" s="285"/>
      <c r="N138" s="285"/>
      <c r="O138" s="325"/>
      <c r="P138" s="285"/>
      <c r="Q138" s="325"/>
      <c r="R138" s="325"/>
      <c r="S138" s="285"/>
      <c r="T138" s="285"/>
      <c r="U138" s="285"/>
      <c r="V138" s="285"/>
      <c r="W138" s="285"/>
      <c r="X138" s="285"/>
      <c r="Y138" s="285"/>
      <c r="Z138" s="285"/>
    </row>
    <row r="139" ht="12.75" customHeight="1">
      <c r="A139" s="285"/>
      <c r="B139" s="75"/>
      <c r="C139" s="75"/>
      <c r="D139" s="321"/>
      <c r="E139" s="321"/>
      <c r="F139" s="322"/>
      <c r="G139" s="75"/>
      <c r="H139" s="321"/>
      <c r="I139" s="321"/>
      <c r="J139" s="323"/>
      <c r="K139" s="324"/>
      <c r="L139" s="285"/>
      <c r="M139" s="285"/>
      <c r="N139" s="285"/>
      <c r="O139" s="325"/>
      <c r="P139" s="285"/>
      <c r="Q139" s="325"/>
      <c r="R139" s="325"/>
      <c r="S139" s="285"/>
      <c r="T139" s="285"/>
      <c r="U139" s="285"/>
      <c r="V139" s="285"/>
      <c r="W139" s="285"/>
      <c r="X139" s="285"/>
      <c r="Y139" s="285"/>
      <c r="Z139" s="285"/>
    </row>
    <row r="140" ht="12.75" customHeight="1">
      <c r="A140" s="285"/>
      <c r="B140" s="75"/>
      <c r="C140" s="75"/>
      <c r="D140" s="321"/>
      <c r="E140" s="321"/>
      <c r="F140" s="322"/>
      <c r="G140" s="75"/>
      <c r="H140" s="321"/>
      <c r="I140" s="321"/>
      <c r="J140" s="323"/>
      <c r="K140" s="324"/>
      <c r="L140" s="285"/>
      <c r="M140" s="285"/>
      <c r="N140" s="285"/>
      <c r="O140" s="325"/>
      <c r="P140" s="285"/>
      <c r="Q140" s="325"/>
      <c r="R140" s="325"/>
      <c r="S140" s="285"/>
      <c r="T140" s="285"/>
      <c r="U140" s="285"/>
      <c r="V140" s="285"/>
      <c r="W140" s="285"/>
      <c r="X140" s="285"/>
      <c r="Y140" s="285"/>
      <c r="Z140" s="285"/>
    </row>
    <row r="141" ht="12.75" customHeight="1">
      <c r="A141" s="285"/>
      <c r="B141" s="75"/>
      <c r="C141" s="75"/>
      <c r="D141" s="321"/>
      <c r="E141" s="321"/>
      <c r="F141" s="322"/>
      <c r="G141" s="75"/>
      <c r="H141" s="321"/>
      <c r="I141" s="321"/>
      <c r="J141" s="323"/>
      <c r="K141" s="324"/>
      <c r="L141" s="285"/>
      <c r="M141" s="285"/>
      <c r="N141" s="285"/>
      <c r="O141" s="325"/>
      <c r="P141" s="285"/>
      <c r="Q141" s="325"/>
      <c r="R141" s="325"/>
      <c r="S141" s="285"/>
      <c r="T141" s="285"/>
      <c r="U141" s="285"/>
      <c r="V141" s="285"/>
      <c r="W141" s="285"/>
      <c r="X141" s="285"/>
      <c r="Y141" s="285"/>
      <c r="Z141" s="285"/>
    </row>
    <row r="142" ht="12.75" customHeight="1">
      <c r="A142" s="285"/>
      <c r="B142" s="75"/>
      <c r="C142" s="75"/>
      <c r="D142" s="321"/>
      <c r="E142" s="321"/>
      <c r="F142" s="322"/>
      <c r="G142" s="75"/>
      <c r="H142" s="321"/>
      <c r="I142" s="321"/>
      <c r="J142" s="323"/>
      <c r="K142" s="324"/>
      <c r="L142" s="285"/>
      <c r="M142" s="285"/>
      <c r="N142" s="285"/>
      <c r="O142" s="325"/>
      <c r="P142" s="285"/>
      <c r="Q142" s="325"/>
      <c r="R142" s="325"/>
      <c r="S142" s="285"/>
      <c r="T142" s="285"/>
      <c r="U142" s="285"/>
      <c r="V142" s="285"/>
      <c r="W142" s="285"/>
      <c r="X142" s="285"/>
      <c r="Y142" s="285"/>
      <c r="Z142" s="285"/>
    </row>
    <row r="143" ht="12.75" customHeight="1">
      <c r="A143" s="285"/>
      <c r="B143" s="75"/>
      <c r="C143" s="75"/>
      <c r="D143" s="321"/>
      <c r="E143" s="321"/>
      <c r="F143" s="322"/>
      <c r="G143" s="75"/>
      <c r="H143" s="321"/>
      <c r="I143" s="321"/>
      <c r="J143" s="323"/>
      <c r="K143" s="324"/>
      <c r="L143" s="285"/>
      <c r="M143" s="285"/>
      <c r="N143" s="285"/>
      <c r="O143" s="325"/>
      <c r="P143" s="285"/>
      <c r="Q143" s="325"/>
      <c r="R143" s="325"/>
      <c r="S143" s="285"/>
      <c r="T143" s="285"/>
      <c r="U143" s="285"/>
      <c r="V143" s="285"/>
      <c r="W143" s="285"/>
      <c r="X143" s="285"/>
      <c r="Y143" s="285"/>
      <c r="Z143" s="285"/>
    </row>
    <row r="144" ht="12.75" customHeight="1">
      <c r="A144" s="285"/>
      <c r="B144" s="75"/>
      <c r="C144" s="75"/>
      <c r="D144" s="321"/>
      <c r="E144" s="321"/>
      <c r="F144" s="322"/>
      <c r="G144" s="75"/>
      <c r="H144" s="321"/>
      <c r="I144" s="321"/>
      <c r="J144" s="323"/>
      <c r="K144" s="324"/>
      <c r="L144" s="285"/>
      <c r="M144" s="285"/>
      <c r="N144" s="285"/>
      <c r="O144" s="325"/>
      <c r="P144" s="285"/>
      <c r="Q144" s="325"/>
      <c r="R144" s="325"/>
      <c r="S144" s="285"/>
      <c r="T144" s="285"/>
      <c r="U144" s="285"/>
      <c r="V144" s="285"/>
      <c r="W144" s="285"/>
      <c r="X144" s="285"/>
      <c r="Y144" s="285"/>
      <c r="Z144" s="285"/>
    </row>
    <row r="145" ht="12.75" customHeight="1">
      <c r="A145" s="285"/>
      <c r="B145" s="75"/>
      <c r="C145" s="75"/>
      <c r="D145" s="321"/>
      <c r="E145" s="321"/>
      <c r="F145" s="322"/>
      <c r="G145" s="75"/>
      <c r="H145" s="321"/>
      <c r="I145" s="321"/>
      <c r="J145" s="323"/>
      <c r="K145" s="324"/>
      <c r="L145" s="285"/>
      <c r="M145" s="285"/>
      <c r="N145" s="285"/>
      <c r="O145" s="325"/>
      <c r="P145" s="285"/>
      <c r="Q145" s="325"/>
      <c r="R145" s="325"/>
      <c r="S145" s="285"/>
      <c r="T145" s="285"/>
      <c r="U145" s="285"/>
      <c r="V145" s="285"/>
      <c r="W145" s="285"/>
      <c r="X145" s="285"/>
      <c r="Y145" s="285"/>
      <c r="Z145" s="285"/>
    </row>
    <row r="146" ht="12.75" customHeight="1">
      <c r="A146" s="285"/>
      <c r="B146" s="75"/>
      <c r="C146" s="75"/>
      <c r="D146" s="321"/>
      <c r="E146" s="321"/>
      <c r="F146" s="322"/>
      <c r="G146" s="75"/>
      <c r="H146" s="321"/>
      <c r="I146" s="321"/>
      <c r="J146" s="323"/>
      <c r="K146" s="324"/>
      <c r="L146" s="285"/>
      <c r="M146" s="285"/>
      <c r="N146" s="285"/>
      <c r="O146" s="325"/>
      <c r="P146" s="285"/>
      <c r="Q146" s="325"/>
      <c r="R146" s="325"/>
      <c r="S146" s="285"/>
      <c r="T146" s="285"/>
      <c r="U146" s="285"/>
      <c r="V146" s="285"/>
      <c r="W146" s="285"/>
      <c r="X146" s="285"/>
      <c r="Y146" s="285"/>
      <c r="Z146" s="285"/>
    </row>
    <row r="147" ht="12.75" customHeight="1">
      <c r="A147" s="285"/>
      <c r="B147" s="75"/>
      <c r="C147" s="75"/>
      <c r="D147" s="321"/>
      <c r="E147" s="321"/>
      <c r="F147" s="322"/>
      <c r="G147" s="75"/>
      <c r="H147" s="321"/>
      <c r="I147" s="321"/>
      <c r="J147" s="323"/>
      <c r="K147" s="324"/>
      <c r="L147" s="285"/>
      <c r="M147" s="285"/>
      <c r="N147" s="285"/>
      <c r="O147" s="325"/>
      <c r="P147" s="285"/>
      <c r="Q147" s="325"/>
      <c r="R147" s="325"/>
      <c r="S147" s="285"/>
      <c r="T147" s="285"/>
      <c r="U147" s="285"/>
      <c r="V147" s="285"/>
      <c r="W147" s="285"/>
      <c r="X147" s="285"/>
      <c r="Y147" s="285"/>
      <c r="Z147" s="285"/>
    </row>
    <row r="148" ht="12.75" customHeight="1">
      <c r="A148" s="285"/>
      <c r="B148" s="75"/>
      <c r="C148" s="75"/>
      <c r="D148" s="321"/>
      <c r="E148" s="321"/>
      <c r="F148" s="322"/>
      <c r="G148" s="75"/>
      <c r="H148" s="321"/>
      <c r="I148" s="321"/>
      <c r="J148" s="323"/>
      <c r="K148" s="324"/>
      <c r="L148" s="285"/>
      <c r="M148" s="285"/>
      <c r="N148" s="285"/>
      <c r="O148" s="325"/>
      <c r="P148" s="285"/>
      <c r="Q148" s="325"/>
      <c r="R148" s="325"/>
      <c r="S148" s="285"/>
      <c r="T148" s="285"/>
      <c r="U148" s="285"/>
      <c r="V148" s="285"/>
      <c r="W148" s="285"/>
      <c r="X148" s="285"/>
      <c r="Y148" s="285"/>
      <c r="Z148" s="285"/>
    </row>
    <row r="149" ht="12.75" customHeight="1">
      <c r="A149" s="285"/>
      <c r="B149" s="75"/>
      <c r="C149" s="75"/>
      <c r="D149" s="321"/>
      <c r="E149" s="321"/>
      <c r="F149" s="322"/>
      <c r="G149" s="75"/>
      <c r="H149" s="321"/>
      <c r="I149" s="321"/>
      <c r="J149" s="323"/>
      <c r="K149" s="324"/>
      <c r="L149" s="285"/>
      <c r="M149" s="285"/>
      <c r="N149" s="285"/>
      <c r="O149" s="325"/>
      <c r="P149" s="285"/>
      <c r="Q149" s="325"/>
      <c r="R149" s="325"/>
      <c r="S149" s="285"/>
      <c r="T149" s="285"/>
      <c r="U149" s="285"/>
      <c r="V149" s="285"/>
      <c r="W149" s="285"/>
      <c r="X149" s="285"/>
      <c r="Y149" s="285"/>
      <c r="Z149" s="285"/>
    </row>
    <row r="150" ht="12.75" customHeight="1">
      <c r="A150" s="285"/>
      <c r="B150" s="75"/>
      <c r="C150" s="75"/>
      <c r="D150" s="321"/>
      <c r="E150" s="321"/>
      <c r="F150" s="322"/>
      <c r="G150" s="75"/>
      <c r="H150" s="321"/>
      <c r="I150" s="321"/>
      <c r="J150" s="323"/>
      <c r="K150" s="324"/>
      <c r="L150" s="285"/>
      <c r="M150" s="285"/>
      <c r="N150" s="285"/>
      <c r="O150" s="325"/>
      <c r="P150" s="285"/>
      <c r="Q150" s="325"/>
      <c r="R150" s="325"/>
      <c r="S150" s="285"/>
      <c r="T150" s="285"/>
      <c r="U150" s="285"/>
      <c r="V150" s="285"/>
      <c r="W150" s="285"/>
      <c r="X150" s="285"/>
      <c r="Y150" s="285"/>
      <c r="Z150" s="285"/>
    </row>
    <row r="151" ht="12.75" customHeight="1">
      <c r="A151" s="285"/>
      <c r="B151" s="75"/>
      <c r="C151" s="75"/>
      <c r="D151" s="321"/>
      <c r="E151" s="321"/>
      <c r="F151" s="322"/>
      <c r="G151" s="75"/>
      <c r="H151" s="321"/>
      <c r="I151" s="321"/>
      <c r="J151" s="323"/>
      <c r="K151" s="324"/>
      <c r="L151" s="285"/>
      <c r="M151" s="285"/>
      <c r="N151" s="285"/>
      <c r="O151" s="325"/>
      <c r="P151" s="285"/>
      <c r="Q151" s="325"/>
      <c r="R151" s="325"/>
      <c r="S151" s="285"/>
      <c r="T151" s="285"/>
      <c r="U151" s="285"/>
      <c r="V151" s="285"/>
      <c r="W151" s="285"/>
      <c r="X151" s="285"/>
      <c r="Y151" s="285"/>
      <c r="Z151" s="285"/>
    </row>
    <row r="152" ht="12.75" customHeight="1">
      <c r="A152" s="285"/>
      <c r="B152" s="75"/>
      <c r="C152" s="75"/>
      <c r="D152" s="321"/>
      <c r="E152" s="321"/>
      <c r="F152" s="322"/>
      <c r="G152" s="75"/>
      <c r="H152" s="321"/>
      <c r="I152" s="321"/>
      <c r="J152" s="323"/>
      <c r="K152" s="324"/>
      <c r="L152" s="285"/>
      <c r="M152" s="285"/>
      <c r="N152" s="285"/>
      <c r="O152" s="325"/>
      <c r="P152" s="285"/>
      <c r="Q152" s="325"/>
      <c r="R152" s="325"/>
      <c r="S152" s="285"/>
      <c r="T152" s="285"/>
      <c r="U152" s="285"/>
      <c r="V152" s="285"/>
      <c r="W152" s="285"/>
      <c r="X152" s="285"/>
      <c r="Y152" s="285"/>
      <c r="Z152" s="285"/>
    </row>
    <row r="153" ht="12.75" customHeight="1">
      <c r="A153" s="285"/>
      <c r="B153" s="75"/>
      <c r="C153" s="75"/>
      <c r="D153" s="321"/>
      <c r="E153" s="321"/>
      <c r="F153" s="322"/>
      <c r="G153" s="75"/>
      <c r="H153" s="321"/>
      <c r="I153" s="321"/>
      <c r="J153" s="323"/>
      <c r="K153" s="324"/>
      <c r="L153" s="285"/>
      <c r="M153" s="285"/>
      <c r="N153" s="285"/>
      <c r="O153" s="325"/>
      <c r="P153" s="285"/>
      <c r="Q153" s="325"/>
      <c r="R153" s="325"/>
      <c r="S153" s="285"/>
      <c r="T153" s="285"/>
      <c r="U153" s="285"/>
      <c r="V153" s="285"/>
      <c r="W153" s="285"/>
      <c r="X153" s="285"/>
      <c r="Y153" s="285"/>
      <c r="Z153" s="285"/>
    </row>
    <row r="154" ht="12.75" customHeight="1">
      <c r="A154" s="285"/>
      <c r="B154" s="75"/>
      <c r="C154" s="75"/>
      <c r="D154" s="321"/>
      <c r="E154" s="321"/>
      <c r="F154" s="322"/>
      <c r="G154" s="75"/>
      <c r="H154" s="321"/>
      <c r="I154" s="321"/>
      <c r="J154" s="323"/>
      <c r="K154" s="324"/>
      <c r="L154" s="285"/>
      <c r="M154" s="285"/>
      <c r="N154" s="285"/>
      <c r="O154" s="325"/>
      <c r="P154" s="285"/>
      <c r="Q154" s="325"/>
      <c r="R154" s="325"/>
      <c r="S154" s="285"/>
      <c r="T154" s="285"/>
      <c r="U154" s="285"/>
      <c r="V154" s="285"/>
      <c r="W154" s="285"/>
      <c r="X154" s="285"/>
      <c r="Y154" s="285"/>
      <c r="Z154" s="285"/>
    </row>
    <row r="155" ht="12.75" customHeight="1">
      <c r="A155" s="285"/>
      <c r="B155" s="75"/>
      <c r="C155" s="75"/>
      <c r="D155" s="321"/>
      <c r="E155" s="321"/>
      <c r="F155" s="322"/>
      <c r="G155" s="75"/>
      <c r="H155" s="321"/>
      <c r="I155" s="321"/>
      <c r="J155" s="323"/>
      <c r="K155" s="324"/>
      <c r="L155" s="285"/>
      <c r="M155" s="285"/>
      <c r="N155" s="285"/>
      <c r="O155" s="325"/>
      <c r="P155" s="285"/>
      <c r="Q155" s="325"/>
      <c r="R155" s="325"/>
      <c r="S155" s="285"/>
      <c r="T155" s="285"/>
      <c r="U155" s="285"/>
      <c r="V155" s="285"/>
      <c r="W155" s="285"/>
      <c r="X155" s="285"/>
      <c r="Y155" s="285"/>
      <c r="Z155" s="285"/>
    </row>
    <row r="156" ht="12.75" customHeight="1">
      <c r="A156" s="285"/>
      <c r="B156" s="75"/>
      <c r="C156" s="75"/>
      <c r="D156" s="321"/>
      <c r="E156" s="321"/>
      <c r="F156" s="322"/>
      <c r="G156" s="75"/>
      <c r="H156" s="321"/>
      <c r="I156" s="321"/>
      <c r="J156" s="323"/>
      <c r="K156" s="324"/>
      <c r="L156" s="285"/>
      <c r="M156" s="285"/>
      <c r="N156" s="285"/>
      <c r="O156" s="325"/>
      <c r="P156" s="285"/>
      <c r="Q156" s="325"/>
      <c r="R156" s="325"/>
      <c r="S156" s="285"/>
      <c r="T156" s="285"/>
      <c r="U156" s="285"/>
      <c r="V156" s="285"/>
      <c r="W156" s="285"/>
      <c r="X156" s="285"/>
      <c r="Y156" s="285"/>
      <c r="Z156" s="285"/>
    </row>
    <row r="157" ht="12.75" customHeight="1">
      <c r="A157" s="285"/>
      <c r="B157" s="75"/>
      <c r="C157" s="75"/>
      <c r="D157" s="321"/>
      <c r="E157" s="321"/>
      <c r="F157" s="322"/>
      <c r="G157" s="75"/>
      <c r="H157" s="321"/>
      <c r="I157" s="321"/>
      <c r="J157" s="323"/>
      <c r="K157" s="324"/>
      <c r="L157" s="285"/>
      <c r="M157" s="285"/>
      <c r="N157" s="285"/>
      <c r="O157" s="325"/>
      <c r="P157" s="285"/>
      <c r="Q157" s="325"/>
      <c r="R157" s="325"/>
      <c r="S157" s="285"/>
      <c r="T157" s="285"/>
      <c r="U157" s="285"/>
      <c r="V157" s="285"/>
      <c r="W157" s="285"/>
      <c r="X157" s="285"/>
      <c r="Y157" s="285"/>
      <c r="Z157" s="285"/>
    </row>
    <row r="158" ht="12.75" customHeight="1">
      <c r="A158" s="285"/>
      <c r="B158" s="75"/>
      <c r="C158" s="75"/>
      <c r="D158" s="321"/>
      <c r="E158" s="321"/>
      <c r="F158" s="322"/>
      <c r="G158" s="75"/>
      <c r="H158" s="321"/>
      <c r="I158" s="321"/>
      <c r="J158" s="323"/>
      <c r="K158" s="324"/>
      <c r="L158" s="285"/>
      <c r="M158" s="285"/>
      <c r="N158" s="285"/>
      <c r="O158" s="325"/>
      <c r="P158" s="285"/>
      <c r="Q158" s="325"/>
      <c r="R158" s="325"/>
      <c r="S158" s="285"/>
      <c r="T158" s="285"/>
      <c r="U158" s="285"/>
      <c r="V158" s="285"/>
      <c r="W158" s="285"/>
      <c r="X158" s="285"/>
      <c r="Y158" s="285"/>
      <c r="Z158" s="285"/>
    </row>
    <row r="159" ht="12.75" customHeight="1">
      <c r="A159" s="285"/>
      <c r="B159" s="75"/>
      <c r="C159" s="75"/>
      <c r="D159" s="321"/>
      <c r="E159" s="321"/>
      <c r="F159" s="322"/>
      <c r="G159" s="75"/>
      <c r="H159" s="321"/>
      <c r="I159" s="321"/>
      <c r="J159" s="323"/>
      <c r="K159" s="324"/>
      <c r="L159" s="285"/>
      <c r="M159" s="285"/>
      <c r="N159" s="285"/>
      <c r="O159" s="325"/>
      <c r="P159" s="285"/>
      <c r="Q159" s="325"/>
      <c r="R159" s="325"/>
      <c r="S159" s="285"/>
      <c r="T159" s="285"/>
      <c r="U159" s="285"/>
      <c r="V159" s="285"/>
      <c r="W159" s="285"/>
      <c r="X159" s="285"/>
      <c r="Y159" s="285"/>
      <c r="Z159" s="285"/>
    </row>
    <row r="160" ht="12.75" customHeight="1">
      <c r="A160" s="285"/>
      <c r="B160" s="75"/>
      <c r="C160" s="75"/>
      <c r="D160" s="321"/>
      <c r="E160" s="321"/>
      <c r="F160" s="322"/>
      <c r="G160" s="75"/>
      <c r="H160" s="321"/>
      <c r="I160" s="321"/>
      <c r="J160" s="323"/>
      <c r="K160" s="324"/>
      <c r="L160" s="285"/>
      <c r="M160" s="285"/>
      <c r="N160" s="285"/>
      <c r="O160" s="325"/>
      <c r="P160" s="285"/>
      <c r="Q160" s="325"/>
      <c r="R160" s="325"/>
      <c r="S160" s="285"/>
      <c r="T160" s="285"/>
      <c r="U160" s="285"/>
      <c r="V160" s="285"/>
      <c r="W160" s="285"/>
      <c r="X160" s="285"/>
      <c r="Y160" s="285"/>
      <c r="Z160" s="285"/>
    </row>
    <row r="161" ht="12.75" customHeight="1">
      <c r="A161" s="285"/>
      <c r="B161" s="75"/>
      <c r="C161" s="75"/>
      <c r="D161" s="321"/>
      <c r="E161" s="321"/>
      <c r="F161" s="322"/>
      <c r="G161" s="75"/>
      <c r="H161" s="321"/>
      <c r="I161" s="321"/>
      <c r="J161" s="323"/>
      <c r="K161" s="324"/>
      <c r="L161" s="285"/>
      <c r="M161" s="285"/>
      <c r="N161" s="285"/>
      <c r="O161" s="325"/>
      <c r="P161" s="285"/>
      <c r="Q161" s="325"/>
      <c r="R161" s="325"/>
      <c r="S161" s="285"/>
      <c r="T161" s="285"/>
      <c r="U161" s="285"/>
      <c r="V161" s="285"/>
      <c r="W161" s="285"/>
      <c r="X161" s="285"/>
      <c r="Y161" s="285"/>
      <c r="Z161" s="285"/>
    </row>
    <row r="162" ht="12.75" customHeight="1">
      <c r="A162" s="285"/>
      <c r="B162" s="75"/>
      <c r="C162" s="75"/>
      <c r="D162" s="321"/>
      <c r="E162" s="321"/>
      <c r="F162" s="322"/>
      <c r="G162" s="75"/>
      <c r="H162" s="321"/>
      <c r="I162" s="321"/>
      <c r="J162" s="323"/>
      <c r="K162" s="324"/>
      <c r="L162" s="285"/>
      <c r="M162" s="285"/>
      <c r="N162" s="285"/>
      <c r="O162" s="325"/>
      <c r="P162" s="285"/>
      <c r="Q162" s="325"/>
      <c r="R162" s="325"/>
      <c r="S162" s="285"/>
      <c r="T162" s="285"/>
      <c r="U162" s="285"/>
      <c r="V162" s="285"/>
      <c r="W162" s="285"/>
      <c r="X162" s="285"/>
      <c r="Y162" s="285"/>
      <c r="Z162" s="285"/>
    </row>
    <row r="163" ht="12.75" customHeight="1">
      <c r="A163" s="285"/>
      <c r="B163" s="75"/>
      <c r="C163" s="75"/>
      <c r="D163" s="321"/>
      <c r="E163" s="321"/>
      <c r="F163" s="322"/>
      <c r="G163" s="75"/>
      <c r="H163" s="321"/>
      <c r="I163" s="321"/>
      <c r="J163" s="323"/>
      <c r="K163" s="324"/>
      <c r="L163" s="285"/>
      <c r="M163" s="285"/>
      <c r="N163" s="285"/>
      <c r="O163" s="325"/>
      <c r="P163" s="285"/>
      <c r="Q163" s="325"/>
      <c r="R163" s="325"/>
      <c r="S163" s="285"/>
      <c r="T163" s="285"/>
      <c r="U163" s="285"/>
      <c r="V163" s="285"/>
      <c r="W163" s="285"/>
      <c r="X163" s="285"/>
      <c r="Y163" s="285"/>
      <c r="Z163" s="285"/>
    </row>
    <row r="164" ht="12.75" customHeight="1">
      <c r="A164" s="285"/>
      <c r="B164" s="75"/>
      <c r="C164" s="75"/>
      <c r="D164" s="321"/>
      <c r="E164" s="321"/>
      <c r="F164" s="322"/>
      <c r="G164" s="75"/>
      <c r="H164" s="321"/>
      <c r="I164" s="321"/>
      <c r="J164" s="323"/>
      <c r="K164" s="324"/>
      <c r="L164" s="285"/>
      <c r="M164" s="285"/>
      <c r="N164" s="285"/>
      <c r="O164" s="325"/>
      <c r="P164" s="285"/>
      <c r="Q164" s="325"/>
      <c r="R164" s="325"/>
      <c r="S164" s="285"/>
      <c r="T164" s="285"/>
      <c r="U164" s="285"/>
      <c r="V164" s="285"/>
      <c r="W164" s="285"/>
      <c r="X164" s="285"/>
      <c r="Y164" s="285"/>
      <c r="Z164" s="285"/>
    </row>
    <row r="165" ht="12.75" customHeight="1">
      <c r="A165" s="285"/>
      <c r="B165" s="75"/>
      <c r="C165" s="75"/>
      <c r="D165" s="321"/>
      <c r="E165" s="321"/>
      <c r="F165" s="322"/>
      <c r="G165" s="75"/>
      <c r="H165" s="321"/>
      <c r="I165" s="321"/>
      <c r="J165" s="323"/>
      <c r="K165" s="324"/>
      <c r="L165" s="285"/>
      <c r="M165" s="285"/>
      <c r="N165" s="285"/>
      <c r="O165" s="325"/>
      <c r="P165" s="285"/>
      <c r="Q165" s="325"/>
      <c r="R165" s="325"/>
      <c r="S165" s="285"/>
      <c r="T165" s="285"/>
      <c r="U165" s="285"/>
      <c r="V165" s="285"/>
      <c r="W165" s="285"/>
      <c r="X165" s="285"/>
      <c r="Y165" s="285"/>
      <c r="Z165" s="285"/>
    </row>
    <row r="166" ht="12.75" customHeight="1">
      <c r="A166" s="285"/>
      <c r="B166" s="75"/>
      <c r="C166" s="75"/>
      <c r="D166" s="321"/>
      <c r="E166" s="321"/>
      <c r="F166" s="322"/>
      <c r="G166" s="75"/>
      <c r="H166" s="321"/>
      <c r="I166" s="321"/>
      <c r="J166" s="323"/>
      <c r="K166" s="324"/>
      <c r="L166" s="285"/>
      <c r="M166" s="285"/>
      <c r="N166" s="285"/>
      <c r="O166" s="325"/>
      <c r="P166" s="285"/>
      <c r="Q166" s="325"/>
      <c r="R166" s="325"/>
      <c r="S166" s="285"/>
      <c r="T166" s="285"/>
      <c r="U166" s="285"/>
      <c r="V166" s="285"/>
      <c r="W166" s="285"/>
      <c r="X166" s="285"/>
      <c r="Y166" s="285"/>
      <c r="Z166" s="285"/>
    </row>
    <row r="167" ht="12.75" customHeight="1">
      <c r="A167" s="285"/>
      <c r="B167" s="75"/>
      <c r="C167" s="75"/>
      <c r="D167" s="321"/>
      <c r="E167" s="321"/>
      <c r="F167" s="322"/>
      <c r="G167" s="75"/>
      <c r="H167" s="321"/>
      <c r="I167" s="321"/>
      <c r="J167" s="323"/>
      <c r="K167" s="324"/>
      <c r="L167" s="285"/>
      <c r="M167" s="285"/>
      <c r="N167" s="285"/>
      <c r="O167" s="325"/>
      <c r="P167" s="285"/>
      <c r="Q167" s="325"/>
      <c r="R167" s="325"/>
      <c r="S167" s="285"/>
      <c r="T167" s="285"/>
      <c r="U167" s="285"/>
      <c r="V167" s="285"/>
      <c r="W167" s="285"/>
      <c r="X167" s="285"/>
      <c r="Y167" s="285"/>
      <c r="Z167" s="285"/>
    </row>
    <row r="168" ht="12.75" customHeight="1">
      <c r="A168" s="285"/>
      <c r="B168" s="75"/>
      <c r="C168" s="75"/>
      <c r="D168" s="321"/>
      <c r="E168" s="321"/>
      <c r="F168" s="322"/>
      <c r="G168" s="75"/>
      <c r="H168" s="321"/>
      <c r="I168" s="321"/>
      <c r="J168" s="323"/>
      <c r="K168" s="324"/>
      <c r="L168" s="285"/>
      <c r="M168" s="285"/>
      <c r="N168" s="285"/>
      <c r="O168" s="325"/>
      <c r="P168" s="285"/>
      <c r="Q168" s="325"/>
      <c r="R168" s="325"/>
      <c r="S168" s="285"/>
      <c r="T168" s="285"/>
      <c r="U168" s="285"/>
      <c r="V168" s="285"/>
      <c r="W168" s="285"/>
      <c r="X168" s="285"/>
      <c r="Y168" s="285"/>
      <c r="Z168" s="285"/>
    </row>
    <row r="169" ht="12.75" customHeight="1">
      <c r="A169" s="285"/>
      <c r="B169" s="75"/>
      <c r="C169" s="75"/>
      <c r="D169" s="321"/>
      <c r="E169" s="321"/>
      <c r="F169" s="322"/>
      <c r="G169" s="75"/>
      <c r="H169" s="321"/>
      <c r="I169" s="321"/>
      <c r="J169" s="323"/>
      <c r="K169" s="324"/>
      <c r="L169" s="285"/>
      <c r="M169" s="285"/>
      <c r="N169" s="285"/>
      <c r="O169" s="325"/>
      <c r="P169" s="285"/>
      <c r="Q169" s="325"/>
      <c r="R169" s="325"/>
      <c r="S169" s="285"/>
      <c r="T169" s="285"/>
      <c r="U169" s="285"/>
      <c r="V169" s="285"/>
      <c r="W169" s="285"/>
      <c r="X169" s="285"/>
      <c r="Y169" s="285"/>
      <c r="Z169" s="285"/>
    </row>
    <row r="170" ht="12.75" customHeight="1">
      <c r="A170" s="285"/>
      <c r="B170" s="75"/>
      <c r="C170" s="75"/>
      <c r="D170" s="321"/>
      <c r="E170" s="321"/>
      <c r="F170" s="322"/>
      <c r="G170" s="75"/>
      <c r="H170" s="321"/>
      <c r="I170" s="321"/>
      <c r="J170" s="323"/>
      <c r="K170" s="324"/>
      <c r="L170" s="285"/>
      <c r="M170" s="285"/>
      <c r="N170" s="285"/>
      <c r="O170" s="325"/>
      <c r="P170" s="285"/>
      <c r="Q170" s="325"/>
      <c r="R170" s="325"/>
      <c r="S170" s="285"/>
      <c r="T170" s="285"/>
      <c r="U170" s="285"/>
      <c r="V170" s="285"/>
      <c r="W170" s="285"/>
      <c r="X170" s="285"/>
      <c r="Y170" s="285"/>
      <c r="Z170" s="285"/>
    </row>
    <row r="171" ht="12.75" customHeight="1">
      <c r="A171" s="285"/>
      <c r="B171" s="75"/>
      <c r="C171" s="75"/>
      <c r="D171" s="321"/>
      <c r="E171" s="321"/>
      <c r="F171" s="322"/>
      <c r="G171" s="75"/>
      <c r="H171" s="321"/>
      <c r="I171" s="321"/>
      <c r="J171" s="323"/>
      <c r="K171" s="324"/>
      <c r="L171" s="285"/>
      <c r="M171" s="285"/>
      <c r="N171" s="285"/>
      <c r="O171" s="325"/>
      <c r="P171" s="285"/>
      <c r="Q171" s="325"/>
      <c r="R171" s="325"/>
      <c r="S171" s="285"/>
      <c r="T171" s="285"/>
      <c r="U171" s="285"/>
      <c r="V171" s="285"/>
      <c r="W171" s="285"/>
      <c r="X171" s="285"/>
      <c r="Y171" s="285"/>
      <c r="Z171" s="285"/>
    </row>
    <row r="172" ht="12.75" customHeight="1">
      <c r="A172" s="285"/>
      <c r="B172" s="75"/>
      <c r="C172" s="75"/>
      <c r="D172" s="321"/>
      <c r="E172" s="321"/>
      <c r="F172" s="322"/>
      <c r="G172" s="75"/>
      <c r="H172" s="321"/>
      <c r="I172" s="321"/>
      <c r="J172" s="323"/>
      <c r="K172" s="324"/>
      <c r="L172" s="285"/>
      <c r="M172" s="285"/>
      <c r="N172" s="285"/>
      <c r="O172" s="325"/>
      <c r="P172" s="285"/>
      <c r="Q172" s="325"/>
      <c r="R172" s="325"/>
      <c r="S172" s="285"/>
      <c r="T172" s="285"/>
      <c r="U172" s="285"/>
      <c r="V172" s="285"/>
      <c r="W172" s="285"/>
      <c r="X172" s="285"/>
      <c r="Y172" s="285"/>
      <c r="Z172" s="285"/>
    </row>
    <row r="173" ht="12.75" customHeight="1">
      <c r="A173" s="285"/>
      <c r="B173" s="75"/>
      <c r="C173" s="75"/>
      <c r="D173" s="321"/>
      <c r="E173" s="321"/>
      <c r="F173" s="322"/>
      <c r="G173" s="75"/>
      <c r="H173" s="321"/>
      <c r="I173" s="321"/>
      <c r="J173" s="323"/>
      <c r="K173" s="324"/>
      <c r="L173" s="285"/>
      <c r="M173" s="285"/>
      <c r="N173" s="285"/>
      <c r="O173" s="325"/>
      <c r="P173" s="285"/>
      <c r="Q173" s="325"/>
      <c r="R173" s="325"/>
      <c r="S173" s="285"/>
      <c r="T173" s="285"/>
      <c r="U173" s="285"/>
      <c r="V173" s="285"/>
      <c r="W173" s="285"/>
      <c r="X173" s="285"/>
      <c r="Y173" s="285"/>
      <c r="Z173" s="285"/>
    </row>
    <row r="174" ht="12.75" customHeight="1">
      <c r="A174" s="285"/>
      <c r="B174" s="75"/>
      <c r="C174" s="75"/>
      <c r="D174" s="321"/>
      <c r="E174" s="321"/>
      <c r="F174" s="322"/>
      <c r="G174" s="75"/>
      <c r="H174" s="321"/>
      <c r="I174" s="321"/>
      <c r="J174" s="323"/>
      <c r="K174" s="324"/>
      <c r="L174" s="285"/>
      <c r="M174" s="285"/>
      <c r="N174" s="285"/>
      <c r="O174" s="325"/>
      <c r="P174" s="285"/>
      <c r="Q174" s="325"/>
      <c r="R174" s="325"/>
      <c r="S174" s="285"/>
      <c r="T174" s="285"/>
      <c r="U174" s="285"/>
      <c r="V174" s="285"/>
      <c r="W174" s="285"/>
      <c r="X174" s="285"/>
      <c r="Y174" s="285"/>
      <c r="Z174" s="285"/>
    </row>
    <row r="175" ht="12.75" customHeight="1">
      <c r="A175" s="285"/>
      <c r="B175" s="75"/>
      <c r="C175" s="75"/>
      <c r="D175" s="321"/>
      <c r="E175" s="321"/>
      <c r="F175" s="322"/>
      <c r="G175" s="75"/>
      <c r="H175" s="321"/>
      <c r="I175" s="321"/>
      <c r="J175" s="323"/>
      <c r="K175" s="324"/>
      <c r="L175" s="285"/>
      <c r="M175" s="285"/>
      <c r="N175" s="285"/>
      <c r="O175" s="325"/>
      <c r="P175" s="285"/>
      <c r="Q175" s="325"/>
      <c r="R175" s="325"/>
      <c r="S175" s="285"/>
      <c r="T175" s="285"/>
      <c r="U175" s="285"/>
      <c r="V175" s="285"/>
      <c r="W175" s="285"/>
      <c r="X175" s="285"/>
      <c r="Y175" s="285"/>
      <c r="Z175" s="285"/>
    </row>
    <row r="176" ht="12.75" customHeight="1">
      <c r="A176" s="285"/>
      <c r="B176" s="75"/>
      <c r="C176" s="75"/>
      <c r="D176" s="321"/>
      <c r="E176" s="321"/>
      <c r="F176" s="322"/>
      <c r="G176" s="75"/>
      <c r="H176" s="321"/>
      <c r="I176" s="321"/>
      <c r="J176" s="323"/>
      <c r="K176" s="324"/>
      <c r="L176" s="285"/>
      <c r="M176" s="285"/>
      <c r="N176" s="285"/>
      <c r="O176" s="325"/>
      <c r="P176" s="285"/>
      <c r="Q176" s="325"/>
      <c r="R176" s="325"/>
      <c r="S176" s="285"/>
      <c r="T176" s="285"/>
      <c r="U176" s="285"/>
      <c r="V176" s="285"/>
      <c r="W176" s="285"/>
      <c r="X176" s="285"/>
      <c r="Y176" s="285"/>
      <c r="Z176" s="285"/>
    </row>
    <row r="177" ht="12.75" customHeight="1">
      <c r="A177" s="285"/>
      <c r="B177" s="75"/>
      <c r="C177" s="75"/>
      <c r="D177" s="321"/>
      <c r="E177" s="321"/>
      <c r="F177" s="322"/>
      <c r="G177" s="75"/>
      <c r="H177" s="321"/>
      <c r="I177" s="321"/>
      <c r="J177" s="323"/>
      <c r="K177" s="324"/>
      <c r="L177" s="285"/>
      <c r="M177" s="285"/>
      <c r="N177" s="285"/>
      <c r="O177" s="325"/>
      <c r="P177" s="285"/>
      <c r="Q177" s="325"/>
      <c r="R177" s="325"/>
      <c r="S177" s="285"/>
      <c r="T177" s="285"/>
      <c r="U177" s="285"/>
      <c r="V177" s="285"/>
      <c r="W177" s="285"/>
      <c r="X177" s="285"/>
      <c r="Y177" s="285"/>
      <c r="Z177" s="285"/>
    </row>
    <row r="178" ht="12.75" customHeight="1">
      <c r="A178" s="285"/>
      <c r="B178" s="75"/>
      <c r="C178" s="75"/>
      <c r="D178" s="321"/>
      <c r="E178" s="321"/>
      <c r="F178" s="322"/>
      <c r="G178" s="75"/>
      <c r="H178" s="321"/>
      <c r="I178" s="321"/>
      <c r="J178" s="323"/>
      <c r="K178" s="324"/>
      <c r="L178" s="285"/>
      <c r="M178" s="285"/>
      <c r="N178" s="285"/>
      <c r="O178" s="325"/>
      <c r="P178" s="285"/>
      <c r="Q178" s="325"/>
      <c r="R178" s="325"/>
      <c r="S178" s="285"/>
      <c r="T178" s="285"/>
      <c r="U178" s="285"/>
      <c r="V178" s="285"/>
      <c r="W178" s="285"/>
      <c r="X178" s="285"/>
      <c r="Y178" s="285"/>
      <c r="Z178" s="285"/>
    </row>
    <row r="179" ht="12.75" customHeight="1">
      <c r="A179" s="285"/>
      <c r="B179" s="75"/>
      <c r="C179" s="75"/>
      <c r="D179" s="321"/>
      <c r="E179" s="321"/>
      <c r="F179" s="322"/>
      <c r="G179" s="75"/>
      <c r="H179" s="321"/>
      <c r="I179" s="321"/>
      <c r="J179" s="323"/>
      <c r="K179" s="324"/>
      <c r="L179" s="285"/>
      <c r="M179" s="285"/>
      <c r="N179" s="285"/>
      <c r="O179" s="325"/>
      <c r="P179" s="285"/>
      <c r="Q179" s="325"/>
      <c r="R179" s="325"/>
      <c r="S179" s="285"/>
      <c r="T179" s="285"/>
      <c r="U179" s="285"/>
      <c r="V179" s="285"/>
      <c r="W179" s="285"/>
      <c r="X179" s="285"/>
      <c r="Y179" s="285"/>
      <c r="Z179" s="285"/>
    </row>
    <row r="180" ht="12.75" customHeight="1">
      <c r="A180" s="285"/>
      <c r="B180" s="75"/>
      <c r="C180" s="75"/>
      <c r="D180" s="321"/>
      <c r="E180" s="321"/>
      <c r="F180" s="322"/>
      <c r="G180" s="75"/>
      <c r="H180" s="321"/>
      <c r="I180" s="321"/>
      <c r="J180" s="323"/>
      <c r="K180" s="324"/>
      <c r="L180" s="285"/>
      <c r="M180" s="285"/>
      <c r="N180" s="285"/>
      <c r="O180" s="325"/>
      <c r="P180" s="285"/>
      <c r="Q180" s="325"/>
      <c r="R180" s="325"/>
      <c r="S180" s="285"/>
      <c r="T180" s="285"/>
      <c r="U180" s="285"/>
      <c r="V180" s="285"/>
      <c r="W180" s="285"/>
      <c r="X180" s="285"/>
      <c r="Y180" s="285"/>
      <c r="Z180" s="285"/>
    </row>
    <row r="181" ht="12.75" customHeight="1">
      <c r="A181" s="285"/>
      <c r="B181" s="75"/>
      <c r="C181" s="75"/>
      <c r="D181" s="321"/>
      <c r="E181" s="321"/>
      <c r="F181" s="322"/>
      <c r="G181" s="75"/>
      <c r="H181" s="321"/>
      <c r="I181" s="321"/>
      <c r="J181" s="323"/>
      <c r="K181" s="324"/>
      <c r="L181" s="285"/>
      <c r="M181" s="285"/>
      <c r="N181" s="285"/>
      <c r="O181" s="325"/>
      <c r="P181" s="285"/>
      <c r="Q181" s="325"/>
      <c r="R181" s="325"/>
      <c r="S181" s="285"/>
      <c r="T181" s="285"/>
      <c r="U181" s="285"/>
      <c r="V181" s="285"/>
      <c r="W181" s="285"/>
      <c r="X181" s="285"/>
      <c r="Y181" s="285"/>
      <c r="Z181" s="285"/>
    </row>
    <row r="182" ht="12.75" customHeight="1">
      <c r="A182" s="285"/>
      <c r="B182" s="75"/>
      <c r="C182" s="75"/>
      <c r="D182" s="321"/>
      <c r="E182" s="321"/>
      <c r="F182" s="322"/>
      <c r="G182" s="75"/>
      <c r="H182" s="321"/>
      <c r="I182" s="321"/>
      <c r="J182" s="323"/>
      <c r="K182" s="324"/>
      <c r="L182" s="285"/>
      <c r="M182" s="285"/>
      <c r="N182" s="285"/>
      <c r="O182" s="325"/>
      <c r="P182" s="285"/>
      <c r="Q182" s="325"/>
      <c r="R182" s="325"/>
      <c r="S182" s="285"/>
      <c r="T182" s="285"/>
      <c r="U182" s="285"/>
      <c r="V182" s="285"/>
      <c r="W182" s="285"/>
      <c r="X182" s="285"/>
      <c r="Y182" s="285"/>
      <c r="Z182" s="285"/>
    </row>
    <row r="183" ht="12.75" customHeight="1">
      <c r="A183" s="285"/>
      <c r="B183" s="75"/>
      <c r="C183" s="75"/>
      <c r="D183" s="321"/>
      <c r="E183" s="321"/>
      <c r="F183" s="322"/>
      <c r="G183" s="75"/>
      <c r="H183" s="321"/>
      <c r="I183" s="321"/>
      <c r="J183" s="323"/>
      <c r="K183" s="324"/>
      <c r="L183" s="285"/>
      <c r="M183" s="285"/>
      <c r="N183" s="285"/>
      <c r="O183" s="325"/>
      <c r="P183" s="285"/>
      <c r="Q183" s="325"/>
      <c r="R183" s="325"/>
      <c r="S183" s="285"/>
      <c r="T183" s="285"/>
      <c r="U183" s="285"/>
      <c r="V183" s="285"/>
      <c r="W183" s="285"/>
      <c r="X183" s="285"/>
      <c r="Y183" s="285"/>
      <c r="Z183" s="285"/>
    </row>
    <row r="184" ht="12.75" customHeight="1">
      <c r="A184" s="285"/>
      <c r="B184" s="75"/>
      <c r="C184" s="75"/>
      <c r="D184" s="321"/>
      <c r="E184" s="321"/>
      <c r="F184" s="322"/>
      <c r="G184" s="75"/>
      <c r="H184" s="321"/>
      <c r="I184" s="321"/>
      <c r="J184" s="323"/>
      <c r="K184" s="324"/>
      <c r="L184" s="285"/>
      <c r="M184" s="285"/>
      <c r="N184" s="285"/>
      <c r="O184" s="325"/>
      <c r="P184" s="285"/>
      <c r="Q184" s="325"/>
      <c r="R184" s="325"/>
      <c r="S184" s="285"/>
      <c r="T184" s="285"/>
      <c r="U184" s="285"/>
      <c r="V184" s="285"/>
      <c r="W184" s="285"/>
      <c r="X184" s="285"/>
      <c r="Y184" s="285"/>
      <c r="Z184" s="285"/>
    </row>
    <row r="185" ht="12.75" customHeight="1">
      <c r="A185" s="285"/>
      <c r="B185" s="75"/>
      <c r="C185" s="75"/>
      <c r="D185" s="321"/>
      <c r="E185" s="321"/>
      <c r="F185" s="322"/>
      <c r="G185" s="75"/>
      <c r="H185" s="321"/>
      <c r="I185" s="321"/>
      <c r="J185" s="323"/>
      <c r="K185" s="324"/>
      <c r="L185" s="285"/>
      <c r="M185" s="285"/>
      <c r="N185" s="285"/>
      <c r="O185" s="325"/>
      <c r="P185" s="285"/>
      <c r="Q185" s="325"/>
      <c r="R185" s="325"/>
      <c r="S185" s="285"/>
      <c r="T185" s="285"/>
      <c r="U185" s="285"/>
      <c r="V185" s="285"/>
      <c r="W185" s="285"/>
      <c r="X185" s="285"/>
      <c r="Y185" s="285"/>
      <c r="Z185" s="285"/>
    </row>
    <row r="186" ht="12.75" customHeight="1">
      <c r="A186" s="285"/>
      <c r="B186" s="75"/>
      <c r="C186" s="75"/>
      <c r="D186" s="321"/>
      <c r="E186" s="321"/>
      <c r="F186" s="322"/>
      <c r="G186" s="75"/>
      <c r="H186" s="321"/>
      <c r="I186" s="321"/>
      <c r="J186" s="323"/>
      <c r="K186" s="324"/>
      <c r="L186" s="285"/>
      <c r="M186" s="285"/>
      <c r="N186" s="285"/>
      <c r="O186" s="325"/>
      <c r="P186" s="285"/>
      <c r="Q186" s="325"/>
      <c r="R186" s="325"/>
      <c r="S186" s="285"/>
      <c r="T186" s="285"/>
      <c r="U186" s="285"/>
      <c r="V186" s="285"/>
      <c r="W186" s="285"/>
      <c r="X186" s="285"/>
      <c r="Y186" s="285"/>
      <c r="Z186" s="285"/>
    </row>
    <row r="187" ht="12.75" customHeight="1">
      <c r="A187" s="285"/>
      <c r="B187" s="75"/>
      <c r="C187" s="75"/>
      <c r="D187" s="321"/>
      <c r="E187" s="321"/>
      <c r="F187" s="322"/>
      <c r="G187" s="75"/>
      <c r="H187" s="321"/>
      <c r="I187" s="321"/>
      <c r="J187" s="323"/>
      <c r="K187" s="324"/>
      <c r="L187" s="285"/>
      <c r="M187" s="285"/>
      <c r="N187" s="285"/>
      <c r="O187" s="325"/>
      <c r="P187" s="285"/>
      <c r="Q187" s="325"/>
      <c r="R187" s="325"/>
      <c r="S187" s="285"/>
      <c r="T187" s="285"/>
      <c r="U187" s="285"/>
      <c r="V187" s="285"/>
      <c r="W187" s="285"/>
      <c r="X187" s="285"/>
      <c r="Y187" s="285"/>
      <c r="Z187" s="285"/>
    </row>
    <row r="188" ht="12.75" customHeight="1">
      <c r="A188" s="285"/>
      <c r="B188" s="75"/>
      <c r="C188" s="75"/>
      <c r="D188" s="321"/>
      <c r="E188" s="321"/>
      <c r="F188" s="322"/>
      <c r="G188" s="75"/>
      <c r="H188" s="321"/>
      <c r="I188" s="321"/>
      <c r="J188" s="323"/>
      <c r="K188" s="324"/>
      <c r="L188" s="285"/>
      <c r="M188" s="285"/>
      <c r="N188" s="285"/>
      <c r="O188" s="325"/>
      <c r="P188" s="285"/>
      <c r="Q188" s="325"/>
      <c r="R188" s="325"/>
      <c r="S188" s="285"/>
      <c r="T188" s="285"/>
      <c r="U188" s="285"/>
      <c r="V188" s="285"/>
      <c r="W188" s="285"/>
      <c r="X188" s="285"/>
      <c r="Y188" s="285"/>
      <c r="Z188" s="285"/>
    </row>
    <row r="189" ht="12.75" customHeight="1">
      <c r="A189" s="285"/>
      <c r="B189" s="75"/>
      <c r="C189" s="75"/>
      <c r="D189" s="321"/>
      <c r="E189" s="321"/>
      <c r="F189" s="322"/>
      <c r="G189" s="75"/>
      <c r="H189" s="321"/>
      <c r="I189" s="321"/>
      <c r="J189" s="323"/>
      <c r="K189" s="324"/>
      <c r="L189" s="285"/>
      <c r="M189" s="285"/>
      <c r="N189" s="285"/>
      <c r="O189" s="325"/>
      <c r="P189" s="285"/>
      <c r="Q189" s="325"/>
      <c r="R189" s="325"/>
      <c r="S189" s="285"/>
      <c r="T189" s="285"/>
      <c r="U189" s="285"/>
      <c r="V189" s="285"/>
      <c r="W189" s="285"/>
      <c r="X189" s="285"/>
      <c r="Y189" s="285"/>
      <c r="Z189" s="285"/>
    </row>
    <row r="190" ht="12.75" customHeight="1">
      <c r="A190" s="285"/>
      <c r="B190" s="75"/>
      <c r="C190" s="75"/>
      <c r="D190" s="321"/>
      <c r="E190" s="321"/>
      <c r="F190" s="322"/>
      <c r="G190" s="75"/>
      <c r="H190" s="321"/>
      <c r="I190" s="321"/>
      <c r="J190" s="323"/>
      <c r="K190" s="324"/>
      <c r="L190" s="285"/>
      <c r="M190" s="285"/>
      <c r="N190" s="285"/>
      <c r="O190" s="325"/>
      <c r="P190" s="285"/>
      <c r="Q190" s="325"/>
      <c r="R190" s="325"/>
      <c r="S190" s="285"/>
      <c r="T190" s="285"/>
      <c r="U190" s="285"/>
      <c r="V190" s="285"/>
      <c r="W190" s="285"/>
      <c r="X190" s="285"/>
      <c r="Y190" s="285"/>
      <c r="Z190" s="285"/>
    </row>
    <row r="191" ht="12.75" customHeight="1">
      <c r="A191" s="285"/>
      <c r="B191" s="75"/>
      <c r="C191" s="75"/>
      <c r="D191" s="321"/>
      <c r="E191" s="321"/>
      <c r="F191" s="322"/>
      <c r="G191" s="75"/>
      <c r="H191" s="321"/>
      <c r="I191" s="321"/>
      <c r="J191" s="323"/>
      <c r="K191" s="324"/>
      <c r="L191" s="285"/>
      <c r="M191" s="285"/>
      <c r="N191" s="285"/>
      <c r="O191" s="325"/>
      <c r="P191" s="285"/>
      <c r="Q191" s="325"/>
      <c r="R191" s="325"/>
      <c r="S191" s="285"/>
      <c r="T191" s="285"/>
      <c r="U191" s="285"/>
      <c r="V191" s="285"/>
      <c r="W191" s="285"/>
      <c r="X191" s="285"/>
      <c r="Y191" s="285"/>
      <c r="Z191" s="285"/>
    </row>
    <row r="192" ht="12.75" customHeight="1">
      <c r="A192" s="285"/>
      <c r="B192" s="75"/>
      <c r="C192" s="75"/>
      <c r="D192" s="321"/>
      <c r="E192" s="321"/>
      <c r="F192" s="322"/>
      <c r="G192" s="75"/>
      <c r="H192" s="321"/>
      <c r="I192" s="321"/>
      <c r="J192" s="323"/>
      <c r="K192" s="324"/>
      <c r="L192" s="285"/>
      <c r="M192" s="285"/>
      <c r="N192" s="285"/>
      <c r="O192" s="325"/>
      <c r="P192" s="285"/>
      <c r="Q192" s="325"/>
      <c r="R192" s="325"/>
      <c r="S192" s="285"/>
      <c r="T192" s="285"/>
      <c r="U192" s="285"/>
      <c r="V192" s="285"/>
      <c r="W192" s="285"/>
      <c r="X192" s="285"/>
      <c r="Y192" s="285"/>
      <c r="Z192" s="285"/>
    </row>
    <row r="193" ht="12.75" customHeight="1">
      <c r="A193" s="285"/>
      <c r="B193" s="75"/>
      <c r="C193" s="75"/>
      <c r="D193" s="321"/>
      <c r="E193" s="321"/>
      <c r="F193" s="322"/>
      <c r="G193" s="75"/>
      <c r="H193" s="321"/>
      <c r="I193" s="321"/>
      <c r="J193" s="323"/>
      <c r="K193" s="324"/>
      <c r="L193" s="285"/>
      <c r="M193" s="285"/>
      <c r="N193" s="285"/>
      <c r="O193" s="325"/>
      <c r="P193" s="285"/>
      <c r="Q193" s="325"/>
      <c r="R193" s="325"/>
      <c r="S193" s="285"/>
      <c r="T193" s="285"/>
      <c r="U193" s="285"/>
      <c r="V193" s="285"/>
      <c r="W193" s="285"/>
      <c r="X193" s="285"/>
      <c r="Y193" s="285"/>
      <c r="Z193" s="285"/>
    </row>
    <row r="194" ht="12.75" customHeight="1">
      <c r="A194" s="285"/>
      <c r="B194" s="75"/>
      <c r="C194" s="75"/>
      <c r="D194" s="321"/>
      <c r="E194" s="321"/>
      <c r="F194" s="322"/>
      <c r="G194" s="75"/>
      <c r="H194" s="321"/>
      <c r="I194" s="321"/>
      <c r="J194" s="323"/>
      <c r="K194" s="324"/>
      <c r="L194" s="285"/>
      <c r="M194" s="285"/>
      <c r="N194" s="285"/>
      <c r="O194" s="325"/>
      <c r="P194" s="285"/>
      <c r="Q194" s="325"/>
      <c r="R194" s="325"/>
      <c r="S194" s="285"/>
      <c r="T194" s="285"/>
      <c r="U194" s="285"/>
      <c r="V194" s="285"/>
      <c r="W194" s="285"/>
      <c r="X194" s="285"/>
      <c r="Y194" s="285"/>
      <c r="Z194" s="285"/>
    </row>
    <row r="195" ht="12.75" customHeight="1">
      <c r="A195" s="285"/>
      <c r="B195" s="75"/>
      <c r="C195" s="75"/>
      <c r="D195" s="321"/>
      <c r="E195" s="321"/>
      <c r="F195" s="322"/>
      <c r="G195" s="75"/>
      <c r="H195" s="321"/>
      <c r="I195" s="321"/>
      <c r="J195" s="323"/>
      <c r="K195" s="324"/>
      <c r="L195" s="285"/>
      <c r="M195" s="285"/>
      <c r="N195" s="285"/>
      <c r="O195" s="325"/>
      <c r="P195" s="285"/>
      <c r="Q195" s="325"/>
      <c r="R195" s="325"/>
      <c r="S195" s="285"/>
      <c r="T195" s="285"/>
      <c r="U195" s="285"/>
      <c r="V195" s="285"/>
      <c r="W195" s="285"/>
      <c r="X195" s="285"/>
      <c r="Y195" s="285"/>
      <c r="Z195" s="285"/>
    </row>
    <row r="196" ht="12.75" customHeight="1">
      <c r="A196" s="285"/>
      <c r="B196" s="75"/>
      <c r="C196" s="75"/>
      <c r="D196" s="321"/>
      <c r="E196" s="321"/>
      <c r="F196" s="322"/>
      <c r="G196" s="75"/>
      <c r="H196" s="321"/>
      <c r="I196" s="321"/>
      <c r="J196" s="323"/>
      <c r="K196" s="324"/>
      <c r="L196" s="285"/>
      <c r="M196" s="285"/>
      <c r="N196" s="285"/>
      <c r="O196" s="325"/>
      <c r="P196" s="285"/>
      <c r="Q196" s="325"/>
      <c r="R196" s="325"/>
      <c r="S196" s="285"/>
      <c r="T196" s="285"/>
      <c r="U196" s="285"/>
      <c r="V196" s="285"/>
      <c r="W196" s="285"/>
      <c r="X196" s="285"/>
      <c r="Y196" s="285"/>
      <c r="Z196" s="285"/>
    </row>
    <row r="197" ht="12.75" customHeight="1">
      <c r="A197" s="285"/>
      <c r="B197" s="75"/>
      <c r="C197" s="75"/>
      <c r="D197" s="321"/>
      <c r="E197" s="321"/>
      <c r="F197" s="322"/>
      <c r="G197" s="75"/>
      <c r="H197" s="321"/>
      <c r="I197" s="321"/>
      <c r="J197" s="323"/>
      <c r="K197" s="324"/>
      <c r="L197" s="285"/>
      <c r="M197" s="285"/>
      <c r="N197" s="285"/>
      <c r="O197" s="325"/>
      <c r="P197" s="285"/>
      <c r="Q197" s="325"/>
      <c r="R197" s="325"/>
      <c r="S197" s="285"/>
      <c r="T197" s="285"/>
      <c r="U197" s="285"/>
      <c r="V197" s="285"/>
      <c r="W197" s="285"/>
      <c r="X197" s="285"/>
      <c r="Y197" s="285"/>
      <c r="Z197" s="285"/>
    </row>
    <row r="198" ht="12.75" customHeight="1">
      <c r="A198" s="285"/>
      <c r="B198" s="75"/>
      <c r="C198" s="75"/>
      <c r="D198" s="321"/>
      <c r="E198" s="321"/>
      <c r="F198" s="322"/>
      <c r="G198" s="75"/>
      <c r="H198" s="321"/>
      <c r="I198" s="321"/>
      <c r="J198" s="323"/>
      <c r="K198" s="324"/>
      <c r="L198" s="285"/>
      <c r="M198" s="285"/>
      <c r="N198" s="285"/>
      <c r="O198" s="325"/>
      <c r="P198" s="285"/>
      <c r="Q198" s="325"/>
      <c r="R198" s="325"/>
      <c r="S198" s="285"/>
      <c r="T198" s="285"/>
      <c r="U198" s="285"/>
      <c r="V198" s="285"/>
      <c r="W198" s="285"/>
      <c r="X198" s="285"/>
      <c r="Y198" s="285"/>
      <c r="Z198" s="285"/>
    </row>
    <row r="199" ht="12.75" customHeight="1">
      <c r="A199" s="285"/>
      <c r="B199" s="75"/>
      <c r="C199" s="75"/>
      <c r="D199" s="321"/>
      <c r="E199" s="321"/>
      <c r="F199" s="322"/>
      <c r="G199" s="75"/>
      <c r="H199" s="321"/>
      <c r="I199" s="321"/>
      <c r="J199" s="323"/>
      <c r="K199" s="324"/>
      <c r="L199" s="285"/>
      <c r="M199" s="285"/>
      <c r="N199" s="285"/>
      <c r="O199" s="325"/>
      <c r="P199" s="285"/>
      <c r="Q199" s="325"/>
      <c r="R199" s="325"/>
      <c r="S199" s="285"/>
      <c r="T199" s="285"/>
      <c r="U199" s="285"/>
      <c r="V199" s="285"/>
      <c r="W199" s="285"/>
      <c r="X199" s="285"/>
      <c r="Y199" s="285"/>
      <c r="Z199" s="285"/>
    </row>
    <row r="200" ht="12.75" customHeight="1">
      <c r="A200" s="285"/>
      <c r="B200" s="75"/>
      <c r="C200" s="75"/>
      <c r="D200" s="321"/>
      <c r="E200" s="321"/>
      <c r="F200" s="322"/>
      <c r="G200" s="75"/>
      <c r="H200" s="321"/>
      <c r="I200" s="321"/>
      <c r="J200" s="323"/>
      <c r="K200" s="324"/>
      <c r="L200" s="285"/>
      <c r="M200" s="285"/>
      <c r="N200" s="285"/>
      <c r="O200" s="325"/>
      <c r="P200" s="285"/>
      <c r="Q200" s="325"/>
      <c r="R200" s="325"/>
      <c r="S200" s="285"/>
      <c r="T200" s="285"/>
      <c r="U200" s="285"/>
      <c r="V200" s="285"/>
      <c r="W200" s="285"/>
      <c r="X200" s="285"/>
      <c r="Y200" s="285"/>
      <c r="Z200" s="285"/>
    </row>
    <row r="201" ht="12.75" customHeight="1">
      <c r="A201" s="285"/>
      <c r="B201" s="75"/>
      <c r="C201" s="75"/>
      <c r="D201" s="321"/>
      <c r="E201" s="321"/>
      <c r="F201" s="322"/>
      <c r="G201" s="75"/>
      <c r="H201" s="321"/>
      <c r="I201" s="321"/>
      <c r="J201" s="323"/>
      <c r="K201" s="324"/>
      <c r="L201" s="285"/>
      <c r="M201" s="285"/>
      <c r="N201" s="285"/>
      <c r="O201" s="325"/>
      <c r="P201" s="285"/>
      <c r="Q201" s="325"/>
      <c r="R201" s="325"/>
      <c r="S201" s="285"/>
      <c r="T201" s="285"/>
      <c r="U201" s="285"/>
      <c r="V201" s="285"/>
      <c r="W201" s="285"/>
      <c r="X201" s="285"/>
      <c r="Y201" s="285"/>
      <c r="Z201" s="285"/>
    </row>
    <row r="202" ht="12.75" customHeight="1">
      <c r="A202" s="285"/>
      <c r="B202" s="75"/>
      <c r="C202" s="75"/>
      <c r="D202" s="321"/>
      <c r="E202" s="321"/>
      <c r="F202" s="322"/>
      <c r="G202" s="75"/>
      <c r="H202" s="321"/>
      <c r="I202" s="321"/>
      <c r="J202" s="323"/>
      <c r="K202" s="324"/>
      <c r="L202" s="285"/>
      <c r="M202" s="285"/>
      <c r="N202" s="285"/>
      <c r="O202" s="325"/>
      <c r="P202" s="285"/>
      <c r="Q202" s="325"/>
      <c r="R202" s="325"/>
      <c r="S202" s="285"/>
      <c r="T202" s="285"/>
      <c r="U202" s="285"/>
      <c r="V202" s="285"/>
      <c r="W202" s="285"/>
      <c r="X202" s="285"/>
      <c r="Y202" s="285"/>
      <c r="Z202" s="285"/>
    </row>
    <row r="203" ht="12.75" customHeight="1">
      <c r="A203" s="285"/>
      <c r="B203" s="75"/>
      <c r="C203" s="75"/>
      <c r="D203" s="321"/>
      <c r="E203" s="321"/>
      <c r="F203" s="322"/>
      <c r="G203" s="75"/>
      <c r="H203" s="321"/>
      <c r="I203" s="321"/>
      <c r="J203" s="323"/>
      <c r="K203" s="324"/>
      <c r="L203" s="285"/>
      <c r="M203" s="285"/>
      <c r="N203" s="285"/>
      <c r="O203" s="325"/>
      <c r="P203" s="285"/>
      <c r="Q203" s="325"/>
      <c r="R203" s="325"/>
      <c r="S203" s="285"/>
      <c r="T203" s="285"/>
      <c r="U203" s="285"/>
      <c r="V203" s="285"/>
      <c r="W203" s="285"/>
      <c r="X203" s="285"/>
      <c r="Y203" s="285"/>
      <c r="Z203" s="285"/>
    </row>
    <row r="204" ht="12.75" customHeight="1">
      <c r="A204" s="285"/>
      <c r="B204" s="75"/>
      <c r="C204" s="75"/>
      <c r="D204" s="321"/>
      <c r="E204" s="321"/>
      <c r="F204" s="322"/>
      <c r="G204" s="75"/>
      <c r="H204" s="321"/>
      <c r="I204" s="321"/>
      <c r="J204" s="323"/>
      <c r="K204" s="324"/>
      <c r="L204" s="285"/>
      <c r="M204" s="285"/>
      <c r="N204" s="285"/>
      <c r="O204" s="325"/>
      <c r="P204" s="285"/>
      <c r="Q204" s="325"/>
      <c r="R204" s="325"/>
      <c r="S204" s="285"/>
      <c r="T204" s="285"/>
      <c r="U204" s="285"/>
      <c r="V204" s="285"/>
      <c r="W204" s="285"/>
      <c r="X204" s="285"/>
      <c r="Y204" s="285"/>
      <c r="Z204" s="285"/>
    </row>
    <row r="205" ht="12.75" customHeight="1">
      <c r="A205" s="285"/>
      <c r="B205" s="75"/>
      <c r="C205" s="75"/>
      <c r="D205" s="321"/>
      <c r="E205" s="321"/>
      <c r="F205" s="322"/>
      <c r="G205" s="75"/>
      <c r="H205" s="321"/>
      <c r="I205" s="321"/>
      <c r="J205" s="323"/>
      <c r="K205" s="324"/>
      <c r="L205" s="285"/>
      <c r="M205" s="285"/>
      <c r="N205" s="285"/>
      <c r="O205" s="325"/>
      <c r="P205" s="285"/>
      <c r="Q205" s="325"/>
      <c r="R205" s="325"/>
      <c r="S205" s="285"/>
      <c r="T205" s="285"/>
      <c r="U205" s="285"/>
      <c r="V205" s="285"/>
      <c r="W205" s="285"/>
      <c r="X205" s="285"/>
      <c r="Y205" s="285"/>
      <c r="Z205" s="285"/>
    </row>
    <row r="206" ht="12.75" customHeight="1">
      <c r="A206" s="285"/>
      <c r="B206" s="75"/>
      <c r="C206" s="75"/>
      <c r="D206" s="321"/>
      <c r="E206" s="321"/>
      <c r="F206" s="322"/>
      <c r="G206" s="75"/>
      <c r="H206" s="321"/>
      <c r="I206" s="321"/>
      <c r="J206" s="323"/>
      <c r="K206" s="324"/>
      <c r="L206" s="285"/>
      <c r="M206" s="285"/>
      <c r="N206" s="285"/>
      <c r="O206" s="325"/>
      <c r="P206" s="285"/>
      <c r="Q206" s="325"/>
      <c r="R206" s="325"/>
      <c r="S206" s="285"/>
      <c r="T206" s="285"/>
      <c r="U206" s="285"/>
      <c r="V206" s="285"/>
      <c r="W206" s="285"/>
      <c r="X206" s="285"/>
      <c r="Y206" s="285"/>
      <c r="Z206" s="285"/>
    </row>
    <row r="207" ht="12.75" customHeight="1">
      <c r="A207" s="285"/>
      <c r="B207" s="75"/>
      <c r="C207" s="75"/>
      <c r="D207" s="321"/>
      <c r="E207" s="321"/>
      <c r="F207" s="322"/>
      <c r="G207" s="75"/>
      <c r="H207" s="321"/>
      <c r="I207" s="321"/>
      <c r="J207" s="323"/>
      <c r="K207" s="324"/>
      <c r="L207" s="285"/>
      <c r="M207" s="285"/>
      <c r="N207" s="285"/>
      <c r="O207" s="325"/>
      <c r="P207" s="285"/>
      <c r="Q207" s="325"/>
      <c r="R207" s="325"/>
      <c r="S207" s="285"/>
      <c r="T207" s="285"/>
      <c r="U207" s="285"/>
      <c r="V207" s="285"/>
      <c r="W207" s="285"/>
      <c r="X207" s="285"/>
      <c r="Y207" s="285"/>
      <c r="Z207" s="285"/>
    </row>
    <row r="208" ht="12.75" customHeight="1">
      <c r="A208" s="285"/>
      <c r="B208" s="75"/>
      <c r="C208" s="75"/>
      <c r="D208" s="321"/>
      <c r="E208" s="321"/>
      <c r="F208" s="322"/>
      <c r="G208" s="75"/>
      <c r="H208" s="321"/>
      <c r="I208" s="321"/>
      <c r="J208" s="323"/>
      <c r="K208" s="324"/>
      <c r="L208" s="285"/>
      <c r="M208" s="285"/>
      <c r="N208" s="285"/>
      <c r="O208" s="325"/>
      <c r="P208" s="285"/>
      <c r="Q208" s="325"/>
      <c r="R208" s="325"/>
      <c r="S208" s="285"/>
      <c r="T208" s="285"/>
      <c r="U208" s="285"/>
      <c r="V208" s="285"/>
      <c r="W208" s="285"/>
      <c r="X208" s="285"/>
      <c r="Y208" s="285"/>
      <c r="Z208" s="285"/>
    </row>
    <row r="209" ht="12.75" customHeight="1">
      <c r="A209" s="285"/>
      <c r="B209" s="75"/>
      <c r="C209" s="75"/>
      <c r="D209" s="321"/>
      <c r="E209" s="321"/>
      <c r="F209" s="322"/>
      <c r="G209" s="75"/>
      <c r="H209" s="321"/>
      <c r="I209" s="321"/>
      <c r="J209" s="323"/>
      <c r="K209" s="324"/>
      <c r="L209" s="285"/>
      <c r="M209" s="285"/>
      <c r="N209" s="285"/>
      <c r="O209" s="325"/>
      <c r="P209" s="285"/>
      <c r="Q209" s="325"/>
      <c r="R209" s="325"/>
      <c r="S209" s="285"/>
      <c r="T209" s="285"/>
      <c r="U209" s="285"/>
      <c r="V209" s="285"/>
      <c r="W209" s="285"/>
      <c r="X209" s="285"/>
      <c r="Y209" s="285"/>
      <c r="Z209" s="285"/>
    </row>
    <row r="210" ht="12.75" customHeight="1">
      <c r="A210" s="285"/>
      <c r="B210" s="75"/>
      <c r="C210" s="75"/>
      <c r="D210" s="321"/>
      <c r="E210" s="321"/>
      <c r="F210" s="322"/>
      <c r="G210" s="75"/>
      <c r="H210" s="321"/>
      <c r="I210" s="321"/>
      <c r="J210" s="323"/>
      <c r="K210" s="324"/>
      <c r="L210" s="285"/>
      <c r="M210" s="285"/>
      <c r="N210" s="285"/>
      <c r="O210" s="325"/>
      <c r="P210" s="285"/>
      <c r="Q210" s="325"/>
      <c r="R210" s="325"/>
      <c r="S210" s="285"/>
      <c r="T210" s="285"/>
      <c r="U210" s="285"/>
      <c r="V210" s="285"/>
      <c r="W210" s="285"/>
      <c r="X210" s="285"/>
      <c r="Y210" s="285"/>
      <c r="Z210" s="285"/>
    </row>
    <row r="211" ht="12.75" customHeight="1">
      <c r="A211" s="285"/>
      <c r="B211" s="75"/>
      <c r="C211" s="75"/>
      <c r="D211" s="321"/>
      <c r="E211" s="321"/>
      <c r="F211" s="322"/>
      <c r="G211" s="75"/>
      <c r="H211" s="321"/>
      <c r="I211" s="321"/>
      <c r="J211" s="323"/>
      <c r="K211" s="324"/>
      <c r="L211" s="285"/>
      <c r="M211" s="285"/>
      <c r="N211" s="285"/>
      <c r="O211" s="325"/>
      <c r="P211" s="285"/>
      <c r="Q211" s="325"/>
      <c r="R211" s="325"/>
      <c r="S211" s="285"/>
      <c r="T211" s="285"/>
      <c r="U211" s="285"/>
      <c r="V211" s="285"/>
      <c r="W211" s="285"/>
      <c r="X211" s="285"/>
      <c r="Y211" s="285"/>
      <c r="Z211" s="285"/>
    </row>
    <row r="212" ht="12.75" customHeight="1">
      <c r="A212" s="285"/>
      <c r="B212" s="75"/>
      <c r="C212" s="75"/>
      <c r="D212" s="321"/>
      <c r="E212" s="321"/>
      <c r="F212" s="322"/>
      <c r="G212" s="75"/>
      <c r="H212" s="321"/>
      <c r="I212" s="321"/>
      <c r="J212" s="323"/>
      <c r="K212" s="324"/>
      <c r="L212" s="285"/>
      <c r="M212" s="285"/>
      <c r="N212" s="285"/>
      <c r="O212" s="325"/>
      <c r="P212" s="285"/>
      <c r="Q212" s="325"/>
      <c r="R212" s="325"/>
      <c r="S212" s="285"/>
      <c r="T212" s="285"/>
      <c r="U212" s="285"/>
      <c r="V212" s="285"/>
      <c r="W212" s="285"/>
      <c r="X212" s="285"/>
      <c r="Y212" s="285"/>
      <c r="Z212" s="285"/>
    </row>
    <row r="213" ht="12.75" customHeight="1">
      <c r="A213" s="285"/>
      <c r="B213" s="75"/>
      <c r="C213" s="75"/>
      <c r="D213" s="321"/>
      <c r="E213" s="321"/>
      <c r="F213" s="322"/>
      <c r="G213" s="75"/>
      <c r="H213" s="321"/>
      <c r="I213" s="321"/>
      <c r="J213" s="323"/>
      <c r="K213" s="324"/>
      <c r="L213" s="285"/>
      <c r="M213" s="285"/>
      <c r="N213" s="285"/>
      <c r="O213" s="325"/>
      <c r="P213" s="285"/>
      <c r="Q213" s="325"/>
      <c r="R213" s="325"/>
      <c r="S213" s="285"/>
      <c r="T213" s="285"/>
      <c r="U213" s="285"/>
      <c r="V213" s="285"/>
      <c r="W213" s="285"/>
      <c r="X213" s="285"/>
      <c r="Y213" s="285"/>
      <c r="Z213" s="285"/>
    </row>
    <row r="214" ht="12.75" customHeight="1">
      <c r="A214" s="285"/>
      <c r="B214" s="75"/>
      <c r="C214" s="75"/>
      <c r="D214" s="321"/>
      <c r="E214" s="321"/>
      <c r="F214" s="322"/>
      <c r="G214" s="75"/>
      <c r="H214" s="321"/>
      <c r="I214" s="321"/>
      <c r="J214" s="323"/>
      <c r="K214" s="324"/>
      <c r="L214" s="285"/>
      <c r="M214" s="285"/>
      <c r="N214" s="285"/>
      <c r="O214" s="325"/>
      <c r="P214" s="285"/>
      <c r="Q214" s="325"/>
      <c r="R214" s="325"/>
      <c r="S214" s="285"/>
      <c r="T214" s="285"/>
      <c r="U214" s="285"/>
      <c r="V214" s="285"/>
      <c r="W214" s="285"/>
      <c r="X214" s="285"/>
      <c r="Y214" s="285"/>
      <c r="Z214" s="285"/>
    </row>
    <row r="215" ht="12.75" customHeight="1">
      <c r="A215" s="285"/>
      <c r="B215" s="75"/>
      <c r="C215" s="75"/>
      <c r="D215" s="321"/>
      <c r="E215" s="321"/>
      <c r="F215" s="322"/>
      <c r="G215" s="75"/>
      <c r="H215" s="321"/>
      <c r="I215" s="321"/>
      <c r="J215" s="323"/>
      <c r="K215" s="324"/>
      <c r="L215" s="285"/>
      <c r="M215" s="285"/>
      <c r="N215" s="285"/>
      <c r="O215" s="325"/>
      <c r="P215" s="285"/>
      <c r="Q215" s="325"/>
      <c r="R215" s="325"/>
      <c r="S215" s="285"/>
      <c r="T215" s="285"/>
      <c r="U215" s="285"/>
      <c r="V215" s="285"/>
      <c r="W215" s="285"/>
      <c r="X215" s="285"/>
      <c r="Y215" s="285"/>
      <c r="Z215" s="285"/>
    </row>
    <row r="216" ht="12.75" customHeight="1">
      <c r="A216" s="285"/>
      <c r="B216" s="75"/>
      <c r="C216" s="75"/>
      <c r="D216" s="321"/>
      <c r="E216" s="321"/>
      <c r="F216" s="322"/>
      <c r="G216" s="75"/>
      <c r="H216" s="321"/>
      <c r="I216" s="321"/>
      <c r="J216" s="323"/>
      <c r="K216" s="324"/>
      <c r="L216" s="285"/>
      <c r="M216" s="285"/>
      <c r="N216" s="285"/>
      <c r="O216" s="325"/>
      <c r="P216" s="285"/>
      <c r="Q216" s="325"/>
      <c r="R216" s="325"/>
      <c r="S216" s="285"/>
      <c r="T216" s="285"/>
      <c r="U216" s="285"/>
      <c r="V216" s="285"/>
      <c r="W216" s="285"/>
      <c r="X216" s="285"/>
      <c r="Y216" s="285"/>
      <c r="Z216" s="285"/>
    </row>
    <row r="217" ht="12.75" customHeight="1">
      <c r="A217" s="285"/>
      <c r="B217" s="75"/>
      <c r="C217" s="75"/>
      <c r="D217" s="321"/>
      <c r="E217" s="321"/>
      <c r="F217" s="322"/>
      <c r="G217" s="75"/>
      <c r="H217" s="321"/>
      <c r="I217" s="321"/>
      <c r="J217" s="323"/>
      <c r="K217" s="324"/>
      <c r="L217" s="285"/>
      <c r="M217" s="285"/>
      <c r="N217" s="285"/>
      <c r="O217" s="325"/>
      <c r="P217" s="285"/>
      <c r="Q217" s="325"/>
      <c r="R217" s="325"/>
      <c r="S217" s="285"/>
      <c r="T217" s="285"/>
      <c r="U217" s="285"/>
      <c r="V217" s="285"/>
      <c r="W217" s="285"/>
      <c r="X217" s="285"/>
      <c r="Y217" s="285"/>
      <c r="Z217" s="285"/>
    </row>
    <row r="218" ht="12.75" customHeight="1">
      <c r="A218" s="285"/>
      <c r="B218" s="75"/>
      <c r="C218" s="75"/>
      <c r="D218" s="321"/>
      <c r="E218" s="321"/>
      <c r="F218" s="322"/>
      <c r="G218" s="75"/>
      <c r="H218" s="321"/>
      <c r="I218" s="321"/>
      <c r="J218" s="323"/>
      <c r="K218" s="324"/>
      <c r="L218" s="285"/>
      <c r="M218" s="285"/>
      <c r="N218" s="285"/>
      <c r="O218" s="325"/>
      <c r="P218" s="285"/>
      <c r="Q218" s="325"/>
      <c r="R218" s="325"/>
      <c r="S218" s="285"/>
      <c r="T218" s="285"/>
      <c r="U218" s="285"/>
      <c r="V218" s="285"/>
      <c r="W218" s="285"/>
      <c r="X218" s="285"/>
      <c r="Y218" s="285"/>
      <c r="Z218" s="285"/>
    </row>
    <row r="219" ht="12.75" customHeight="1">
      <c r="A219" s="285"/>
      <c r="B219" s="75"/>
      <c r="C219" s="75"/>
      <c r="D219" s="321"/>
      <c r="E219" s="321"/>
      <c r="F219" s="322"/>
      <c r="G219" s="75"/>
      <c r="H219" s="321"/>
      <c r="I219" s="321"/>
      <c r="J219" s="323"/>
      <c r="K219" s="324"/>
      <c r="L219" s="285"/>
      <c r="M219" s="285"/>
      <c r="N219" s="285"/>
      <c r="O219" s="325"/>
      <c r="P219" s="285"/>
      <c r="Q219" s="325"/>
      <c r="R219" s="325"/>
      <c r="S219" s="285"/>
      <c r="T219" s="285"/>
      <c r="U219" s="285"/>
      <c r="V219" s="285"/>
      <c r="W219" s="285"/>
      <c r="X219" s="285"/>
      <c r="Y219" s="285"/>
      <c r="Z219" s="285"/>
    </row>
    <row r="220" ht="12.75" customHeight="1">
      <c r="A220" s="285"/>
      <c r="B220" s="75"/>
      <c r="C220" s="75"/>
      <c r="D220" s="321"/>
      <c r="E220" s="321"/>
      <c r="F220" s="322"/>
      <c r="G220" s="75"/>
      <c r="H220" s="321"/>
      <c r="I220" s="321"/>
      <c r="J220" s="323"/>
      <c r="K220" s="324"/>
      <c r="L220" s="285"/>
      <c r="M220" s="285"/>
      <c r="N220" s="285"/>
      <c r="O220" s="325"/>
      <c r="P220" s="285"/>
      <c r="Q220" s="325"/>
      <c r="R220" s="325"/>
      <c r="S220" s="285"/>
      <c r="T220" s="285"/>
      <c r="U220" s="285"/>
      <c r="V220" s="285"/>
      <c r="W220" s="285"/>
      <c r="X220" s="285"/>
      <c r="Y220" s="285"/>
      <c r="Z220" s="285"/>
    </row>
    <row r="221" ht="12.75" customHeight="1">
      <c r="A221" s="285"/>
      <c r="B221" s="75"/>
      <c r="C221" s="75"/>
      <c r="D221" s="321"/>
      <c r="E221" s="321"/>
      <c r="F221" s="322"/>
      <c r="G221" s="75"/>
      <c r="H221" s="321"/>
      <c r="I221" s="321"/>
      <c r="J221" s="323"/>
      <c r="K221" s="324"/>
      <c r="L221" s="285"/>
      <c r="M221" s="285"/>
      <c r="N221" s="285"/>
      <c r="O221" s="325"/>
      <c r="P221" s="285"/>
      <c r="Q221" s="325"/>
      <c r="R221" s="325"/>
      <c r="S221" s="285"/>
      <c r="T221" s="285"/>
      <c r="U221" s="285"/>
      <c r="V221" s="285"/>
      <c r="W221" s="285"/>
      <c r="X221" s="285"/>
      <c r="Y221" s="285"/>
      <c r="Z221" s="285"/>
    </row>
    <row r="222" ht="12.75" customHeight="1">
      <c r="A222" s="285"/>
      <c r="B222" s="75"/>
      <c r="C222" s="75"/>
      <c r="D222" s="321"/>
      <c r="E222" s="321"/>
      <c r="F222" s="322"/>
      <c r="G222" s="75"/>
      <c r="H222" s="321"/>
      <c r="I222" s="321"/>
      <c r="J222" s="323"/>
      <c r="K222" s="324"/>
      <c r="L222" s="285"/>
      <c r="M222" s="285"/>
      <c r="N222" s="285"/>
      <c r="O222" s="325"/>
      <c r="P222" s="285"/>
      <c r="Q222" s="325"/>
      <c r="R222" s="325"/>
      <c r="S222" s="285"/>
      <c r="T222" s="285"/>
      <c r="U222" s="285"/>
      <c r="V222" s="285"/>
      <c r="W222" s="285"/>
      <c r="X222" s="285"/>
      <c r="Y222" s="285"/>
      <c r="Z222" s="285"/>
    </row>
    <row r="223" ht="12.75" customHeight="1">
      <c r="A223" s="285"/>
      <c r="B223" s="75"/>
      <c r="C223" s="75"/>
      <c r="D223" s="321"/>
      <c r="E223" s="321"/>
      <c r="F223" s="322"/>
      <c r="G223" s="75"/>
      <c r="H223" s="321"/>
      <c r="I223" s="321"/>
      <c r="J223" s="323"/>
      <c r="K223" s="324"/>
      <c r="L223" s="285"/>
      <c r="M223" s="285"/>
      <c r="N223" s="285"/>
      <c r="O223" s="325"/>
      <c r="P223" s="285"/>
      <c r="Q223" s="325"/>
      <c r="R223" s="325"/>
      <c r="S223" s="285"/>
      <c r="T223" s="285"/>
      <c r="U223" s="285"/>
      <c r="V223" s="285"/>
      <c r="W223" s="285"/>
      <c r="X223" s="285"/>
      <c r="Y223" s="285"/>
      <c r="Z223" s="285"/>
    </row>
    <row r="224" ht="12.75" customHeight="1">
      <c r="A224" s="285"/>
      <c r="B224" s="75"/>
      <c r="C224" s="75"/>
      <c r="D224" s="321"/>
      <c r="E224" s="321"/>
      <c r="F224" s="322"/>
      <c r="G224" s="75"/>
      <c r="H224" s="321"/>
      <c r="I224" s="321"/>
      <c r="J224" s="323"/>
      <c r="K224" s="324"/>
      <c r="L224" s="285"/>
      <c r="M224" s="285"/>
      <c r="N224" s="285"/>
      <c r="O224" s="325"/>
      <c r="P224" s="285"/>
      <c r="Q224" s="325"/>
      <c r="R224" s="325"/>
      <c r="S224" s="285"/>
      <c r="T224" s="285"/>
      <c r="U224" s="285"/>
      <c r="V224" s="285"/>
      <c r="W224" s="285"/>
      <c r="X224" s="285"/>
      <c r="Y224" s="285"/>
      <c r="Z224" s="285"/>
    </row>
    <row r="225" ht="12.75" customHeight="1">
      <c r="A225" s="285"/>
      <c r="B225" s="75"/>
      <c r="C225" s="75"/>
      <c r="D225" s="321"/>
      <c r="E225" s="321"/>
      <c r="F225" s="322"/>
      <c r="G225" s="75"/>
      <c r="H225" s="321"/>
      <c r="I225" s="321"/>
      <c r="J225" s="323"/>
      <c r="K225" s="324"/>
      <c r="L225" s="285"/>
      <c r="M225" s="285"/>
      <c r="N225" s="285"/>
      <c r="O225" s="325"/>
      <c r="P225" s="285"/>
      <c r="Q225" s="325"/>
      <c r="R225" s="325"/>
      <c r="S225" s="285"/>
      <c r="T225" s="285"/>
      <c r="U225" s="285"/>
      <c r="V225" s="285"/>
      <c r="W225" s="285"/>
      <c r="X225" s="285"/>
      <c r="Y225" s="285"/>
      <c r="Z225" s="285"/>
    </row>
    <row r="226" ht="12.75" customHeight="1">
      <c r="A226" s="285"/>
      <c r="B226" s="75"/>
      <c r="C226" s="75"/>
      <c r="D226" s="321"/>
      <c r="E226" s="321"/>
      <c r="F226" s="322"/>
      <c r="G226" s="75"/>
      <c r="H226" s="321"/>
      <c r="I226" s="321"/>
      <c r="J226" s="323"/>
      <c r="K226" s="324"/>
      <c r="L226" s="285"/>
      <c r="M226" s="285"/>
      <c r="N226" s="285"/>
      <c r="O226" s="325"/>
      <c r="P226" s="285"/>
      <c r="Q226" s="325"/>
      <c r="R226" s="325"/>
      <c r="S226" s="285"/>
      <c r="T226" s="285"/>
      <c r="U226" s="285"/>
      <c r="V226" s="285"/>
      <c r="W226" s="285"/>
      <c r="X226" s="285"/>
      <c r="Y226" s="285"/>
      <c r="Z226" s="285"/>
    </row>
    <row r="227" ht="12.75" customHeight="1">
      <c r="A227" s="285"/>
      <c r="B227" s="75"/>
      <c r="C227" s="75"/>
      <c r="D227" s="321"/>
      <c r="E227" s="321"/>
      <c r="F227" s="322"/>
      <c r="G227" s="75"/>
      <c r="H227" s="321"/>
      <c r="I227" s="321"/>
      <c r="J227" s="323"/>
      <c r="K227" s="324"/>
      <c r="L227" s="285"/>
      <c r="M227" s="285"/>
      <c r="N227" s="285"/>
      <c r="O227" s="325"/>
      <c r="P227" s="285"/>
      <c r="Q227" s="325"/>
      <c r="R227" s="325"/>
      <c r="S227" s="285"/>
      <c r="T227" s="285"/>
      <c r="U227" s="285"/>
      <c r="V227" s="285"/>
      <c r="W227" s="285"/>
      <c r="X227" s="285"/>
      <c r="Y227" s="285"/>
      <c r="Z227" s="285"/>
    </row>
    <row r="228" ht="12.75" customHeight="1">
      <c r="A228" s="285"/>
      <c r="B228" s="75"/>
      <c r="C228" s="75"/>
      <c r="D228" s="321"/>
      <c r="E228" s="321"/>
      <c r="F228" s="322"/>
      <c r="G228" s="75"/>
      <c r="H228" s="321"/>
      <c r="I228" s="321"/>
      <c r="J228" s="323"/>
      <c r="K228" s="324"/>
      <c r="L228" s="285"/>
      <c r="M228" s="285"/>
      <c r="N228" s="285"/>
      <c r="O228" s="325"/>
      <c r="P228" s="285"/>
      <c r="Q228" s="325"/>
      <c r="R228" s="325"/>
      <c r="S228" s="285"/>
      <c r="T228" s="285"/>
      <c r="U228" s="285"/>
      <c r="V228" s="285"/>
      <c r="W228" s="285"/>
      <c r="X228" s="285"/>
      <c r="Y228" s="285"/>
      <c r="Z228" s="285"/>
    </row>
    <row r="229" ht="12.75" customHeight="1">
      <c r="A229" s="285"/>
      <c r="B229" s="75"/>
      <c r="C229" s="75"/>
      <c r="D229" s="321"/>
      <c r="E229" s="321"/>
      <c r="F229" s="322"/>
      <c r="G229" s="75"/>
      <c r="H229" s="321"/>
      <c r="I229" s="321"/>
      <c r="J229" s="323"/>
      <c r="K229" s="324"/>
      <c r="L229" s="285"/>
      <c r="M229" s="285"/>
      <c r="N229" s="285"/>
      <c r="O229" s="325"/>
      <c r="P229" s="285"/>
      <c r="Q229" s="325"/>
      <c r="R229" s="325"/>
      <c r="S229" s="285"/>
      <c r="T229" s="285"/>
      <c r="U229" s="285"/>
      <c r="V229" s="285"/>
      <c r="W229" s="285"/>
      <c r="X229" s="285"/>
      <c r="Y229" s="285"/>
      <c r="Z229" s="285"/>
    </row>
    <row r="230" ht="12.75" customHeight="1">
      <c r="A230" s="285"/>
      <c r="B230" s="75"/>
      <c r="C230" s="75"/>
      <c r="D230" s="321"/>
      <c r="E230" s="321"/>
      <c r="F230" s="322"/>
      <c r="G230" s="75"/>
      <c r="H230" s="321"/>
      <c r="I230" s="321"/>
      <c r="J230" s="323"/>
      <c r="K230" s="324"/>
      <c r="L230" s="285"/>
      <c r="M230" s="285"/>
      <c r="N230" s="285"/>
      <c r="O230" s="325"/>
      <c r="P230" s="285"/>
      <c r="Q230" s="325"/>
      <c r="R230" s="325"/>
      <c r="S230" s="285"/>
      <c r="T230" s="285"/>
      <c r="U230" s="285"/>
      <c r="V230" s="285"/>
      <c r="W230" s="285"/>
      <c r="X230" s="285"/>
      <c r="Y230" s="285"/>
      <c r="Z230" s="285"/>
    </row>
    <row r="231" ht="12.75" customHeight="1">
      <c r="A231" s="285"/>
      <c r="B231" s="75"/>
      <c r="C231" s="75"/>
      <c r="D231" s="321"/>
      <c r="E231" s="321"/>
      <c r="F231" s="322"/>
      <c r="G231" s="75"/>
      <c r="H231" s="321"/>
      <c r="I231" s="321"/>
      <c r="J231" s="323"/>
      <c r="K231" s="324"/>
      <c r="L231" s="285"/>
      <c r="M231" s="285"/>
      <c r="N231" s="285"/>
      <c r="O231" s="325"/>
      <c r="P231" s="285"/>
      <c r="Q231" s="325"/>
      <c r="R231" s="325"/>
      <c r="S231" s="285"/>
      <c r="T231" s="285"/>
      <c r="U231" s="285"/>
      <c r="V231" s="285"/>
      <c r="W231" s="285"/>
      <c r="X231" s="285"/>
      <c r="Y231" s="285"/>
      <c r="Z231" s="285"/>
    </row>
    <row r="232" ht="12.75" customHeight="1">
      <c r="A232" s="285"/>
      <c r="B232" s="75"/>
      <c r="C232" s="75"/>
      <c r="D232" s="321"/>
      <c r="E232" s="321"/>
      <c r="F232" s="322"/>
      <c r="G232" s="75"/>
      <c r="H232" s="321"/>
      <c r="I232" s="321"/>
      <c r="J232" s="323"/>
      <c r="K232" s="324"/>
      <c r="L232" s="285"/>
      <c r="M232" s="285"/>
      <c r="N232" s="285"/>
      <c r="O232" s="325"/>
      <c r="P232" s="285"/>
      <c r="Q232" s="325"/>
      <c r="R232" s="325"/>
      <c r="S232" s="285"/>
      <c r="T232" s="285"/>
      <c r="U232" s="285"/>
      <c r="V232" s="285"/>
      <c r="W232" s="285"/>
      <c r="X232" s="285"/>
      <c r="Y232" s="285"/>
      <c r="Z232" s="285"/>
    </row>
    <row r="233" ht="12.75" customHeight="1">
      <c r="A233" s="285"/>
      <c r="B233" s="75"/>
      <c r="C233" s="75"/>
      <c r="D233" s="321"/>
      <c r="E233" s="321"/>
      <c r="F233" s="322"/>
      <c r="G233" s="75"/>
      <c r="H233" s="321"/>
      <c r="I233" s="321"/>
      <c r="J233" s="323"/>
      <c r="K233" s="324"/>
      <c r="L233" s="285"/>
      <c r="M233" s="285"/>
      <c r="N233" s="285"/>
      <c r="O233" s="325"/>
      <c r="P233" s="285"/>
      <c r="Q233" s="325"/>
      <c r="R233" s="325"/>
      <c r="S233" s="285"/>
      <c r="T233" s="285"/>
      <c r="U233" s="285"/>
      <c r="V233" s="285"/>
      <c r="W233" s="285"/>
      <c r="X233" s="285"/>
      <c r="Y233" s="285"/>
      <c r="Z233" s="285"/>
    </row>
    <row r="234" ht="12.75" customHeight="1">
      <c r="A234" s="285"/>
      <c r="B234" s="75"/>
      <c r="C234" s="75"/>
      <c r="D234" s="321"/>
      <c r="E234" s="321"/>
      <c r="F234" s="322"/>
      <c r="G234" s="75"/>
      <c r="H234" s="321"/>
      <c r="I234" s="321"/>
      <c r="J234" s="323"/>
      <c r="K234" s="324"/>
      <c r="L234" s="285"/>
      <c r="M234" s="285"/>
      <c r="N234" s="285"/>
      <c r="O234" s="325"/>
      <c r="P234" s="285"/>
      <c r="Q234" s="325"/>
      <c r="R234" s="325"/>
      <c r="S234" s="285"/>
      <c r="T234" s="285"/>
      <c r="U234" s="285"/>
      <c r="V234" s="285"/>
      <c r="W234" s="285"/>
      <c r="X234" s="285"/>
      <c r="Y234" s="285"/>
      <c r="Z234" s="285"/>
    </row>
    <row r="235" ht="12.75" customHeight="1">
      <c r="A235" s="285"/>
      <c r="B235" s="75"/>
      <c r="C235" s="75"/>
      <c r="D235" s="321"/>
      <c r="E235" s="321"/>
      <c r="F235" s="322"/>
      <c r="G235" s="75"/>
      <c r="H235" s="321"/>
      <c r="I235" s="321"/>
      <c r="J235" s="323"/>
      <c r="K235" s="324"/>
      <c r="L235" s="285"/>
      <c r="M235" s="285"/>
      <c r="N235" s="285"/>
      <c r="O235" s="325"/>
      <c r="P235" s="285"/>
      <c r="Q235" s="325"/>
      <c r="R235" s="325"/>
      <c r="S235" s="285"/>
      <c r="T235" s="285"/>
      <c r="U235" s="285"/>
      <c r="V235" s="285"/>
      <c r="W235" s="285"/>
      <c r="X235" s="285"/>
      <c r="Y235" s="285"/>
      <c r="Z235" s="285"/>
    </row>
    <row r="236" ht="12.75" customHeight="1">
      <c r="A236" s="285"/>
      <c r="B236" s="75"/>
      <c r="C236" s="75"/>
      <c r="D236" s="321"/>
      <c r="E236" s="321"/>
      <c r="F236" s="322"/>
      <c r="G236" s="75"/>
      <c r="H236" s="321"/>
      <c r="I236" s="321"/>
      <c r="J236" s="323"/>
      <c r="K236" s="324"/>
      <c r="L236" s="285"/>
      <c r="M236" s="285"/>
      <c r="N236" s="285"/>
      <c r="O236" s="325"/>
      <c r="P236" s="285"/>
      <c r="Q236" s="325"/>
      <c r="R236" s="325"/>
      <c r="S236" s="285"/>
      <c r="T236" s="285"/>
      <c r="U236" s="285"/>
      <c r="V236" s="285"/>
      <c r="W236" s="285"/>
      <c r="X236" s="285"/>
      <c r="Y236" s="285"/>
      <c r="Z236" s="285"/>
    </row>
    <row r="237" ht="12.75" customHeight="1">
      <c r="A237" s="285"/>
      <c r="B237" s="75"/>
      <c r="C237" s="75"/>
      <c r="D237" s="321"/>
      <c r="E237" s="321"/>
      <c r="F237" s="322"/>
      <c r="G237" s="75"/>
      <c r="H237" s="321"/>
      <c r="I237" s="321"/>
      <c r="J237" s="323"/>
      <c r="K237" s="324"/>
      <c r="L237" s="285"/>
      <c r="M237" s="285"/>
      <c r="N237" s="285"/>
      <c r="O237" s="325"/>
      <c r="P237" s="285"/>
      <c r="Q237" s="325"/>
      <c r="R237" s="325"/>
      <c r="S237" s="285"/>
      <c r="T237" s="285"/>
      <c r="U237" s="285"/>
      <c r="V237" s="285"/>
      <c r="W237" s="285"/>
      <c r="X237" s="285"/>
      <c r="Y237" s="285"/>
      <c r="Z237" s="285"/>
    </row>
    <row r="238" ht="12.75" customHeight="1">
      <c r="A238" s="285"/>
      <c r="B238" s="75"/>
      <c r="C238" s="75"/>
      <c r="D238" s="321"/>
      <c r="E238" s="321"/>
      <c r="F238" s="322"/>
      <c r="G238" s="75"/>
      <c r="H238" s="321"/>
      <c r="I238" s="321"/>
      <c r="J238" s="323"/>
      <c r="K238" s="324"/>
      <c r="L238" s="285"/>
      <c r="M238" s="285"/>
      <c r="N238" s="285"/>
      <c r="O238" s="325"/>
      <c r="P238" s="285"/>
      <c r="Q238" s="325"/>
      <c r="R238" s="325"/>
      <c r="S238" s="285"/>
      <c r="T238" s="285"/>
      <c r="U238" s="285"/>
      <c r="V238" s="285"/>
      <c r="W238" s="285"/>
      <c r="X238" s="285"/>
      <c r="Y238" s="285"/>
      <c r="Z238" s="285"/>
    </row>
    <row r="239" ht="12.75" customHeight="1">
      <c r="A239" s="285"/>
      <c r="B239" s="75"/>
      <c r="C239" s="75"/>
      <c r="D239" s="321"/>
      <c r="E239" s="321"/>
      <c r="F239" s="322"/>
      <c r="G239" s="75"/>
      <c r="H239" s="321"/>
      <c r="I239" s="321"/>
      <c r="J239" s="323"/>
      <c r="K239" s="324"/>
      <c r="L239" s="285"/>
      <c r="M239" s="285"/>
      <c r="N239" s="285"/>
      <c r="O239" s="325"/>
      <c r="P239" s="285"/>
      <c r="Q239" s="325"/>
      <c r="R239" s="325"/>
      <c r="S239" s="285"/>
      <c r="T239" s="285"/>
      <c r="U239" s="285"/>
      <c r="V239" s="285"/>
      <c r="W239" s="285"/>
      <c r="X239" s="285"/>
      <c r="Y239" s="285"/>
      <c r="Z239" s="285"/>
    </row>
    <row r="240" ht="12.75" customHeight="1">
      <c r="A240" s="285"/>
      <c r="B240" s="75"/>
      <c r="C240" s="75"/>
      <c r="D240" s="321"/>
      <c r="E240" s="321"/>
      <c r="F240" s="322"/>
      <c r="G240" s="75"/>
      <c r="H240" s="321"/>
      <c r="I240" s="321"/>
      <c r="J240" s="323"/>
      <c r="K240" s="324"/>
      <c r="L240" s="285"/>
      <c r="M240" s="285"/>
      <c r="N240" s="285"/>
      <c r="O240" s="325"/>
      <c r="P240" s="285"/>
      <c r="Q240" s="325"/>
      <c r="R240" s="325"/>
      <c r="S240" s="285"/>
      <c r="T240" s="285"/>
      <c r="U240" s="285"/>
      <c r="V240" s="285"/>
      <c r="W240" s="285"/>
      <c r="X240" s="285"/>
      <c r="Y240" s="285"/>
      <c r="Z240" s="285"/>
    </row>
    <row r="241" ht="12.75" customHeight="1">
      <c r="A241" s="285"/>
      <c r="B241" s="75"/>
      <c r="C241" s="75"/>
      <c r="D241" s="321"/>
      <c r="E241" s="321"/>
      <c r="F241" s="322"/>
      <c r="G241" s="75"/>
      <c r="H241" s="321"/>
      <c r="I241" s="321"/>
      <c r="J241" s="323"/>
      <c r="K241" s="324"/>
      <c r="L241" s="285"/>
      <c r="M241" s="285"/>
      <c r="N241" s="285"/>
      <c r="O241" s="325"/>
      <c r="P241" s="285"/>
      <c r="Q241" s="325"/>
      <c r="R241" s="325"/>
      <c r="S241" s="285"/>
      <c r="T241" s="285"/>
      <c r="U241" s="285"/>
      <c r="V241" s="285"/>
      <c r="W241" s="285"/>
      <c r="X241" s="285"/>
      <c r="Y241" s="285"/>
      <c r="Z241" s="285"/>
    </row>
    <row r="242" ht="12.75" customHeight="1">
      <c r="A242" s="285"/>
      <c r="B242" s="75"/>
      <c r="C242" s="75"/>
      <c r="D242" s="321"/>
      <c r="E242" s="321"/>
      <c r="F242" s="322"/>
      <c r="G242" s="75"/>
      <c r="H242" s="321"/>
      <c r="I242" s="321"/>
      <c r="J242" s="323"/>
      <c r="K242" s="324"/>
      <c r="L242" s="285"/>
      <c r="M242" s="285"/>
      <c r="N242" s="285"/>
      <c r="O242" s="325"/>
      <c r="P242" s="285"/>
      <c r="Q242" s="325"/>
      <c r="R242" s="325"/>
      <c r="S242" s="285"/>
      <c r="T242" s="285"/>
      <c r="U242" s="285"/>
      <c r="V242" s="285"/>
      <c r="W242" s="285"/>
      <c r="X242" s="285"/>
      <c r="Y242" s="285"/>
      <c r="Z242" s="285"/>
    </row>
    <row r="243" ht="12.75" customHeight="1">
      <c r="A243" s="285"/>
      <c r="B243" s="75"/>
      <c r="C243" s="75"/>
      <c r="D243" s="321"/>
      <c r="E243" s="321"/>
      <c r="F243" s="322"/>
      <c r="G243" s="75"/>
      <c r="H243" s="321"/>
      <c r="I243" s="321"/>
      <c r="J243" s="323"/>
      <c r="K243" s="324"/>
      <c r="L243" s="285"/>
      <c r="M243" s="285"/>
      <c r="N243" s="285"/>
      <c r="O243" s="325"/>
      <c r="P243" s="285"/>
      <c r="Q243" s="325"/>
      <c r="R243" s="325"/>
      <c r="S243" s="285"/>
      <c r="T243" s="285"/>
      <c r="U243" s="285"/>
      <c r="V243" s="285"/>
      <c r="W243" s="285"/>
      <c r="X243" s="285"/>
      <c r="Y243" s="285"/>
      <c r="Z243" s="285"/>
    </row>
    <row r="244" ht="12.75" customHeight="1">
      <c r="A244" s="285"/>
      <c r="B244" s="75"/>
      <c r="C244" s="75"/>
      <c r="D244" s="321"/>
      <c r="E244" s="321"/>
      <c r="F244" s="322"/>
      <c r="G244" s="75"/>
      <c r="H244" s="321"/>
      <c r="I244" s="321"/>
      <c r="J244" s="323"/>
      <c r="K244" s="324"/>
      <c r="L244" s="285"/>
      <c r="M244" s="285"/>
      <c r="N244" s="285"/>
      <c r="O244" s="325"/>
      <c r="P244" s="285"/>
      <c r="Q244" s="325"/>
      <c r="R244" s="325"/>
      <c r="S244" s="285"/>
      <c r="T244" s="285"/>
      <c r="U244" s="285"/>
      <c r="V244" s="285"/>
      <c r="W244" s="285"/>
      <c r="X244" s="285"/>
      <c r="Y244" s="285"/>
      <c r="Z244" s="285"/>
    </row>
    <row r="245" ht="12.75" customHeight="1">
      <c r="A245" s="285"/>
      <c r="B245" s="75"/>
      <c r="C245" s="75"/>
      <c r="D245" s="321"/>
      <c r="E245" s="321"/>
      <c r="F245" s="322"/>
      <c r="G245" s="75"/>
      <c r="H245" s="321"/>
      <c r="I245" s="321"/>
      <c r="J245" s="323"/>
      <c r="K245" s="324"/>
      <c r="L245" s="285"/>
      <c r="M245" s="285"/>
      <c r="N245" s="285"/>
      <c r="O245" s="325"/>
      <c r="P245" s="285"/>
      <c r="Q245" s="325"/>
      <c r="R245" s="325"/>
      <c r="S245" s="285"/>
      <c r="T245" s="285"/>
      <c r="U245" s="285"/>
      <c r="V245" s="285"/>
      <c r="W245" s="285"/>
      <c r="X245" s="285"/>
      <c r="Y245" s="285"/>
      <c r="Z245" s="285"/>
    </row>
    <row r="246" ht="12.75" customHeight="1">
      <c r="A246" s="285"/>
      <c r="B246" s="75"/>
      <c r="C246" s="75"/>
      <c r="D246" s="321"/>
      <c r="E246" s="321"/>
      <c r="F246" s="322"/>
      <c r="G246" s="75"/>
      <c r="H246" s="321"/>
      <c r="I246" s="321"/>
      <c r="J246" s="323"/>
      <c r="K246" s="324"/>
      <c r="L246" s="285"/>
      <c r="M246" s="285"/>
      <c r="N246" s="285"/>
      <c r="O246" s="325"/>
      <c r="P246" s="285"/>
      <c r="Q246" s="325"/>
      <c r="R246" s="325"/>
      <c r="S246" s="285"/>
      <c r="T246" s="285"/>
      <c r="U246" s="285"/>
      <c r="V246" s="285"/>
      <c r="W246" s="285"/>
      <c r="X246" s="285"/>
      <c r="Y246" s="285"/>
      <c r="Z246" s="285"/>
    </row>
    <row r="247" ht="12.75" customHeight="1">
      <c r="A247" s="285"/>
      <c r="B247" s="75"/>
      <c r="C247" s="75"/>
      <c r="D247" s="321"/>
      <c r="E247" s="321"/>
      <c r="F247" s="322"/>
      <c r="G247" s="75"/>
      <c r="H247" s="321"/>
      <c r="I247" s="321"/>
      <c r="J247" s="323"/>
      <c r="K247" s="324"/>
      <c r="L247" s="285"/>
      <c r="M247" s="285"/>
      <c r="N247" s="285"/>
      <c r="O247" s="325"/>
      <c r="P247" s="285"/>
      <c r="Q247" s="325"/>
      <c r="R247" s="325"/>
      <c r="S247" s="285"/>
      <c r="T247" s="285"/>
      <c r="U247" s="285"/>
      <c r="V247" s="285"/>
      <c r="W247" s="285"/>
      <c r="X247" s="285"/>
      <c r="Y247" s="285"/>
      <c r="Z247" s="285"/>
    </row>
    <row r="248" ht="12.75" customHeight="1">
      <c r="A248" s="285"/>
      <c r="B248" s="75"/>
      <c r="C248" s="75"/>
      <c r="D248" s="321"/>
      <c r="E248" s="321"/>
      <c r="F248" s="322"/>
      <c r="G248" s="75"/>
      <c r="H248" s="321"/>
      <c r="I248" s="321"/>
      <c r="J248" s="323"/>
      <c r="K248" s="324"/>
      <c r="L248" s="285"/>
      <c r="M248" s="285"/>
      <c r="N248" s="285"/>
      <c r="O248" s="325"/>
      <c r="P248" s="285"/>
      <c r="Q248" s="325"/>
      <c r="R248" s="325"/>
      <c r="S248" s="285"/>
      <c r="T248" s="285"/>
      <c r="U248" s="285"/>
      <c r="V248" s="285"/>
      <c r="W248" s="285"/>
      <c r="X248" s="285"/>
      <c r="Y248" s="285"/>
      <c r="Z248" s="285"/>
    </row>
    <row r="249" ht="12.75" customHeight="1">
      <c r="A249" s="285"/>
      <c r="B249" s="75"/>
      <c r="C249" s="75"/>
      <c r="D249" s="321"/>
      <c r="E249" s="321"/>
      <c r="F249" s="322"/>
      <c r="G249" s="75"/>
      <c r="H249" s="321"/>
      <c r="I249" s="321"/>
      <c r="J249" s="323"/>
      <c r="K249" s="324"/>
      <c r="L249" s="285"/>
      <c r="M249" s="285"/>
      <c r="N249" s="285"/>
      <c r="O249" s="325"/>
      <c r="P249" s="285"/>
      <c r="Q249" s="325"/>
      <c r="R249" s="325"/>
      <c r="S249" s="285"/>
      <c r="T249" s="285"/>
      <c r="U249" s="285"/>
      <c r="V249" s="285"/>
      <c r="W249" s="285"/>
      <c r="X249" s="285"/>
      <c r="Y249" s="285"/>
      <c r="Z249" s="285"/>
    </row>
    <row r="250" ht="12.75" customHeight="1">
      <c r="A250" s="285"/>
      <c r="B250" s="75"/>
      <c r="C250" s="75"/>
      <c r="D250" s="321"/>
      <c r="E250" s="321"/>
      <c r="F250" s="322"/>
      <c r="G250" s="75"/>
      <c r="H250" s="321"/>
      <c r="I250" s="321"/>
      <c r="J250" s="323"/>
      <c r="K250" s="324"/>
      <c r="L250" s="285"/>
      <c r="M250" s="285"/>
      <c r="N250" s="285"/>
      <c r="O250" s="325"/>
      <c r="P250" s="285"/>
      <c r="Q250" s="325"/>
      <c r="R250" s="325"/>
      <c r="S250" s="285"/>
      <c r="T250" s="285"/>
      <c r="U250" s="285"/>
      <c r="V250" s="285"/>
      <c r="W250" s="285"/>
      <c r="X250" s="285"/>
      <c r="Y250" s="285"/>
      <c r="Z250" s="285"/>
    </row>
    <row r="251" ht="12.75" customHeight="1">
      <c r="A251" s="285"/>
      <c r="B251" s="75"/>
      <c r="C251" s="75"/>
      <c r="D251" s="321"/>
      <c r="E251" s="321"/>
      <c r="F251" s="322"/>
      <c r="G251" s="75"/>
      <c r="H251" s="321"/>
      <c r="I251" s="321"/>
      <c r="J251" s="323"/>
      <c r="K251" s="324"/>
      <c r="L251" s="285"/>
      <c r="M251" s="285"/>
      <c r="N251" s="285"/>
      <c r="O251" s="325"/>
      <c r="P251" s="285"/>
      <c r="Q251" s="325"/>
      <c r="R251" s="325"/>
      <c r="S251" s="285"/>
      <c r="T251" s="285"/>
      <c r="U251" s="285"/>
      <c r="V251" s="285"/>
      <c r="W251" s="285"/>
      <c r="X251" s="285"/>
      <c r="Y251" s="285"/>
      <c r="Z251" s="285"/>
    </row>
    <row r="252" ht="12.75" customHeight="1">
      <c r="A252" s="285"/>
      <c r="B252" s="75"/>
      <c r="C252" s="75"/>
      <c r="D252" s="321"/>
      <c r="E252" s="321"/>
      <c r="F252" s="322"/>
      <c r="G252" s="75"/>
      <c r="H252" s="321"/>
      <c r="I252" s="321"/>
      <c r="J252" s="323"/>
      <c r="K252" s="324"/>
      <c r="L252" s="285"/>
      <c r="M252" s="285"/>
      <c r="N252" s="285"/>
      <c r="O252" s="325"/>
      <c r="P252" s="285"/>
      <c r="Q252" s="325"/>
      <c r="R252" s="325"/>
      <c r="S252" s="285"/>
      <c r="T252" s="285"/>
      <c r="U252" s="285"/>
      <c r="V252" s="285"/>
      <c r="W252" s="285"/>
      <c r="X252" s="285"/>
      <c r="Y252" s="285"/>
      <c r="Z252" s="285"/>
    </row>
    <row r="253" ht="12.75" customHeight="1">
      <c r="A253" s="285"/>
      <c r="B253" s="75"/>
      <c r="C253" s="75"/>
      <c r="D253" s="321"/>
      <c r="E253" s="321"/>
      <c r="F253" s="322"/>
      <c r="G253" s="75"/>
      <c r="H253" s="321"/>
      <c r="I253" s="321"/>
      <c r="J253" s="323"/>
      <c r="K253" s="324"/>
      <c r="L253" s="285"/>
      <c r="M253" s="285"/>
      <c r="N253" s="285"/>
      <c r="O253" s="325"/>
      <c r="P253" s="285"/>
      <c r="Q253" s="325"/>
      <c r="R253" s="325"/>
      <c r="S253" s="285"/>
      <c r="T253" s="285"/>
      <c r="U253" s="285"/>
      <c r="V253" s="285"/>
      <c r="W253" s="285"/>
      <c r="X253" s="285"/>
      <c r="Y253" s="285"/>
      <c r="Z253" s="285"/>
    </row>
    <row r="254" ht="12.75" customHeight="1">
      <c r="A254" s="285"/>
      <c r="B254" s="75"/>
      <c r="C254" s="75"/>
      <c r="D254" s="321"/>
      <c r="E254" s="321"/>
      <c r="F254" s="322"/>
      <c r="G254" s="75"/>
      <c r="H254" s="321"/>
      <c r="I254" s="321"/>
      <c r="J254" s="323"/>
      <c r="K254" s="324"/>
      <c r="L254" s="285"/>
      <c r="M254" s="285"/>
      <c r="N254" s="285"/>
      <c r="O254" s="325"/>
      <c r="P254" s="285"/>
      <c r="Q254" s="325"/>
      <c r="R254" s="325"/>
      <c r="S254" s="285"/>
      <c r="T254" s="285"/>
      <c r="U254" s="285"/>
      <c r="V254" s="285"/>
      <c r="W254" s="285"/>
      <c r="X254" s="285"/>
      <c r="Y254" s="285"/>
      <c r="Z254" s="285"/>
    </row>
    <row r="255" ht="12.75" customHeight="1">
      <c r="A255" s="285"/>
      <c r="B255" s="75"/>
      <c r="C255" s="75"/>
      <c r="D255" s="321"/>
      <c r="E255" s="321"/>
      <c r="F255" s="322"/>
      <c r="G255" s="75"/>
      <c r="H255" s="321"/>
      <c r="I255" s="321"/>
      <c r="J255" s="323"/>
      <c r="K255" s="324"/>
      <c r="L255" s="285"/>
      <c r="M255" s="285"/>
      <c r="N255" s="285"/>
      <c r="O255" s="325"/>
      <c r="P255" s="285"/>
      <c r="Q255" s="325"/>
      <c r="R255" s="325"/>
      <c r="S255" s="285"/>
      <c r="T255" s="285"/>
      <c r="U255" s="285"/>
      <c r="V255" s="285"/>
      <c r="W255" s="285"/>
      <c r="X255" s="285"/>
      <c r="Y255" s="285"/>
      <c r="Z255" s="285"/>
    </row>
    <row r="256" ht="12.75" customHeight="1">
      <c r="A256" s="285"/>
      <c r="B256" s="75"/>
      <c r="C256" s="75"/>
      <c r="D256" s="321"/>
      <c r="E256" s="321"/>
      <c r="F256" s="322"/>
      <c r="G256" s="75"/>
      <c r="H256" s="321"/>
      <c r="I256" s="321"/>
      <c r="J256" s="323"/>
      <c r="K256" s="324"/>
      <c r="L256" s="285"/>
      <c r="M256" s="285"/>
      <c r="N256" s="285"/>
      <c r="O256" s="325"/>
      <c r="P256" s="285"/>
      <c r="Q256" s="325"/>
      <c r="R256" s="325"/>
      <c r="S256" s="285"/>
      <c r="T256" s="285"/>
      <c r="U256" s="285"/>
      <c r="V256" s="285"/>
      <c r="W256" s="285"/>
      <c r="X256" s="285"/>
      <c r="Y256" s="285"/>
      <c r="Z256" s="285"/>
    </row>
    <row r="257" ht="12.75" customHeight="1">
      <c r="A257" s="285"/>
      <c r="B257" s="75"/>
      <c r="C257" s="75"/>
      <c r="D257" s="321"/>
      <c r="E257" s="321"/>
      <c r="F257" s="322"/>
      <c r="G257" s="75"/>
      <c r="H257" s="321"/>
      <c r="I257" s="321"/>
      <c r="J257" s="323"/>
      <c r="K257" s="324"/>
      <c r="L257" s="285"/>
      <c r="M257" s="285"/>
      <c r="N257" s="285"/>
      <c r="O257" s="325"/>
      <c r="P257" s="285"/>
      <c r="Q257" s="325"/>
      <c r="R257" s="325"/>
      <c r="S257" s="285"/>
      <c r="T257" s="285"/>
      <c r="U257" s="285"/>
      <c r="V257" s="285"/>
      <c r="W257" s="285"/>
      <c r="X257" s="285"/>
      <c r="Y257" s="285"/>
      <c r="Z257" s="285"/>
    </row>
    <row r="258" ht="12.75" customHeight="1">
      <c r="A258" s="285"/>
      <c r="B258" s="75"/>
      <c r="C258" s="75"/>
      <c r="D258" s="321"/>
      <c r="E258" s="321"/>
      <c r="F258" s="322"/>
      <c r="G258" s="75"/>
      <c r="H258" s="321"/>
      <c r="I258" s="321"/>
      <c r="J258" s="323"/>
      <c r="K258" s="324"/>
      <c r="L258" s="285"/>
      <c r="M258" s="285"/>
      <c r="N258" s="285"/>
      <c r="O258" s="325"/>
      <c r="P258" s="285"/>
      <c r="Q258" s="325"/>
      <c r="R258" s="325"/>
      <c r="S258" s="285"/>
      <c r="T258" s="285"/>
      <c r="U258" s="285"/>
      <c r="V258" s="285"/>
      <c r="W258" s="285"/>
      <c r="X258" s="285"/>
      <c r="Y258" s="285"/>
      <c r="Z258" s="285"/>
    </row>
    <row r="259" ht="12.75" customHeight="1">
      <c r="A259" s="285"/>
      <c r="B259" s="75"/>
      <c r="C259" s="75"/>
      <c r="D259" s="321"/>
      <c r="E259" s="321"/>
      <c r="F259" s="322"/>
      <c r="G259" s="75"/>
      <c r="H259" s="321"/>
      <c r="I259" s="321"/>
      <c r="J259" s="323"/>
      <c r="K259" s="324"/>
      <c r="L259" s="285"/>
      <c r="M259" s="285"/>
      <c r="N259" s="285"/>
      <c r="O259" s="325"/>
      <c r="P259" s="285"/>
      <c r="Q259" s="325"/>
      <c r="R259" s="325"/>
      <c r="S259" s="285"/>
      <c r="T259" s="285"/>
      <c r="U259" s="285"/>
      <c r="V259" s="285"/>
      <c r="W259" s="285"/>
      <c r="X259" s="285"/>
      <c r="Y259" s="285"/>
      <c r="Z259" s="285"/>
    </row>
    <row r="260" ht="12.75" customHeight="1">
      <c r="A260" s="285"/>
      <c r="B260" s="75"/>
      <c r="C260" s="75"/>
      <c r="D260" s="321"/>
      <c r="E260" s="321"/>
      <c r="F260" s="322"/>
      <c r="G260" s="75"/>
      <c r="H260" s="321"/>
      <c r="I260" s="321"/>
      <c r="J260" s="323"/>
      <c r="K260" s="324"/>
      <c r="L260" s="285"/>
      <c r="M260" s="285"/>
      <c r="N260" s="285"/>
      <c r="O260" s="325"/>
      <c r="P260" s="285"/>
      <c r="Q260" s="325"/>
      <c r="R260" s="325"/>
      <c r="S260" s="285"/>
      <c r="T260" s="285"/>
      <c r="U260" s="285"/>
      <c r="V260" s="285"/>
      <c r="W260" s="285"/>
      <c r="X260" s="285"/>
      <c r="Y260" s="285"/>
      <c r="Z260" s="285"/>
    </row>
    <row r="261" ht="12.75" customHeight="1">
      <c r="A261" s="285"/>
      <c r="B261" s="75"/>
      <c r="C261" s="75"/>
      <c r="D261" s="321"/>
      <c r="E261" s="321"/>
      <c r="F261" s="322"/>
      <c r="G261" s="75"/>
      <c r="H261" s="321"/>
      <c r="I261" s="321"/>
      <c r="J261" s="323"/>
      <c r="K261" s="324"/>
      <c r="L261" s="285"/>
      <c r="M261" s="285"/>
      <c r="N261" s="285"/>
      <c r="O261" s="325"/>
      <c r="P261" s="285"/>
      <c r="Q261" s="325"/>
      <c r="R261" s="325"/>
      <c r="S261" s="285"/>
      <c r="T261" s="285"/>
      <c r="U261" s="285"/>
      <c r="V261" s="285"/>
      <c r="W261" s="285"/>
      <c r="X261" s="285"/>
      <c r="Y261" s="285"/>
      <c r="Z261" s="285"/>
    </row>
    <row r="262" ht="12.75" customHeight="1">
      <c r="A262" s="285"/>
      <c r="B262" s="75"/>
      <c r="C262" s="75"/>
      <c r="D262" s="321"/>
      <c r="E262" s="321"/>
      <c r="F262" s="322"/>
      <c r="G262" s="75"/>
      <c r="H262" s="321"/>
      <c r="I262" s="321"/>
      <c r="J262" s="323"/>
      <c r="K262" s="324"/>
      <c r="L262" s="285"/>
      <c r="M262" s="285"/>
      <c r="N262" s="285"/>
      <c r="O262" s="325"/>
      <c r="P262" s="285"/>
      <c r="Q262" s="325"/>
      <c r="R262" s="325"/>
      <c r="S262" s="285"/>
      <c r="T262" s="285"/>
      <c r="U262" s="285"/>
      <c r="V262" s="285"/>
      <c r="W262" s="285"/>
      <c r="X262" s="285"/>
      <c r="Y262" s="285"/>
      <c r="Z262" s="285"/>
    </row>
    <row r="263" ht="12.75" customHeight="1">
      <c r="A263" s="285"/>
      <c r="B263" s="75"/>
      <c r="C263" s="75"/>
      <c r="D263" s="321"/>
      <c r="E263" s="321"/>
      <c r="F263" s="322"/>
      <c r="G263" s="75"/>
      <c r="H263" s="321"/>
      <c r="I263" s="321"/>
      <c r="J263" s="323"/>
      <c r="K263" s="324"/>
      <c r="L263" s="285"/>
      <c r="M263" s="285"/>
      <c r="N263" s="285"/>
      <c r="O263" s="325"/>
      <c r="P263" s="285"/>
      <c r="Q263" s="325"/>
      <c r="R263" s="325"/>
      <c r="S263" s="285"/>
      <c r="T263" s="285"/>
      <c r="U263" s="285"/>
      <c r="V263" s="285"/>
      <c r="W263" s="285"/>
      <c r="X263" s="285"/>
      <c r="Y263" s="285"/>
      <c r="Z263" s="285"/>
    </row>
    <row r="264" ht="12.75" customHeight="1">
      <c r="A264" s="285"/>
      <c r="B264" s="75"/>
      <c r="C264" s="75"/>
      <c r="D264" s="321"/>
      <c r="E264" s="321"/>
      <c r="F264" s="322"/>
      <c r="G264" s="75"/>
      <c r="H264" s="321"/>
      <c r="I264" s="321"/>
      <c r="J264" s="323"/>
      <c r="K264" s="324"/>
      <c r="L264" s="285"/>
      <c r="M264" s="285"/>
      <c r="N264" s="285"/>
      <c r="O264" s="325"/>
      <c r="P264" s="285"/>
      <c r="Q264" s="325"/>
      <c r="R264" s="325"/>
      <c r="S264" s="285"/>
      <c r="T264" s="285"/>
      <c r="U264" s="285"/>
      <c r="V264" s="285"/>
      <c r="W264" s="285"/>
      <c r="X264" s="285"/>
      <c r="Y264" s="285"/>
      <c r="Z264" s="285"/>
    </row>
    <row r="265" ht="12.75" customHeight="1">
      <c r="A265" s="285"/>
      <c r="B265" s="75"/>
      <c r="C265" s="75"/>
      <c r="D265" s="321"/>
      <c r="E265" s="321"/>
      <c r="F265" s="322"/>
      <c r="G265" s="75"/>
      <c r="H265" s="321"/>
      <c r="I265" s="321"/>
      <c r="J265" s="323"/>
      <c r="K265" s="324"/>
      <c r="L265" s="285"/>
      <c r="M265" s="285"/>
      <c r="N265" s="285"/>
      <c r="O265" s="325"/>
      <c r="P265" s="285"/>
      <c r="Q265" s="325"/>
      <c r="R265" s="325"/>
      <c r="S265" s="285"/>
      <c r="T265" s="285"/>
      <c r="U265" s="285"/>
      <c r="V265" s="285"/>
      <c r="W265" s="285"/>
      <c r="X265" s="285"/>
      <c r="Y265" s="285"/>
      <c r="Z265" s="285"/>
    </row>
    <row r="266" ht="12.75" customHeight="1">
      <c r="A266" s="285"/>
      <c r="B266" s="75"/>
      <c r="C266" s="75"/>
      <c r="D266" s="321"/>
      <c r="E266" s="321"/>
      <c r="F266" s="322"/>
      <c r="G266" s="75"/>
      <c r="H266" s="321"/>
      <c r="I266" s="321"/>
      <c r="J266" s="323"/>
      <c r="K266" s="324"/>
      <c r="L266" s="285"/>
      <c r="M266" s="285"/>
      <c r="N266" s="285"/>
      <c r="O266" s="325"/>
      <c r="P266" s="285"/>
      <c r="Q266" s="325"/>
      <c r="R266" s="325"/>
      <c r="S266" s="285"/>
      <c r="T266" s="285"/>
      <c r="U266" s="285"/>
      <c r="V266" s="285"/>
      <c r="W266" s="285"/>
      <c r="X266" s="285"/>
      <c r="Y266" s="285"/>
      <c r="Z266" s="285"/>
    </row>
    <row r="267" ht="12.75" customHeight="1">
      <c r="A267" s="285"/>
      <c r="B267" s="75"/>
      <c r="C267" s="75"/>
      <c r="D267" s="321"/>
      <c r="E267" s="321"/>
      <c r="F267" s="322"/>
      <c r="G267" s="75"/>
      <c r="H267" s="321"/>
      <c r="I267" s="321"/>
      <c r="J267" s="323"/>
      <c r="K267" s="324"/>
      <c r="L267" s="285"/>
      <c r="M267" s="285"/>
      <c r="N267" s="285"/>
      <c r="O267" s="325"/>
      <c r="P267" s="285"/>
      <c r="Q267" s="325"/>
      <c r="R267" s="325"/>
      <c r="S267" s="285"/>
      <c r="T267" s="285"/>
      <c r="U267" s="285"/>
      <c r="V267" s="285"/>
      <c r="W267" s="285"/>
      <c r="X267" s="285"/>
      <c r="Y267" s="285"/>
      <c r="Z267" s="285"/>
    </row>
    <row r="268" ht="12.75" customHeight="1">
      <c r="A268" s="285"/>
      <c r="B268" s="75"/>
      <c r="C268" s="75"/>
      <c r="D268" s="321"/>
      <c r="E268" s="321"/>
      <c r="F268" s="322"/>
      <c r="G268" s="75"/>
      <c r="H268" s="321"/>
      <c r="I268" s="321"/>
      <c r="J268" s="323"/>
      <c r="K268" s="324"/>
      <c r="L268" s="285"/>
      <c r="M268" s="285"/>
      <c r="N268" s="285"/>
      <c r="O268" s="325"/>
      <c r="P268" s="285"/>
      <c r="Q268" s="325"/>
      <c r="R268" s="325"/>
      <c r="S268" s="285"/>
      <c r="T268" s="285"/>
      <c r="U268" s="285"/>
      <c r="V268" s="285"/>
      <c r="W268" s="285"/>
      <c r="X268" s="285"/>
      <c r="Y268" s="285"/>
      <c r="Z268" s="285"/>
    </row>
    <row r="269" ht="12.75" customHeight="1">
      <c r="A269" s="285"/>
      <c r="B269" s="75"/>
      <c r="C269" s="75"/>
      <c r="D269" s="321"/>
      <c r="E269" s="321"/>
      <c r="F269" s="322"/>
      <c r="G269" s="75"/>
      <c r="H269" s="321"/>
      <c r="I269" s="321"/>
      <c r="J269" s="323"/>
      <c r="K269" s="324"/>
      <c r="L269" s="285"/>
      <c r="M269" s="285"/>
      <c r="N269" s="285"/>
      <c r="O269" s="325"/>
      <c r="P269" s="285"/>
      <c r="Q269" s="325"/>
      <c r="R269" s="325"/>
      <c r="S269" s="285"/>
      <c r="T269" s="285"/>
      <c r="U269" s="285"/>
      <c r="V269" s="285"/>
      <c r="W269" s="285"/>
      <c r="X269" s="285"/>
      <c r="Y269" s="285"/>
      <c r="Z269" s="285"/>
    </row>
    <row r="270" ht="12.75" customHeight="1">
      <c r="A270" s="285"/>
      <c r="B270" s="75"/>
      <c r="C270" s="75"/>
      <c r="D270" s="321"/>
      <c r="E270" s="321"/>
      <c r="F270" s="322"/>
      <c r="G270" s="75"/>
      <c r="H270" s="321"/>
      <c r="I270" s="321"/>
      <c r="J270" s="323"/>
      <c r="K270" s="324"/>
      <c r="L270" s="285"/>
      <c r="M270" s="285"/>
      <c r="N270" s="285"/>
      <c r="O270" s="325"/>
      <c r="P270" s="285"/>
      <c r="Q270" s="325"/>
      <c r="R270" s="325"/>
      <c r="S270" s="285"/>
      <c r="T270" s="285"/>
      <c r="U270" s="285"/>
      <c r="V270" s="285"/>
      <c r="W270" s="285"/>
      <c r="X270" s="285"/>
      <c r="Y270" s="285"/>
      <c r="Z270" s="285"/>
    </row>
    <row r="271" ht="12.75" customHeight="1">
      <c r="A271" s="285"/>
      <c r="B271" s="75"/>
      <c r="C271" s="75"/>
      <c r="D271" s="321"/>
      <c r="E271" s="321"/>
      <c r="F271" s="322"/>
      <c r="G271" s="75"/>
      <c r="H271" s="321"/>
      <c r="I271" s="321"/>
      <c r="J271" s="323"/>
      <c r="K271" s="324"/>
      <c r="L271" s="285"/>
      <c r="M271" s="285"/>
      <c r="N271" s="285"/>
      <c r="O271" s="325"/>
      <c r="P271" s="285"/>
      <c r="Q271" s="325"/>
      <c r="R271" s="325"/>
      <c r="S271" s="285"/>
      <c r="T271" s="285"/>
      <c r="U271" s="285"/>
      <c r="V271" s="285"/>
      <c r="W271" s="285"/>
      <c r="X271" s="285"/>
      <c r="Y271" s="285"/>
      <c r="Z271" s="285"/>
    </row>
    <row r="272" ht="12.75" customHeight="1">
      <c r="A272" s="285"/>
      <c r="B272" s="75"/>
      <c r="C272" s="75"/>
      <c r="D272" s="321"/>
      <c r="E272" s="321"/>
      <c r="F272" s="322"/>
      <c r="G272" s="75"/>
      <c r="H272" s="321"/>
      <c r="I272" s="321"/>
      <c r="J272" s="323"/>
      <c r="K272" s="324"/>
      <c r="L272" s="285"/>
      <c r="M272" s="285"/>
      <c r="N272" s="285"/>
      <c r="O272" s="325"/>
      <c r="P272" s="285"/>
      <c r="Q272" s="325"/>
      <c r="R272" s="325"/>
      <c r="S272" s="285"/>
      <c r="T272" s="285"/>
      <c r="U272" s="285"/>
      <c r="V272" s="285"/>
      <c r="W272" s="285"/>
      <c r="X272" s="285"/>
      <c r="Y272" s="285"/>
      <c r="Z272" s="285"/>
    </row>
    <row r="273" ht="12.75" customHeight="1">
      <c r="A273" s="285"/>
      <c r="B273" s="75"/>
      <c r="C273" s="75"/>
      <c r="D273" s="321"/>
      <c r="E273" s="321"/>
      <c r="F273" s="322"/>
      <c r="G273" s="75"/>
      <c r="H273" s="321"/>
      <c r="I273" s="321"/>
      <c r="J273" s="323"/>
      <c r="K273" s="324"/>
      <c r="L273" s="285"/>
      <c r="M273" s="285"/>
      <c r="N273" s="285"/>
      <c r="O273" s="325"/>
      <c r="P273" s="285"/>
      <c r="Q273" s="325"/>
      <c r="R273" s="325"/>
      <c r="S273" s="285"/>
      <c r="T273" s="285"/>
      <c r="U273" s="285"/>
      <c r="V273" s="285"/>
      <c r="W273" s="285"/>
      <c r="X273" s="285"/>
      <c r="Y273" s="285"/>
      <c r="Z273" s="285"/>
    </row>
    <row r="274" ht="12.75" customHeight="1">
      <c r="A274" s="285"/>
      <c r="B274" s="75"/>
      <c r="C274" s="75"/>
      <c r="D274" s="321"/>
      <c r="E274" s="321"/>
      <c r="F274" s="322"/>
      <c r="G274" s="75"/>
      <c r="H274" s="321"/>
      <c r="I274" s="321"/>
      <c r="J274" s="323"/>
      <c r="K274" s="324"/>
      <c r="L274" s="285"/>
      <c r="M274" s="285"/>
      <c r="N274" s="285"/>
      <c r="O274" s="325"/>
      <c r="P274" s="285"/>
      <c r="Q274" s="325"/>
      <c r="R274" s="325"/>
      <c r="S274" s="285"/>
      <c r="T274" s="285"/>
      <c r="U274" s="285"/>
      <c r="V274" s="285"/>
      <c r="W274" s="285"/>
      <c r="X274" s="285"/>
      <c r="Y274" s="285"/>
      <c r="Z274" s="285"/>
    </row>
    <row r="275" ht="12.75" customHeight="1">
      <c r="A275" s="285"/>
      <c r="B275" s="75"/>
      <c r="C275" s="75"/>
      <c r="D275" s="321"/>
      <c r="E275" s="321"/>
      <c r="F275" s="322"/>
      <c r="G275" s="75"/>
      <c r="H275" s="321"/>
      <c r="I275" s="321"/>
      <c r="J275" s="323"/>
      <c r="K275" s="324"/>
      <c r="L275" s="285"/>
      <c r="M275" s="285"/>
      <c r="N275" s="285"/>
      <c r="O275" s="325"/>
      <c r="P275" s="285"/>
      <c r="Q275" s="325"/>
      <c r="R275" s="325"/>
      <c r="S275" s="285"/>
      <c r="T275" s="285"/>
      <c r="U275" s="285"/>
      <c r="V275" s="285"/>
      <c r="W275" s="285"/>
      <c r="X275" s="285"/>
      <c r="Y275" s="285"/>
      <c r="Z275" s="285"/>
    </row>
    <row r="276" ht="12.75" customHeight="1">
      <c r="A276" s="285"/>
      <c r="B276" s="75"/>
      <c r="C276" s="75"/>
      <c r="D276" s="321"/>
      <c r="E276" s="321"/>
      <c r="F276" s="322"/>
      <c r="G276" s="75"/>
      <c r="H276" s="321"/>
      <c r="I276" s="321"/>
      <c r="J276" s="323"/>
      <c r="K276" s="324"/>
      <c r="L276" s="285"/>
      <c r="M276" s="285"/>
      <c r="N276" s="285"/>
      <c r="O276" s="325"/>
      <c r="P276" s="285"/>
      <c r="Q276" s="325"/>
      <c r="R276" s="325"/>
      <c r="S276" s="285"/>
      <c r="T276" s="285"/>
      <c r="U276" s="285"/>
      <c r="V276" s="285"/>
      <c r="W276" s="285"/>
      <c r="X276" s="285"/>
      <c r="Y276" s="285"/>
      <c r="Z276" s="285"/>
    </row>
    <row r="277" ht="12.75" customHeight="1">
      <c r="A277" s="285"/>
      <c r="B277" s="75"/>
      <c r="C277" s="75"/>
      <c r="D277" s="321"/>
      <c r="E277" s="321"/>
      <c r="F277" s="322"/>
      <c r="G277" s="75"/>
      <c r="H277" s="321"/>
      <c r="I277" s="321"/>
      <c r="J277" s="323"/>
      <c r="K277" s="324"/>
      <c r="L277" s="285"/>
      <c r="M277" s="285"/>
      <c r="N277" s="285"/>
      <c r="O277" s="325"/>
      <c r="P277" s="285"/>
      <c r="Q277" s="325"/>
      <c r="R277" s="325"/>
      <c r="S277" s="285"/>
      <c r="T277" s="285"/>
      <c r="U277" s="285"/>
      <c r="V277" s="285"/>
      <c r="W277" s="285"/>
      <c r="X277" s="285"/>
      <c r="Y277" s="285"/>
      <c r="Z277" s="285"/>
    </row>
    <row r="278" ht="12.75" customHeight="1">
      <c r="A278" s="285"/>
      <c r="B278" s="75"/>
      <c r="C278" s="75"/>
      <c r="D278" s="321"/>
      <c r="E278" s="321"/>
      <c r="F278" s="322"/>
      <c r="G278" s="75"/>
      <c r="H278" s="321"/>
      <c r="I278" s="321"/>
      <c r="J278" s="323"/>
      <c r="K278" s="324"/>
      <c r="L278" s="285"/>
      <c r="M278" s="285"/>
      <c r="N278" s="285"/>
      <c r="O278" s="325"/>
      <c r="P278" s="285"/>
      <c r="Q278" s="325"/>
      <c r="R278" s="325"/>
      <c r="S278" s="285"/>
      <c r="T278" s="285"/>
      <c r="U278" s="285"/>
      <c r="V278" s="285"/>
      <c r="W278" s="285"/>
      <c r="X278" s="285"/>
      <c r="Y278" s="285"/>
      <c r="Z278" s="285"/>
    </row>
    <row r="279" ht="12.75" customHeight="1">
      <c r="A279" s="285"/>
      <c r="B279" s="75"/>
      <c r="C279" s="75"/>
      <c r="D279" s="321"/>
      <c r="E279" s="321"/>
      <c r="F279" s="322"/>
      <c r="G279" s="75"/>
      <c r="H279" s="321"/>
      <c r="I279" s="321"/>
      <c r="J279" s="323"/>
      <c r="K279" s="324"/>
      <c r="L279" s="285"/>
      <c r="M279" s="285"/>
      <c r="N279" s="285"/>
      <c r="O279" s="325"/>
      <c r="P279" s="285"/>
      <c r="Q279" s="325"/>
      <c r="R279" s="325"/>
      <c r="S279" s="285"/>
      <c r="T279" s="285"/>
      <c r="U279" s="285"/>
      <c r="V279" s="285"/>
      <c r="W279" s="285"/>
      <c r="X279" s="285"/>
      <c r="Y279" s="285"/>
      <c r="Z279" s="285"/>
    </row>
    <row r="280" ht="12.75" customHeight="1">
      <c r="A280" s="285"/>
      <c r="B280" s="75"/>
      <c r="C280" s="75"/>
      <c r="D280" s="321"/>
      <c r="E280" s="321"/>
      <c r="F280" s="322"/>
      <c r="G280" s="75"/>
      <c r="H280" s="321"/>
      <c r="I280" s="321"/>
      <c r="J280" s="323"/>
      <c r="K280" s="324"/>
      <c r="L280" s="285"/>
      <c r="M280" s="285"/>
      <c r="N280" s="285"/>
      <c r="O280" s="325"/>
      <c r="P280" s="285"/>
      <c r="Q280" s="325"/>
      <c r="R280" s="325"/>
      <c r="S280" s="285"/>
      <c r="T280" s="285"/>
      <c r="U280" s="285"/>
      <c r="V280" s="285"/>
      <c r="W280" s="285"/>
      <c r="X280" s="285"/>
      <c r="Y280" s="285"/>
      <c r="Z280" s="285"/>
    </row>
    <row r="281" ht="12.75" customHeight="1">
      <c r="A281" s="285"/>
      <c r="B281" s="75"/>
      <c r="C281" s="75"/>
      <c r="D281" s="321"/>
      <c r="E281" s="321"/>
      <c r="F281" s="322"/>
      <c r="G281" s="75"/>
      <c r="H281" s="321"/>
      <c r="I281" s="321"/>
      <c r="J281" s="323"/>
      <c r="K281" s="324"/>
      <c r="L281" s="285"/>
      <c r="M281" s="285"/>
      <c r="N281" s="285"/>
      <c r="O281" s="325"/>
      <c r="P281" s="285"/>
      <c r="Q281" s="325"/>
      <c r="R281" s="325"/>
      <c r="S281" s="285"/>
      <c r="T281" s="285"/>
      <c r="U281" s="285"/>
      <c r="V281" s="285"/>
      <c r="W281" s="285"/>
      <c r="X281" s="285"/>
      <c r="Y281" s="285"/>
      <c r="Z281" s="285"/>
    </row>
    <row r="282" ht="12.75" customHeight="1">
      <c r="A282" s="285"/>
      <c r="B282" s="75"/>
      <c r="C282" s="75"/>
      <c r="D282" s="321"/>
      <c r="E282" s="321"/>
      <c r="F282" s="322"/>
      <c r="G282" s="75"/>
      <c r="H282" s="321"/>
      <c r="I282" s="321"/>
      <c r="J282" s="323"/>
      <c r="K282" s="324"/>
      <c r="L282" s="285"/>
      <c r="M282" s="285"/>
      <c r="N282" s="285"/>
      <c r="O282" s="325"/>
      <c r="P282" s="285"/>
      <c r="Q282" s="325"/>
      <c r="R282" s="325"/>
      <c r="S282" s="285"/>
      <c r="T282" s="285"/>
      <c r="U282" s="285"/>
      <c r="V282" s="285"/>
      <c r="W282" s="285"/>
      <c r="X282" s="285"/>
      <c r="Y282" s="285"/>
      <c r="Z282" s="285"/>
    </row>
    <row r="283" ht="12.75" customHeight="1">
      <c r="A283" s="285"/>
      <c r="B283" s="75"/>
      <c r="C283" s="75"/>
      <c r="D283" s="321"/>
      <c r="E283" s="321"/>
      <c r="F283" s="322"/>
      <c r="G283" s="75"/>
      <c r="H283" s="321"/>
      <c r="I283" s="321"/>
      <c r="J283" s="323"/>
      <c r="K283" s="324"/>
      <c r="L283" s="285"/>
      <c r="M283" s="285"/>
      <c r="N283" s="285"/>
      <c r="O283" s="325"/>
      <c r="P283" s="285"/>
      <c r="Q283" s="325"/>
      <c r="R283" s="325"/>
      <c r="S283" s="285"/>
      <c r="T283" s="285"/>
      <c r="U283" s="285"/>
      <c r="V283" s="285"/>
      <c r="W283" s="285"/>
      <c r="X283" s="285"/>
      <c r="Y283" s="285"/>
      <c r="Z283" s="285"/>
    </row>
    <row r="284" ht="12.75" customHeight="1">
      <c r="A284" s="285"/>
      <c r="B284" s="75"/>
      <c r="C284" s="75"/>
      <c r="D284" s="321"/>
      <c r="E284" s="321"/>
      <c r="F284" s="322"/>
      <c r="G284" s="75"/>
      <c r="H284" s="321"/>
      <c r="I284" s="321"/>
      <c r="J284" s="323"/>
      <c r="K284" s="324"/>
      <c r="L284" s="285"/>
      <c r="M284" s="285"/>
      <c r="N284" s="285"/>
      <c r="O284" s="325"/>
      <c r="P284" s="285"/>
      <c r="Q284" s="325"/>
      <c r="R284" s="325"/>
      <c r="S284" s="285"/>
      <c r="T284" s="285"/>
      <c r="U284" s="285"/>
      <c r="V284" s="285"/>
      <c r="W284" s="285"/>
      <c r="X284" s="285"/>
      <c r="Y284" s="285"/>
      <c r="Z284" s="285"/>
    </row>
    <row r="285" ht="12.75" customHeight="1">
      <c r="A285" s="285"/>
      <c r="B285" s="75"/>
      <c r="C285" s="75"/>
      <c r="D285" s="321"/>
      <c r="E285" s="321"/>
      <c r="F285" s="322"/>
      <c r="G285" s="75"/>
      <c r="H285" s="321"/>
      <c r="I285" s="321"/>
      <c r="J285" s="323"/>
      <c r="K285" s="324"/>
      <c r="L285" s="285"/>
      <c r="M285" s="285"/>
      <c r="N285" s="285"/>
      <c r="O285" s="325"/>
      <c r="P285" s="285"/>
      <c r="Q285" s="325"/>
      <c r="R285" s="325"/>
      <c r="S285" s="285"/>
      <c r="T285" s="285"/>
      <c r="U285" s="285"/>
      <c r="V285" s="285"/>
      <c r="W285" s="285"/>
      <c r="X285" s="285"/>
      <c r="Y285" s="285"/>
      <c r="Z285" s="285"/>
    </row>
    <row r="286" ht="12.75" customHeight="1">
      <c r="A286" s="285"/>
      <c r="B286" s="75"/>
      <c r="C286" s="75"/>
      <c r="D286" s="321"/>
      <c r="E286" s="321"/>
      <c r="F286" s="322"/>
      <c r="G286" s="75"/>
      <c r="H286" s="321"/>
      <c r="I286" s="321"/>
      <c r="J286" s="323"/>
      <c r="K286" s="324"/>
      <c r="L286" s="285"/>
      <c r="M286" s="285"/>
      <c r="N286" s="285"/>
      <c r="O286" s="325"/>
      <c r="P286" s="285"/>
      <c r="Q286" s="325"/>
      <c r="R286" s="325"/>
      <c r="S286" s="285"/>
      <c r="T286" s="285"/>
      <c r="U286" s="285"/>
      <c r="V286" s="285"/>
      <c r="W286" s="285"/>
      <c r="X286" s="285"/>
      <c r="Y286" s="285"/>
      <c r="Z286" s="285"/>
    </row>
    <row r="287" ht="12.75" customHeight="1">
      <c r="A287" s="285"/>
      <c r="B287" s="75"/>
      <c r="C287" s="75"/>
      <c r="D287" s="321"/>
      <c r="E287" s="321"/>
      <c r="F287" s="322"/>
      <c r="G287" s="75"/>
      <c r="H287" s="321"/>
      <c r="I287" s="321"/>
      <c r="J287" s="323"/>
      <c r="K287" s="324"/>
      <c r="L287" s="285"/>
      <c r="M287" s="285"/>
      <c r="N287" s="285"/>
      <c r="O287" s="325"/>
      <c r="P287" s="285"/>
      <c r="Q287" s="325"/>
      <c r="R287" s="325"/>
      <c r="S287" s="285"/>
      <c r="T287" s="285"/>
      <c r="U287" s="285"/>
      <c r="V287" s="285"/>
      <c r="W287" s="285"/>
      <c r="X287" s="285"/>
      <c r="Y287" s="285"/>
      <c r="Z287" s="285"/>
    </row>
    <row r="288" ht="12.75" customHeight="1">
      <c r="A288" s="285"/>
      <c r="B288" s="75"/>
      <c r="C288" s="75"/>
      <c r="D288" s="321"/>
      <c r="E288" s="321"/>
      <c r="F288" s="322"/>
      <c r="G288" s="75"/>
      <c r="H288" s="321"/>
      <c r="I288" s="321"/>
      <c r="J288" s="323"/>
      <c r="K288" s="324"/>
      <c r="L288" s="285"/>
      <c r="M288" s="285"/>
      <c r="N288" s="285"/>
      <c r="O288" s="325"/>
      <c r="P288" s="285"/>
      <c r="Q288" s="325"/>
      <c r="R288" s="325"/>
      <c r="S288" s="285"/>
      <c r="T288" s="285"/>
      <c r="U288" s="285"/>
      <c r="V288" s="285"/>
      <c r="W288" s="285"/>
      <c r="X288" s="285"/>
      <c r="Y288" s="285"/>
      <c r="Z288" s="285"/>
    </row>
    <row r="289" ht="12.75" customHeight="1">
      <c r="A289" s="285"/>
      <c r="B289" s="75"/>
      <c r="C289" s="75"/>
      <c r="D289" s="321"/>
      <c r="E289" s="321"/>
      <c r="F289" s="322"/>
      <c r="G289" s="75"/>
      <c r="H289" s="321"/>
      <c r="I289" s="321"/>
      <c r="J289" s="323"/>
      <c r="K289" s="324"/>
      <c r="L289" s="285"/>
      <c r="M289" s="285"/>
      <c r="N289" s="285"/>
      <c r="O289" s="325"/>
      <c r="P289" s="285"/>
      <c r="Q289" s="325"/>
      <c r="R289" s="325"/>
      <c r="S289" s="285"/>
      <c r="T289" s="285"/>
      <c r="U289" s="285"/>
      <c r="V289" s="285"/>
      <c r="W289" s="285"/>
      <c r="X289" s="285"/>
      <c r="Y289" s="285"/>
      <c r="Z289" s="285"/>
    </row>
    <row r="290" ht="12.75" customHeight="1">
      <c r="A290" s="285"/>
      <c r="B290" s="75"/>
      <c r="C290" s="75"/>
      <c r="D290" s="321"/>
      <c r="E290" s="321"/>
      <c r="F290" s="322"/>
      <c r="G290" s="75"/>
      <c r="H290" s="321"/>
      <c r="I290" s="321"/>
      <c r="J290" s="323"/>
      <c r="K290" s="324"/>
      <c r="L290" s="285"/>
      <c r="M290" s="285"/>
      <c r="N290" s="285"/>
      <c r="O290" s="325"/>
      <c r="P290" s="285"/>
      <c r="Q290" s="325"/>
      <c r="R290" s="325"/>
      <c r="S290" s="285"/>
      <c r="T290" s="285"/>
      <c r="U290" s="285"/>
      <c r="V290" s="285"/>
      <c r="W290" s="285"/>
      <c r="X290" s="285"/>
      <c r="Y290" s="285"/>
      <c r="Z290" s="285"/>
    </row>
    <row r="291" ht="12.75" customHeight="1">
      <c r="A291" s="285"/>
      <c r="B291" s="75"/>
      <c r="C291" s="75"/>
      <c r="D291" s="321"/>
      <c r="E291" s="321"/>
      <c r="F291" s="322"/>
      <c r="G291" s="75"/>
      <c r="H291" s="321"/>
      <c r="I291" s="321"/>
      <c r="J291" s="323"/>
      <c r="K291" s="324"/>
      <c r="L291" s="285"/>
      <c r="M291" s="285"/>
      <c r="N291" s="285"/>
      <c r="O291" s="325"/>
      <c r="P291" s="285"/>
      <c r="Q291" s="325"/>
      <c r="R291" s="325"/>
      <c r="S291" s="285"/>
      <c r="T291" s="285"/>
      <c r="U291" s="285"/>
      <c r="V291" s="285"/>
      <c r="W291" s="285"/>
      <c r="X291" s="285"/>
      <c r="Y291" s="285"/>
      <c r="Z291" s="285"/>
    </row>
    <row r="292" ht="12.75" customHeight="1">
      <c r="A292" s="285"/>
      <c r="B292" s="75"/>
      <c r="C292" s="75"/>
      <c r="D292" s="321"/>
      <c r="E292" s="321"/>
      <c r="F292" s="322"/>
      <c r="G292" s="75"/>
      <c r="H292" s="321"/>
      <c r="I292" s="321"/>
      <c r="J292" s="323"/>
      <c r="K292" s="324"/>
      <c r="L292" s="285"/>
      <c r="M292" s="285"/>
      <c r="N292" s="285"/>
      <c r="O292" s="325"/>
      <c r="P292" s="285"/>
      <c r="Q292" s="325"/>
      <c r="R292" s="325"/>
      <c r="S292" s="285"/>
      <c r="T292" s="285"/>
      <c r="U292" s="285"/>
      <c r="V292" s="285"/>
      <c r="W292" s="285"/>
      <c r="X292" s="285"/>
      <c r="Y292" s="285"/>
      <c r="Z292" s="285"/>
    </row>
    <row r="293" ht="12.75" customHeight="1">
      <c r="A293" s="285"/>
      <c r="B293" s="75"/>
      <c r="C293" s="75"/>
      <c r="D293" s="321"/>
      <c r="E293" s="321"/>
      <c r="F293" s="322"/>
      <c r="G293" s="75"/>
      <c r="H293" s="321"/>
      <c r="I293" s="321"/>
      <c r="J293" s="323"/>
      <c r="K293" s="324"/>
      <c r="L293" s="285"/>
      <c r="M293" s="285"/>
      <c r="N293" s="285"/>
      <c r="O293" s="325"/>
      <c r="P293" s="285"/>
      <c r="Q293" s="325"/>
      <c r="R293" s="325"/>
      <c r="S293" s="285"/>
      <c r="T293" s="285"/>
      <c r="U293" s="285"/>
      <c r="V293" s="285"/>
      <c r="W293" s="285"/>
      <c r="X293" s="285"/>
      <c r="Y293" s="285"/>
      <c r="Z293" s="285"/>
    </row>
    <row r="294" ht="12.75" customHeight="1">
      <c r="A294" s="285"/>
      <c r="B294" s="75"/>
      <c r="C294" s="75"/>
      <c r="D294" s="321"/>
      <c r="E294" s="321"/>
      <c r="F294" s="322"/>
      <c r="G294" s="75"/>
      <c r="H294" s="321"/>
      <c r="I294" s="321"/>
      <c r="J294" s="323"/>
      <c r="K294" s="324"/>
      <c r="L294" s="285"/>
      <c r="M294" s="285"/>
      <c r="N294" s="285"/>
      <c r="O294" s="325"/>
      <c r="P294" s="285"/>
      <c r="Q294" s="325"/>
      <c r="R294" s="325"/>
      <c r="S294" s="285"/>
      <c r="T294" s="285"/>
      <c r="U294" s="285"/>
      <c r="V294" s="285"/>
      <c r="W294" s="285"/>
      <c r="X294" s="285"/>
      <c r="Y294" s="285"/>
      <c r="Z294" s="285"/>
    </row>
    <row r="295" ht="12.75" customHeight="1">
      <c r="A295" s="285"/>
      <c r="B295" s="75"/>
      <c r="C295" s="75"/>
      <c r="D295" s="321"/>
      <c r="E295" s="321"/>
      <c r="F295" s="322"/>
      <c r="G295" s="75"/>
      <c r="H295" s="321"/>
      <c r="I295" s="321"/>
      <c r="J295" s="323"/>
      <c r="K295" s="324"/>
      <c r="L295" s="285"/>
      <c r="M295" s="285"/>
      <c r="N295" s="285"/>
      <c r="O295" s="325"/>
      <c r="P295" s="285"/>
      <c r="Q295" s="325"/>
      <c r="R295" s="325"/>
      <c r="S295" s="285"/>
      <c r="T295" s="285"/>
      <c r="U295" s="285"/>
      <c r="V295" s="285"/>
      <c r="W295" s="285"/>
      <c r="X295" s="285"/>
      <c r="Y295" s="285"/>
      <c r="Z295" s="285"/>
    </row>
    <row r="296" ht="12.75" customHeight="1">
      <c r="A296" s="285"/>
      <c r="B296" s="75"/>
      <c r="C296" s="75"/>
      <c r="D296" s="321"/>
      <c r="E296" s="321"/>
      <c r="F296" s="322"/>
      <c r="G296" s="75"/>
      <c r="H296" s="321"/>
      <c r="I296" s="321"/>
      <c r="J296" s="323"/>
      <c r="K296" s="324"/>
      <c r="L296" s="285"/>
      <c r="M296" s="285"/>
      <c r="N296" s="285"/>
      <c r="O296" s="325"/>
      <c r="P296" s="285"/>
      <c r="Q296" s="325"/>
      <c r="R296" s="325"/>
      <c r="S296" s="285"/>
      <c r="T296" s="285"/>
      <c r="U296" s="285"/>
      <c r="V296" s="285"/>
      <c r="W296" s="285"/>
      <c r="X296" s="285"/>
      <c r="Y296" s="285"/>
      <c r="Z296" s="285"/>
    </row>
    <row r="297" ht="12.75" customHeight="1">
      <c r="A297" s="285"/>
      <c r="B297" s="75"/>
      <c r="C297" s="75"/>
      <c r="D297" s="321"/>
      <c r="E297" s="321"/>
      <c r="F297" s="322"/>
      <c r="G297" s="75"/>
      <c r="H297" s="321"/>
      <c r="I297" s="321"/>
      <c r="J297" s="323"/>
      <c r="K297" s="324"/>
      <c r="L297" s="285"/>
      <c r="M297" s="285"/>
      <c r="N297" s="285"/>
      <c r="O297" s="325"/>
      <c r="P297" s="285"/>
      <c r="Q297" s="325"/>
      <c r="R297" s="325"/>
      <c r="S297" s="285"/>
      <c r="T297" s="285"/>
      <c r="U297" s="285"/>
      <c r="V297" s="285"/>
      <c r="W297" s="285"/>
      <c r="X297" s="285"/>
      <c r="Y297" s="285"/>
      <c r="Z297" s="285"/>
    </row>
    <row r="298" ht="12.75" customHeight="1">
      <c r="A298" s="285"/>
      <c r="B298" s="75"/>
      <c r="C298" s="75"/>
      <c r="D298" s="321"/>
      <c r="E298" s="321"/>
      <c r="F298" s="322"/>
      <c r="G298" s="75"/>
      <c r="H298" s="321"/>
      <c r="I298" s="321"/>
      <c r="J298" s="323"/>
      <c r="K298" s="324"/>
      <c r="L298" s="285"/>
      <c r="M298" s="285"/>
      <c r="N298" s="285"/>
      <c r="O298" s="325"/>
      <c r="P298" s="285"/>
      <c r="Q298" s="325"/>
      <c r="R298" s="325"/>
      <c r="S298" s="285"/>
      <c r="T298" s="285"/>
      <c r="U298" s="285"/>
      <c r="V298" s="285"/>
      <c r="W298" s="285"/>
      <c r="X298" s="285"/>
      <c r="Y298" s="285"/>
      <c r="Z298" s="285"/>
    </row>
    <row r="299" ht="12.75" customHeight="1">
      <c r="A299" s="285"/>
      <c r="B299" s="75"/>
      <c r="C299" s="75"/>
      <c r="D299" s="321"/>
      <c r="E299" s="321"/>
      <c r="F299" s="322"/>
      <c r="G299" s="75"/>
      <c r="H299" s="321"/>
      <c r="I299" s="321"/>
      <c r="J299" s="323"/>
      <c r="K299" s="324"/>
      <c r="L299" s="285"/>
      <c r="M299" s="285"/>
      <c r="N299" s="285"/>
      <c r="O299" s="325"/>
      <c r="P299" s="285"/>
      <c r="Q299" s="325"/>
      <c r="R299" s="325"/>
      <c r="S299" s="285"/>
      <c r="T299" s="285"/>
      <c r="U299" s="285"/>
      <c r="V299" s="285"/>
      <c r="W299" s="285"/>
      <c r="X299" s="285"/>
      <c r="Y299" s="285"/>
      <c r="Z299" s="285"/>
    </row>
    <row r="300" ht="12.75" customHeight="1">
      <c r="A300" s="285"/>
      <c r="B300" s="75"/>
      <c r="C300" s="75"/>
      <c r="D300" s="321"/>
      <c r="E300" s="321"/>
      <c r="F300" s="322"/>
      <c r="G300" s="75"/>
      <c r="H300" s="321"/>
      <c r="I300" s="321"/>
      <c r="J300" s="323"/>
      <c r="K300" s="324"/>
      <c r="L300" s="285"/>
      <c r="M300" s="285"/>
      <c r="N300" s="285"/>
      <c r="O300" s="325"/>
      <c r="P300" s="285"/>
      <c r="Q300" s="325"/>
      <c r="R300" s="325"/>
      <c r="S300" s="285"/>
      <c r="T300" s="285"/>
      <c r="U300" s="285"/>
      <c r="V300" s="285"/>
      <c r="W300" s="285"/>
      <c r="X300" s="285"/>
      <c r="Y300" s="285"/>
      <c r="Z300" s="285"/>
    </row>
    <row r="301" ht="12.75" customHeight="1">
      <c r="A301" s="285"/>
      <c r="B301" s="75"/>
      <c r="C301" s="75"/>
      <c r="D301" s="321"/>
      <c r="E301" s="321"/>
      <c r="F301" s="322"/>
      <c r="G301" s="75"/>
      <c r="H301" s="321"/>
      <c r="I301" s="321"/>
      <c r="J301" s="323"/>
      <c r="K301" s="324"/>
      <c r="L301" s="285"/>
      <c r="M301" s="285"/>
      <c r="N301" s="285"/>
      <c r="O301" s="325"/>
      <c r="P301" s="285"/>
      <c r="Q301" s="325"/>
      <c r="R301" s="325"/>
      <c r="S301" s="285"/>
      <c r="T301" s="285"/>
      <c r="U301" s="285"/>
      <c r="V301" s="285"/>
      <c r="W301" s="285"/>
      <c r="X301" s="285"/>
      <c r="Y301" s="285"/>
      <c r="Z301" s="285"/>
    </row>
    <row r="302" ht="12.75" customHeight="1">
      <c r="A302" s="285"/>
      <c r="B302" s="75"/>
      <c r="C302" s="75"/>
      <c r="D302" s="321"/>
      <c r="E302" s="321"/>
      <c r="F302" s="322"/>
      <c r="G302" s="75"/>
      <c r="H302" s="321"/>
      <c r="I302" s="321"/>
      <c r="J302" s="323"/>
      <c r="K302" s="324"/>
      <c r="L302" s="285"/>
      <c r="M302" s="285"/>
      <c r="N302" s="285"/>
      <c r="O302" s="325"/>
      <c r="P302" s="285"/>
      <c r="Q302" s="325"/>
      <c r="R302" s="325"/>
      <c r="S302" s="285"/>
      <c r="T302" s="285"/>
      <c r="U302" s="285"/>
      <c r="V302" s="285"/>
      <c r="W302" s="285"/>
      <c r="X302" s="285"/>
      <c r="Y302" s="285"/>
      <c r="Z302" s="285"/>
    </row>
    <row r="303" ht="12.75" customHeight="1">
      <c r="A303" s="285"/>
      <c r="B303" s="75"/>
      <c r="C303" s="75"/>
      <c r="D303" s="321"/>
      <c r="E303" s="321"/>
      <c r="F303" s="322"/>
      <c r="G303" s="75"/>
      <c r="H303" s="321"/>
      <c r="I303" s="321"/>
      <c r="J303" s="323"/>
      <c r="K303" s="324"/>
      <c r="L303" s="285"/>
      <c r="M303" s="285"/>
      <c r="N303" s="285"/>
      <c r="O303" s="325"/>
      <c r="P303" s="285"/>
      <c r="Q303" s="325"/>
      <c r="R303" s="325"/>
      <c r="S303" s="285"/>
      <c r="T303" s="285"/>
      <c r="U303" s="285"/>
      <c r="V303" s="285"/>
      <c r="W303" s="285"/>
      <c r="X303" s="285"/>
      <c r="Y303" s="285"/>
      <c r="Z303" s="285"/>
    </row>
    <row r="304" ht="12.75" customHeight="1">
      <c r="A304" s="285"/>
      <c r="B304" s="75"/>
      <c r="C304" s="75"/>
      <c r="D304" s="321"/>
      <c r="E304" s="321"/>
      <c r="F304" s="322"/>
      <c r="G304" s="75"/>
      <c r="H304" s="321"/>
      <c r="I304" s="321"/>
      <c r="J304" s="323"/>
      <c r="K304" s="324"/>
      <c r="L304" s="285"/>
      <c r="M304" s="285"/>
      <c r="N304" s="285"/>
      <c r="O304" s="325"/>
      <c r="P304" s="285"/>
      <c r="Q304" s="325"/>
      <c r="R304" s="325"/>
      <c r="S304" s="285"/>
      <c r="T304" s="285"/>
      <c r="U304" s="285"/>
      <c r="V304" s="285"/>
      <c r="W304" s="285"/>
      <c r="X304" s="285"/>
      <c r="Y304" s="285"/>
      <c r="Z304" s="285"/>
    </row>
    <row r="305" ht="12.75" customHeight="1">
      <c r="A305" s="285"/>
      <c r="B305" s="75"/>
      <c r="C305" s="75"/>
      <c r="D305" s="321"/>
      <c r="E305" s="321"/>
      <c r="F305" s="322"/>
      <c r="G305" s="75"/>
      <c r="H305" s="321"/>
      <c r="I305" s="321"/>
      <c r="J305" s="323"/>
      <c r="K305" s="324"/>
      <c r="L305" s="285"/>
      <c r="M305" s="285"/>
      <c r="N305" s="285"/>
      <c r="O305" s="325"/>
      <c r="P305" s="285"/>
      <c r="Q305" s="325"/>
      <c r="R305" s="325"/>
      <c r="S305" s="285"/>
      <c r="T305" s="285"/>
      <c r="U305" s="285"/>
      <c r="V305" s="285"/>
      <c r="W305" s="285"/>
      <c r="X305" s="285"/>
      <c r="Y305" s="285"/>
      <c r="Z305" s="285"/>
    </row>
    <row r="306" ht="12.75" customHeight="1">
      <c r="A306" s="285"/>
      <c r="B306" s="75"/>
      <c r="C306" s="75"/>
      <c r="D306" s="321"/>
      <c r="E306" s="321"/>
      <c r="F306" s="322"/>
      <c r="G306" s="75"/>
      <c r="H306" s="321"/>
      <c r="I306" s="321"/>
      <c r="J306" s="323"/>
      <c r="K306" s="324"/>
      <c r="L306" s="285"/>
      <c r="M306" s="285"/>
      <c r="N306" s="285"/>
      <c r="O306" s="325"/>
      <c r="P306" s="285"/>
      <c r="Q306" s="325"/>
      <c r="R306" s="325"/>
      <c r="S306" s="285"/>
      <c r="T306" s="285"/>
      <c r="U306" s="285"/>
      <c r="V306" s="285"/>
      <c r="W306" s="285"/>
      <c r="X306" s="285"/>
      <c r="Y306" s="285"/>
      <c r="Z306" s="285"/>
    </row>
    <row r="307" ht="12.75" customHeight="1">
      <c r="A307" s="285"/>
      <c r="B307" s="75"/>
      <c r="C307" s="75"/>
      <c r="D307" s="321"/>
      <c r="E307" s="321"/>
      <c r="F307" s="322"/>
      <c r="G307" s="75"/>
      <c r="H307" s="321"/>
      <c r="I307" s="321"/>
      <c r="J307" s="323"/>
      <c r="K307" s="324"/>
      <c r="L307" s="285"/>
      <c r="M307" s="285"/>
      <c r="N307" s="285"/>
      <c r="O307" s="325"/>
      <c r="P307" s="285"/>
      <c r="Q307" s="325"/>
      <c r="R307" s="325"/>
      <c r="S307" s="285"/>
      <c r="T307" s="285"/>
      <c r="U307" s="285"/>
      <c r="V307" s="285"/>
      <c r="W307" s="285"/>
      <c r="X307" s="285"/>
      <c r="Y307" s="285"/>
      <c r="Z307" s="285"/>
    </row>
    <row r="308" ht="12.75" customHeight="1">
      <c r="A308" s="285"/>
      <c r="B308" s="75"/>
      <c r="C308" s="75"/>
      <c r="D308" s="321"/>
      <c r="E308" s="321"/>
      <c r="F308" s="322"/>
      <c r="G308" s="75"/>
      <c r="H308" s="321"/>
      <c r="I308" s="321"/>
      <c r="J308" s="323"/>
      <c r="K308" s="324"/>
      <c r="L308" s="285"/>
      <c r="M308" s="285"/>
      <c r="N308" s="285"/>
      <c r="O308" s="325"/>
      <c r="P308" s="285"/>
      <c r="Q308" s="325"/>
      <c r="R308" s="325"/>
      <c r="S308" s="285"/>
      <c r="T308" s="285"/>
      <c r="U308" s="285"/>
      <c r="V308" s="285"/>
      <c r="W308" s="285"/>
      <c r="X308" s="285"/>
      <c r="Y308" s="285"/>
      <c r="Z308" s="285"/>
    </row>
    <row r="309" ht="12.75" customHeight="1">
      <c r="A309" s="285"/>
      <c r="B309" s="75"/>
      <c r="C309" s="75"/>
      <c r="D309" s="321"/>
      <c r="E309" s="321"/>
      <c r="F309" s="322"/>
      <c r="G309" s="75"/>
      <c r="H309" s="321"/>
      <c r="I309" s="321"/>
      <c r="J309" s="323"/>
      <c r="K309" s="324"/>
      <c r="L309" s="285"/>
      <c r="M309" s="285"/>
      <c r="N309" s="285"/>
      <c r="O309" s="325"/>
      <c r="P309" s="285"/>
      <c r="Q309" s="325"/>
      <c r="R309" s="325"/>
      <c r="S309" s="285"/>
      <c r="T309" s="285"/>
      <c r="U309" s="285"/>
      <c r="V309" s="285"/>
      <c r="W309" s="285"/>
      <c r="X309" s="285"/>
      <c r="Y309" s="285"/>
      <c r="Z309" s="285"/>
    </row>
    <row r="310" ht="12.75" customHeight="1">
      <c r="A310" s="285"/>
      <c r="B310" s="75"/>
      <c r="C310" s="75"/>
      <c r="D310" s="321"/>
      <c r="E310" s="321"/>
      <c r="F310" s="322"/>
      <c r="G310" s="75"/>
      <c r="H310" s="321"/>
      <c r="I310" s="321"/>
      <c r="J310" s="323"/>
      <c r="K310" s="324"/>
      <c r="L310" s="285"/>
      <c r="M310" s="285"/>
      <c r="N310" s="285"/>
      <c r="O310" s="325"/>
      <c r="P310" s="285"/>
      <c r="Q310" s="325"/>
      <c r="R310" s="325"/>
      <c r="S310" s="285"/>
      <c r="T310" s="285"/>
      <c r="U310" s="285"/>
      <c r="V310" s="285"/>
      <c r="W310" s="285"/>
      <c r="X310" s="285"/>
      <c r="Y310" s="285"/>
      <c r="Z310" s="285"/>
    </row>
    <row r="311" ht="12.75" customHeight="1">
      <c r="A311" s="285"/>
      <c r="B311" s="75"/>
      <c r="C311" s="75"/>
      <c r="D311" s="321"/>
      <c r="E311" s="321"/>
      <c r="F311" s="322"/>
      <c r="G311" s="75"/>
      <c r="H311" s="321"/>
      <c r="I311" s="321"/>
      <c r="J311" s="323"/>
      <c r="K311" s="324"/>
      <c r="L311" s="285"/>
      <c r="M311" s="285"/>
      <c r="N311" s="285"/>
      <c r="O311" s="325"/>
      <c r="P311" s="285"/>
      <c r="Q311" s="325"/>
      <c r="R311" s="325"/>
      <c r="S311" s="285"/>
      <c r="T311" s="285"/>
      <c r="U311" s="285"/>
      <c r="V311" s="285"/>
      <c r="W311" s="285"/>
      <c r="X311" s="285"/>
      <c r="Y311" s="285"/>
      <c r="Z311" s="285"/>
    </row>
    <row r="312" ht="12.75" customHeight="1">
      <c r="A312" s="285"/>
      <c r="B312" s="75"/>
      <c r="C312" s="75"/>
      <c r="D312" s="321"/>
      <c r="E312" s="321"/>
      <c r="F312" s="322"/>
      <c r="G312" s="75"/>
      <c r="H312" s="321"/>
      <c r="I312" s="321"/>
      <c r="J312" s="323"/>
      <c r="K312" s="324"/>
      <c r="L312" s="285"/>
      <c r="M312" s="285"/>
      <c r="N312" s="285"/>
      <c r="O312" s="325"/>
      <c r="P312" s="285"/>
      <c r="Q312" s="325"/>
      <c r="R312" s="325"/>
      <c r="S312" s="285"/>
      <c r="T312" s="285"/>
      <c r="U312" s="285"/>
      <c r="V312" s="285"/>
      <c r="W312" s="285"/>
      <c r="X312" s="285"/>
      <c r="Y312" s="285"/>
      <c r="Z312" s="285"/>
    </row>
    <row r="313" ht="12.75" customHeight="1">
      <c r="A313" s="285"/>
      <c r="B313" s="75"/>
      <c r="C313" s="75"/>
      <c r="D313" s="321"/>
      <c r="E313" s="321"/>
      <c r="F313" s="322"/>
      <c r="G313" s="75"/>
      <c r="H313" s="321"/>
      <c r="I313" s="321"/>
      <c r="J313" s="323"/>
      <c r="K313" s="324"/>
      <c r="L313" s="285"/>
      <c r="M313" s="285"/>
      <c r="N313" s="285"/>
      <c r="O313" s="325"/>
      <c r="P313" s="285"/>
      <c r="Q313" s="325"/>
      <c r="R313" s="325"/>
      <c r="S313" s="285"/>
      <c r="T313" s="285"/>
      <c r="U313" s="285"/>
      <c r="V313" s="285"/>
      <c r="W313" s="285"/>
      <c r="X313" s="285"/>
      <c r="Y313" s="285"/>
      <c r="Z313" s="285"/>
    </row>
    <row r="314" ht="12.75" customHeight="1">
      <c r="A314" s="285"/>
      <c r="B314" s="75"/>
      <c r="C314" s="75"/>
      <c r="D314" s="321"/>
      <c r="E314" s="321"/>
      <c r="F314" s="322"/>
      <c r="G314" s="75"/>
      <c r="H314" s="321"/>
      <c r="I314" s="321"/>
      <c r="J314" s="323"/>
      <c r="K314" s="324"/>
      <c r="L314" s="285"/>
      <c r="M314" s="285"/>
      <c r="N314" s="285"/>
      <c r="O314" s="325"/>
      <c r="P314" s="285"/>
      <c r="Q314" s="325"/>
      <c r="R314" s="325"/>
      <c r="S314" s="285"/>
      <c r="T314" s="285"/>
      <c r="U314" s="285"/>
      <c r="V314" s="285"/>
      <c r="W314" s="285"/>
      <c r="X314" s="285"/>
      <c r="Y314" s="285"/>
      <c r="Z314" s="285"/>
    </row>
    <row r="315" ht="12.75" customHeight="1">
      <c r="A315" s="285"/>
      <c r="B315" s="75"/>
      <c r="C315" s="75"/>
      <c r="D315" s="321"/>
      <c r="E315" s="321"/>
      <c r="F315" s="322"/>
      <c r="G315" s="75"/>
      <c r="H315" s="321"/>
      <c r="I315" s="321"/>
      <c r="J315" s="323"/>
      <c r="K315" s="324"/>
      <c r="L315" s="285"/>
      <c r="M315" s="285"/>
      <c r="N315" s="285"/>
      <c r="O315" s="325"/>
      <c r="P315" s="285"/>
      <c r="Q315" s="325"/>
      <c r="R315" s="325"/>
      <c r="S315" s="285"/>
      <c r="T315" s="285"/>
      <c r="U315" s="285"/>
      <c r="V315" s="285"/>
      <c r="W315" s="285"/>
      <c r="X315" s="285"/>
      <c r="Y315" s="285"/>
      <c r="Z315" s="285"/>
    </row>
    <row r="316" ht="12.75" customHeight="1">
      <c r="A316" s="285"/>
      <c r="B316" s="75"/>
      <c r="C316" s="75"/>
      <c r="D316" s="321"/>
      <c r="E316" s="321"/>
      <c r="F316" s="322"/>
      <c r="G316" s="75"/>
      <c r="H316" s="321"/>
      <c r="I316" s="321"/>
      <c r="J316" s="323"/>
      <c r="K316" s="324"/>
      <c r="L316" s="285"/>
      <c r="M316" s="285"/>
      <c r="N316" s="285"/>
      <c r="O316" s="325"/>
      <c r="P316" s="285"/>
      <c r="Q316" s="325"/>
      <c r="R316" s="325"/>
      <c r="S316" s="285"/>
      <c r="T316" s="285"/>
      <c r="U316" s="285"/>
      <c r="V316" s="285"/>
      <c r="W316" s="285"/>
      <c r="X316" s="285"/>
      <c r="Y316" s="285"/>
      <c r="Z316" s="285"/>
    </row>
    <row r="317" ht="12.75" customHeight="1">
      <c r="A317" s="285"/>
      <c r="B317" s="75"/>
      <c r="C317" s="75"/>
      <c r="D317" s="321"/>
      <c r="E317" s="321"/>
      <c r="F317" s="322"/>
      <c r="G317" s="75"/>
      <c r="H317" s="321"/>
      <c r="I317" s="321"/>
      <c r="J317" s="323"/>
      <c r="K317" s="324"/>
      <c r="L317" s="285"/>
      <c r="M317" s="285"/>
      <c r="N317" s="285"/>
      <c r="O317" s="325"/>
      <c r="P317" s="285"/>
      <c r="Q317" s="325"/>
      <c r="R317" s="325"/>
      <c r="S317" s="285"/>
      <c r="T317" s="285"/>
      <c r="U317" s="285"/>
      <c r="V317" s="285"/>
      <c r="W317" s="285"/>
      <c r="X317" s="285"/>
      <c r="Y317" s="285"/>
      <c r="Z317" s="285"/>
    </row>
    <row r="318" ht="12.75" customHeight="1">
      <c r="A318" s="285"/>
      <c r="B318" s="75"/>
      <c r="C318" s="75"/>
      <c r="D318" s="321"/>
      <c r="E318" s="321"/>
      <c r="F318" s="322"/>
      <c r="G318" s="75"/>
      <c r="H318" s="321"/>
      <c r="I318" s="321"/>
      <c r="J318" s="323"/>
      <c r="K318" s="324"/>
      <c r="L318" s="285"/>
      <c r="M318" s="285"/>
      <c r="N318" s="285"/>
      <c r="O318" s="325"/>
      <c r="P318" s="285"/>
      <c r="Q318" s="325"/>
      <c r="R318" s="325"/>
      <c r="S318" s="285"/>
      <c r="T318" s="285"/>
      <c r="U318" s="285"/>
      <c r="V318" s="285"/>
      <c r="W318" s="285"/>
      <c r="X318" s="285"/>
      <c r="Y318" s="285"/>
      <c r="Z318" s="285"/>
    </row>
    <row r="319" ht="12.75" customHeight="1">
      <c r="A319" s="285"/>
      <c r="B319" s="75"/>
      <c r="C319" s="75"/>
      <c r="D319" s="321"/>
      <c r="E319" s="321"/>
      <c r="F319" s="322"/>
      <c r="G319" s="75"/>
      <c r="H319" s="321"/>
      <c r="I319" s="321"/>
      <c r="J319" s="323"/>
      <c r="K319" s="324"/>
      <c r="L319" s="285"/>
      <c r="M319" s="285"/>
      <c r="N319" s="285"/>
      <c r="O319" s="325"/>
      <c r="P319" s="285"/>
      <c r="Q319" s="325"/>
      <c r="R319" s="325"/>
      <c r="S319" s="285"/>
      <c r="T319" s="285"/>
      <c r="U319" s="285"/>
      <c r="V319" s="285"/>
      <c r="W319" s="285"/>
      <c r="X319" s="285"/>
      <c r="Y319" s="285"/>
      <c r="Z319" s="285"/>
    </row>
    <row r="320" ht="12.75" customHeight="1">
      <c r="A320" s="285"/>
      <c r="B320" s="75"/>
      <c r="C320" s="75"/>
      <c r="D320" s="321"/>
      <c r="E320" s="321"/>
      <c r="F320" s="322"/>
      <c r="G320" s="75"/>
      <c r="H320" s="321"/>
      <c r="I320" s="321"/>
      <c r="J320" s="323"/>
      <c r="K320" s="324"/>
      <c r="L320" s="285"/>
      <c r="M320" s="285"/>
      <c r="N320" s="285"/>
      <c r="O320" s="325"/>
      <c r="P320" s="285"/>
      <c r="Q320" s="325"/>
      <c r="R320" s="325"/>
      <c r="S320" s="285"/>
      <c r="T320" s="285"/>
      <c r="U320" s="285"/>
      <c r="V320" s="285"/>
      <c r="W320" s="285"/>
      <c r="X320" s="285"/>
      <c r="Y320" s="285"/>
      <c r="Z320" s="285"/>
    </row>
    <row r="321" ht="12.75" customHeight="1">
      <c r="A321" s="285"/>
      <c r="B321" s="75"/>
      <c r="C321" s="75"/>
      <c r="D321" s="321"/>
      <c r="E321" s="321"/>
      <c r="F321" s="322"/>
      <c r="G321" s="75"/>
      <c r="H321" s="321"/>
      <c r="I321" s="321"/>
      <c r="J321" s="323"/>
      <c r="K321" s="324"/>
      <c r="L321" s="285"/>
      <c r="M321" s="285"/>
      <c r="N321" s="285"/>
      <c r="O321" s="325"/>
      <c r="P321" s="285"/>
      <c r="Q321" s="325"/>
      <c r="R321" s="325"/>
      <c r="S321" s="285"/>
      <c r="T321" s="285"/>
      <c r="U321" s="285"/>
      <c r="V321" s="285"/>
      <c r="W321" s="285"/>
      <c r="X321" s="285"/>
      <c r="Y321" s="285"/>
      <c r="Z321" s="285"/>
    </row>
    <row r="322" ht="12.75" customHeight="1">
      <c r="A322" s="285"/>
      <c r="B322" s="75"/>
      <c r="C322" s="75"/>
      <c r="D322" s="321"/>
      <c r="E322" s="321"/>
      <c r="F322" s="322"/>
      <c r="G322" s="75"/>
      <c r="H322" s="321"/>
      <c r="I322" s="321"/>
      <c r="J322" s="323"/>
      <c r="K322" s="324"/>
      <c r="L322" s="285"/>
      <c r="M322" s="285"/>
      <c r="N322" s="285"/>
      <c r="O322" s="325"/>
      <c r="P322" s="285"/>
      <c r="Q322" s="325"/>
      <c r="R322" s="325"/>
      <c r="S322" s="285"/>
      <c r="T322" s="285"/>
      <c r="U322" s="285"/>
      <c r="V322" s="285"/>
      <c r="W322" s="285"/>
      <c r="X322" s="285"/>
      <c r="Y322" s="285"/>
      <c r="Z322" s="285"/>
    </row>
    <row r="323" ht="12.75" customHeight="1">
      <c r="A323" s="285"/>
      <c r="B323" s="75"/>
      <c r="C323" s="75"/>
      <c r="D323" s="321"/>
      <c r="E323" s="321"/>
      <c r="F323" s="322"/>
      <c r="G323" s="75"/>
      <c r="H323" s="321"/>
      <c r="I323" s="321"/>
      <c r="J323" s="323"/>
      <c r="K323" s="324"/>
      <c r="L323" s="285"/>
      <c r="M323" s="285"/>
      <c r="N323" s="285"/>
      <c r="O323" s="325"/>
      <c r="P323" s="285"/>
      <c r="Q323" s="325"/>
      <c r="R323" s="325"/>
      <c r="S323" s="285"/>
      <c r="T323" s="285"/>
      <c r="U323" s="285"/>
      <c r="V323" s="285"/>
      <c r="W323" s="285"/>
      <c r="X323" s="285"/>
      <c r="Y323" s="285"/>
      <c r="Z323" s="285"/>
    </row>
    <row r="324" ht="12.75" customHeight="1">
      <c r="A324" s="285"/>
      <c r="B324" s="75"/>
      <c r="C324" s="75"/>
      <c r="D324" s="321"/>
      <c r="E324" s="321"/>
      <c r="F324" s="322"/>
      <c r="G324" s="75"/>
      <c r="H324" s="321"/>
      <c r="I324" s="321"/>
      <c r="J324" s="323"/>
      <c r="K324" s="324"/>
      <c r="L324" s="285"/>
      <c r="M324" s="285"/>
      <c r="N324" s="285"/>
      <c r="O324" s="325"/>
      <c r="P324" s="285"/>
      <c r="Q324" s="325"/>
      <c r="R324" s="325"/>
      <c r="S324" s="285"/>
      <c r="T324" s="285"/>
      <c r="U324" s="285"/>
      <c r="V324" s="285"/>
      <c r="W324" s="285"/>
      <c r="X324" s="285"/>
      <c r="Y324" s="285"/>
      <c r="Z324" s="285"/>
    </row>
    <row r="325" ht="12.75" customHeight="1">
      <c r="A325" s="285"/>
      <c r="B325" s="75"/>
      <c r="C325" s="75"/>
      <c r="D325" s="321"/>
      <c r="E325" s="321"/>
      <c r="F325" s="322"/>
      <c r="G325" s="75"/>
      <c r="H325" s="321"/>
      <c r="I325" s="321"/>
      <c r="J325" s="323"/>
      <c r="K325" s="324"/>
      <c r="L325" s="285"/>
      <c r="M325" s="285"/>
      <c r="N325" s="285"/>
      <c r="O325" s="325"/>
      <c r="P325" s="285"/>
      <c r="Q325" s="325"/>
      <c r="R325" s="325"/>
      <c r="S325" s="285"/>
      <c r="T325" s="285"/>
      <c r="U325" s="285"/>
      <c r="V325" s="285"/>
      <c r="W325" s="285"/>
      <c r="X325" s="285"/>
      <c r="Y325" s="285"/>
      <c r="Z325" s="285"/>
    </row>
    <row r="326" ht="12.75" customHeight="1">
      <c r="A326" s="285"/>
      <c r="B326" s="75"/>
      <c r="C326" s="75"/>
      <c r="D326" s="321"/>
      <c r="E326" s="321"/>
      <c r="F326" s="322"/>
      <c r="G326" s="75"/>
      <c r="H326" s="321"/>
      <c r="I326" s="321"/>
      <c r="J326" s="323"/>
      <c r="K326" s="324"/>
      <c r="L326" s="285"/>
      <c r="M326" s="285"/>
      <c r="N326" s="285"/>
      <c r="O326" s="325"/>
      <c r="P326" s="285"/>
      <c r="Q326" s="325"/>
      <c r="R326" s="325"/>
      <c r="S326" s="285"/>
      <c r="T326" s="285"/>
      <c r="U326" s="285"/>
      <c r="V326" s="285"/>
      <c r="W326" s="285"/>
      <c r="X326" s="285"/>
      <c r="Y326" s="285"/>
      <c r="Z326" s="285"/>
    </row>
    <row r="327" ht="12.75" customHeight="1">
      <c r="A327" s="285"/>
      <c r="B327" s="75"/>
      <c r="C327" s="75"/>
      <c r="D327" s="321"/>
      <c r="E327" s="321"/>
      <c r="F327" s="322"/>
      <c r="G327" s="75"/>
      <c r="H327" s="321"/>
      <c r="I327" s="321"/>
      <c r="J327" s="323"/>
      <c r="K327" s="324"/>
      <c r="L327" s="285"/>
      <c r="M327" s="285"/>
      <c r="N327" s="285"/>
      <c r="O327" s="325"/>
      <c r="P327" s="285"/>
      <c r="Q327" s="325"/>
      <c r="R327" s="325"/>
      <c r="S327" s="285"/>
      <c r="T327" s="285"/>
      <c r="U327" s="285"/>
      <c r="V327" s="285"/>
      <c r="W327" s="285"/>
      <c r="X327" s="285"/>
      <c r="Y327" s="285"/>
      <c r="Z327" s="285"/>
    </row>
    <row r="328" ht="12.75" customHeight="1">
      <c r="A328" s="285"/>
      <c r="B328" s="75"/>
      <c r="C328" s="75"/>
      <c r="D328" s="321"/>
      <c r="E328" s="321"/>
      <c r="F328" s="322"/>
      <c r="G328" s="75"/>
      <c r="H328" s="321"/>
      <c r="I328" s="321"/>
      <c r="J328" s="323"/>
      <c r="K328" s="324"/>
      <c r="L328" s="285"/>
      <c r="M328" s="285"/>
      <c r="N328" s="285"/>
      <c r="O328" s="325"/>
      <c r="P328" s="285"/>
      <c r="Q328" s="325"/>
      <c r="R328" s="325"/>
      <c r="S328" s="285"/>
      <c r="T328" s="285"/>
      <c r="U328" s="285"/>
      <c r="V328" s="285"/>
      <c r="W328" s="285"/>
      <c r="X328" s="285"/>
      <c r="Y328" s="285"/>
      <c r="Z328" s="285"/>
    </row>
    <row r="329" ht="12.75" customHeight="1">
      <c r="A329" s="285"/>
      <c r="B329" s="75"/>
      <c r="C329" s="75"/>
      <c r="D329" s="321"/>
      <c r="E329" s="321"/>
      <c r="F329" s="322"/>
      <c r="G329" s="75"/>
      <c r="H329" s="321"/>
      <c r="I329" s="321"/>
      <c r="J329" s="323"/>
      <c r="K329" s="324"/>
      <c r="L329" s="285"/>
      <c r="M329" s="285"/>
      <c r="N329" s="285"/>
      <c r="O329" s="325"/>
      <c r="P329" s="285"/>
      <c r="Q329" s="325"/>
      <c r="R329" s="325"/>
      <c r="S329" s="285"/>
      <c r="T329" s="285"/>
      <c r="U329" s="285"/>
      <c r="V329" s="285"/>
      <c r="W329" s="285"/>
      <c r="X329" s="285"/>
      <c r="Y329" s="285"/>
      <c r="Z329" s="285"/>
    </row>
    <row r="330" ht="12.75" customHeight="1">
      <c r="A330" s="285"/>
      <c r="B330" s="75"/>
      <c r="C330" s="75"/>
      <c r="D330" s="321"/>
      <c r="E330" s="321"/>
      <c r="F330" s="322"/>
      <c r="G330" s="75"/>
      <c r="H330" s="321"/>
      <c r="I330" s="321"/>
      <c r="J330" s="323"/>
      <c r="K330" s="324"/>
      <c r="L330" s="285"/>
      <c r="M330" s="285"/>
      <c r="N330" s="285"/>
      <c r="O330" s="325"/>
      <c r="P330" s="285"/>
      <c r="Q330" s="325"/>
      <c r="R330" s="325"/>
      <c r="S330" s="285"/>
      <c r="T330" s="285"/>
      <c r="U330" s="285"/>
      <c r="V330" s="285"/>
      <c r="W330" s="285"/>
      <c r="X330" s="285"/>
      <c r="Y330" s="285"/>
      <c r="Z330" s="285"/>
    </row>
    <row r="331" ht="12.75" customHeight="1">
      <c r="A331" s="285"/>
      <c r="B331" s="75"/>
      <c r="C331" s="75"/>
      <c r="D331" s="321"/>
      <c r="E331" s="321"/>
      <c r="F331" s="322"/>
      <c r="G331" s="75"/>
      <c r="H331" s="321"/>
      <c r="I331" s="321"/>
      <c r="J331" s="323"/>
      <c r="K331" s="324"/>
      <c r="L331" s="285"/>
      <c r="M331" s="285"/>
      <c r="N331" s="285"/>
      <c r="O331" s="325"/>
      <c r="P331" s="285"/>
      <c r="Q331" s="325"/>
      <c r="R331" s="325"/>
      <c r="S331" s="285"/>
      <c r="T331" s="285"/>
      <c r="U331" s="285"/>
      <c r="V331" s="285"/>
      <c r="W331" s="285"/>
      <c r="X331" s="285"/>
      <c r="Y331" s="285"/>
      <c r="Z331" s="285"/>
    </row>
    <row r="332" ht="12.75" customHeight="1">
      <c r="A332" s="285"/>
      <c r="B332" s="75"/>
      <c r="C332" s="75"/>
      <c r="D332" s="321"/>
      <c r="E332" s="321"/>
      <c r="F332" s="322"/>
      <c r="G332" s="75"/>
      <c r="H332" s="321"/>
      <c r="I332" s="321"/>
      <c r="J332" s="323"/>
      <c r="K332" s="324"/>
      <c r="L332" s="285"/>
      <c r="M332" s="285"/>
      <c r="N332" s="285"/>
      <c r="O332" s="325"/>
      <c r="P332" s="285"/>
      <c r="Q332" s="325"/>
      <c r="R332" s="325"/>
      <c r="S332" s="285"/>
      <c r="T332" s="285"/>
      <c r="U332" s="285"/>
      <c r="V332" s="285"/>
      <c r="W332" s="285"/>
      <c r="X332" s="285"/>
      <c r="Y332" s="285"/>
      <c r="Z332" s="285"/>
    </row>
    <row r="333" ht="12.75" customHeight="1">
      <c r="A333" s="285"/>
      <c r="B333" s="75"/>
      <c r="C333" s="75"/>
      <c r="D333" s="321"/>
      <c r="E333" s="321"/>
      <c r="F333" s="322"/>
      <c r="G333" s="75"/>
      <c r="H333" s="321"/>
      <c r="I333" s="321"/>
      <c r="J333" s="323"/>
      <c r="K333" s="324"/>
      <c r="L333" s="285"/>
      <c r="M333" s="285"/>
      <c r="N333" s="285"/>
      <c r="O333" s="325"/>
      <c r="P333" s="285"/>
      <c r="Q333" s="325"/>
      <c r="R333" s="325"/>
      <c r="S333" s="285"/>
      <c r="T333" s="285"/>
      <c r="U333" s="285"/>
      <c r="V333" s="285"/>
      <c r="W333" s="285"/>
      <c r="X333" s="285"/>
      <c r="Y333" s="285"/>
      <c r="Z333" s="285"/>
    </row>
    <row r="334" ht="12.75" customHeight="1">
      <c r="A334" s="285"/>
      <c r="B334" s="75"/>
      <c r="C334" s="75"/>
      <c r="D334" s="321"/>
      <c r="E334" s="321"/>
      <c r="F334" s="322"/>
      <c r="G334" s="75"/>
      <c r="H334" s="321"/>
      <c r="I334" s="321"/>
      <c r="J334" s="323"/>
      <c r="K334" s="324"/>
      <c r="L334" s="285"/>
      <c r="M334" s="285"/>
      <c r="N334" s="285"/>
      <c r="O334" s="325"/>
      <c r="P334" s="285"/>
      <c r="Q334" s="325"/>
      <c r="R334" s="325"/>
      <c r="S334" s="285"/>
      <c r="T334" s="285"/>
      <c r="U334" s="285"/>
      <c r="V334" s="285"/>
      <c r="W334" s="285"/>
      <c r="X334" s="285"/>
      <c r="Y334" s="285"/>
      <c r="Z334" s="285"/>
    </row>
    <row r="335" ht="12.75" customHeight="1">
      <c r="A335" s="285"/>
      <c r="B335" s="75"/>
      <c r="C335" s="75"/>
      <c r="D335" s="321"/>
      <c r="E335" s="321"/>
      <c r="F335" s="322"/>
      <c r="G335" s="75"/>
      <c r="H335" s="321"/>
      <c r="I335" s="321"/>
      <c r="J335" s="323"/>
      <c r="K335" s="324"/>
      <c r="L335" s="285"/>
      <c r="M335" s="285"/>
      <c r="N335" s="285"/>
      <c r="O335" s="325"/>
      <c r="P335" s="285"/>
      <c r="Q335" s="325"/>
      <c r="R335" s="325"/>
      <c r="S335" s="285"/>
      <c r="T335" s="285"/>
      <c r="U335" s="285"/>
      <c r="V335" s="285"/>
      <c r="W335" s="285"/>
      <c r="X335" s="285"/>
      <c r="Y335" s="285"/>
      <c r="Z335" s="285"/>
    </row>
    <row r="336" ht="12.75" customHeight="1">
      <c r="A336" s="285"/>
      <c r="B336" s="75"/>
      <c r="C336" s="75"/>
      <c r="D336" s="321"/>
      <c r="E336" s="321"/>
      <c r="F336" s="322"/>
      <c r="G336" s="75"/>
      <c r="H336" s="321"/>
      <c r="I336" s="321"/>
      <c r="J336" s="323"/>
      <c r="K336" s="324"/>
      <c r="L336" s="285"/>
      <c r="M336" s="285"/>
      <c r="N336" s="285"/>
      <c r="O336" s="325"/>
      <c r="P336" s="285"/>
      <c r="Q336" s="325"/>
      <c r="R336" s="325"/>
      <c r="S336" s="285"/>
      <c r="T336" s="285"/>
      <c r="U336" s="285"/>
      <c r="V336" s="285"/>
      <c r="W336" s="285"/>
      <c r="X336" s="285"/>
      <c r="Y336" s="285"/>
      <c r="Z336" s="285"/>
    </row>
    <row r="337" ht="12.75" customHeight="1">
      <c r="A337" s="285"/>
      <c r="B337" s="75"/>
      <c r="C337" s="75"/>
      <c r="D337" s="321"/>
      <c r="E337" s="321"/>
      <c r="F337" s="322"/>
      <c r="G337" s="75"/>
      <c r="H337" s="321"/>
      <c r="I337" s="321"/>
      <c r="J337" s="323"/>
      <c r="K337" s="324"/>
      <c r="L337" s="285"/>
      <c r="M337" s="285"/>
      <c r="N337" s="285"/>
      <c r="O337" s="325"/>
      <c r="P337" s="285"/>
      <c r="Q337" s="325"/>
      <c r="R337" s="325"/>
      <c r="S337" s="285"/>
      <c r="T337" s="285"/>
      <c r="U337" s="285"/>
      <c r="V337" s="285"/>
      <c r="W337" s="285"/>
      <c r="X337" s="285"/>
      <c r="Y337" s="285"/>
      <c r="Z337" s="285"/>
    </row>
    <row r="338" ht="12.75" customHeight="1">
      <c r="A338" s="285"/>
      <c r="B338" s="75"/>
      <c r="C338" s="75"/>
      <c r="D338" s="321"/>
      <c r="E338" s="321"/>
      <c r="F338" s="322"/>
      <c r="G338" s="75"/>
      <c r="H338" s="321"/>
      <c r="I338" s="321"/>
      <c r="J338" s="323"/>
      <c r="K338" s="324"/>
      <c r="L338" s="285"/>
      <c r="M338" s="285"/>
      <c r="N338" s="285"/>
      <c r="O338" s="325"/>
      <c r="P338" s="285"/>
      <c r="Q338" s="325"/>
      <c r="R338" s="325"/>
      <c r="S338" s="285"/>
      <c r="T338" s="285"/>
      <c r="U338" s="285"/>
      <c r="V338" s="285"/>
      <c r="W338" s="285"/>
      <c r="X338" s="285"/>
      <c r="Y338" s="285"/>
      <c r="Z338" s="285"/>
    </row>
    <row r="339" ht="12.75" customHeight="1">
      <c r="A339" s="285"/>
      <c r="B339" s="75"/>
      <c r="C339" s="75"/>
      <c r="D339" s="321"/>
      <c r="E339" s="321"/>
      <c r="F339" s="322"/>
      <c r="G339" s="75"/>
      <c r="H339" s="321"/>
      <c r="I339" s="321"/>
      <c r="J339" s="323"/>
      <c r="K339" s="324"/>
      <c r="L339" s="285"/>
      <c r="M339" s="285"/>
      <c r="N339" s="285"/>
      <c r="O339" s="325"/>
      <c r="P339" s="285"/>
      <c r="Q339" s="325"/>
      <c r="R339" s="325"/>
      <c r="S339" s="285"/>
      <c r="T339" s="285"/>
      <c r="U339" s="285"/>
      <c r="V339" s="285"/>
      <c r="W339" s="285"/>
      <c r="X339" s="285"/>
      <c r="Y339" s="285"/>
      <c r="Z339" s="285"/>
    </row>
    <row r="340" ht="12.75" customHeight="1">
      <c r="A340" s="285"/>
      <c r="B340" s="75"/>
      <c r="C340" s="75"/>
      <c r="D340" s="321"/>
      <c r="E340" s="321"/>
      <c r="F340" s="322"/>
      <c r="G340" s="75"/>
      <c r="H340" s="321"/>
      <c r="I340" s="321"/>
      <c r="J340" s="323"/>
      <c r="K340" s="324"/>
      <c r="L340" s="285"/>
      <c r="M340" s="285"/>
      <c r="N340" s="285"/>
      <c r="O340" s="325"/>
      <c r="P340" s="285"/>
      <c r="Q340" s="325"/>
      <c r="R340" s="325"/>
      <c r="S340" s="285"/>
      <c r="T340" s="285"/>
      <c r="U340" s="285"/>
      <c r="V340" s="285"/>
      <c r="W340" s="285"/>
      <c r="X340" s="285"/>
      <c r="Y340" s="285"/>
      <c r="Z340" s="285"/>
    </row>
    <row r="341" ht="12.75" customHeight="1">
      <c r="A341" s="285"/>
      <c r="B341" s="75"/>
      <c r="C341" s="75"/>
      <c r="D341" s="321"/>
      <c r="E341" s="321"/>
      <c r="F341" s="322"/>
      <c r="G341" s="75"/>
      <c r="H341" s="321"/>
      <c r="I341" s="321"/>
      <c r="J341" s="323"/>
      <c r="K341" s="324"/>
      <c r="L341" s="285"/>
      <c r="M341" s="285"/>
      <c r="N341" s="285"/>
      <c r="O341" s="325"/>
      <c r="P341" s="285"/>
      <c r="Q341" s="325"/>
      <c r="R341" s="325"/>
      <c r="S341" s="285"/>
      <c r="T341" s="285"/>
      <c r="U341" s="285"/>
      <c r="V341" s="285"/>
      <c r="W341" s="285"/>
      <c r="X341" s="285"/>
      <c r="Y341" s="285"/>
      <c r="Z341" s="285"/>
    </row>
    <row r="342" ht="12.75" customHeight="1">
      <c r="A342" s="285"/>
      <c r="B342" s="75"/>
      <c r="C342" s="75"/>
      <c r="D342" s="321"/>
      <c r="E342" s="321"/>
      <c r="F342" s="322"/>
      <c r="G342" s="75"/>
      <c r="H342" s="321"/>
      <c r="I342" s="321"/>
      <c r="J342" s="323"/>
      <c r="K342" s="324"/>
      <c r="L342" s="285"/>
      <c r="M342" s="285"/>
      <c r="N342" s="285"/>
      <c r="O342" s="325"/>
      <c r="P342" s="285"/>
      <c r="Q342" s="325"/>
      <c r="R342" s="325"/>
      <c r="S342" s="285"/>
      <c r="T342" s="285"/>
      <c r="U342" s="285"/>
      <c r="V342" s="285"/>
      <c r="W342" s="285"/>
      <c r="X342" s="285"/>
      <c r="Y342" s="285"/>
      <c r="Z342" s="285"/>
    </row>
    <row r="343" ht="12.75" customHeight="1">
      <c r="A343" s="285"/>
      <c r="B343" s="75"/>
      <c r="C343" s="75"/>
      <c r="D343" s="321"/>
      <c r="E343" s="321"/>
      <c r="F343" s="322"/>
      <c r="G343" s="75"/>
      <c r="H343" s="321"/>
      <c r="I343" s="321"/>
      <c r="J343" s="323"/>
      <c r="K343" s="324"/>
      <c r="L343" s="285"/>
      <c r="M343" s="285"/>
      <c r="N343" s="285"/>
      <c r="O343" s="325"/>
      <c r="P343" s="285"/>
      <c r="Q343" s="325"/>
      <c r="R343" s="325"/>
      <c r="S343" s="285"/>
      <c r="T343" s="285"/>
      <c r="U343" s="285"/>
      <c r="V343" s="285"/>
      <c r="W343" s="285"/>
      <c r="X343" s="285"/>
      <c r="Y343" s="285"/>
      <c r="Z343" s="285"/>
    </row>
    <row r="344" ht="12.75" customHeight="1">
      <c r="A344" s="285"/>
      <c r="B344" s="75"/>
      <c r="C344" s="75"/>
      <c r="D344" s="321"/>
      <c r="E344" s="321"/>
      <c r="F344" s="322"/>
      <c r="G344" s="75"/>
      <c r="H344" s="321"/>
      <c r="I344" s="321"/>
      <c r="J344" s="323"/>
      <c r="K344" s="324"/>
      <c r="L344" s="285"/>
      <c r="M344" s="285"/>
      <c r="N344" s="285"/>
      <c r="O344" s="325"/>
      <c r="P344" s="285"/>
      <c r="Q344" s="325"/>
      <c r="R344" s="325"/>
      <c r="S344" s="285"/>
      <c r="T344" s="285"/>
      <c r="U344" s="285"/>
      <c r="V344" s="285"/>
      <c r="W344" s="285"/>
      <c r="X344" s="285"/>
      <c r="Y344" s="285"/>
      <c r="Z344" s="285"/>
    </row>
    <row r="345" ht="12.75" customHeight="1">
      <c r="A345" s="285"/>
      <c r="B345" s="75"/>
      <c r="C345" s="75"/>
      <c r="D345" s="321"/>
      <c r="E345" s="321"/>
      <c r="F345" s="322"/>
      <c r="G345" s="75"/>
      <c r="H345" s="321"/>
      <c r="I345" s="321"/>
      <c r="J345" s="323"/>
      <c r="K345" s="324"/>
      <c r="L345" s="285"/>
      <c r="M345" s="285"/>
      <c r="N345" s="285"/>
      <c r="O345" s="325"/>
      <c r="P345" s="285"/>
      <c r="Q345" s="325"/>
      <c r="R345" s="325"/>
      <c r="S345" s="285"/>
      <c r="T345" s="285"/>
      <c r="U345" s="285"/>
      <c r="V345" s="285"/>
      <c r="W345" s="285"/>
      <c r="X345" s="285"/>
      <c r="Y345" s="285"/>
      <c r="Z345" s="285"/>
    </row>
    <row r="346" ht="12.75" customHeight="1">
      <c r="A346" s="285"/>
      <c r="B346" s="75"/>
      <c r="C346" s="75"/>
      <c r="D346" s="321"/>
      <c r="E346" s="321"/>
      <c r="F346" s="322"/>
      <c r="G346" s="75"/>
      <c r="H346" s="321"/>
      <c r="I346" s="321"/>
      <c r="J346" s="323"/>
      <c r="K346" s="324"/>
      <c r="L346" s="285"/>
      <c r="M346" s="285"/>
      <c r="N346" s="285"/>
      <c r="O346" s="325"/>
      <c r="P346" s="285"/>
      <c r="Q346" s="325"/>
      <c r="R346" s="325"/>
      <c r="S346" s="285"/>
      <c r="T346" s="285"/>
      <c r="U346" s="285"/>
      <c r="V346" s="285"/>
      <c r="W346" s="285"/>
      <c r="X346" s="285"/>
      <c r="Y346" s="285"/>
      <c r="Z346" s="285"/>
    </row>
    <row r="347" ht="12.75" customHeight="1">
      <c r="A347" s="285"/>
      <c r="B347" s="75"/>
      <c r="C347" s="75"/>
      <c r="D347" s="321"/>
      <c r="E347" s="321"/>
      <c r="F347" s="322"/>
      <c r="G347" s="75"/>
      <c r="H347" s="321"/>
      <c r="I347" s="321"/>
      <c r="J347" s="323"/>
      <c r="K347" s="324"/>
      <c r="L347" s="285"/>
      <c r="M347" s="285"/>
      <c r="N347" s="285"/>
      <c r="O347" s="325"/>
      <c r="P347" s="285"/>
      <c r="Q347" s="325"/>
      <c r="R347" s="325"/>
      <c r="S347" s="285"/>
      <c r="T347" s="285"/>
      <c r="U347" s="285"/>
      <c r="V347" s="285"/>
      <c r="W347" s="285"/>
      <c r="X347" s="285"/>
      <c r="Y347" s="285"/>
      <c r="Z347" s="285"/>
    </row>
    <row r="348" ht="12.75" customHeight="1">
      <c r="A348" s="285"/>
      <c r="B348" s="75"/>
      <c r="C348" s="75"/>
      <c r="D348" s="321"/>
      <c r="E348" s="321"/>
      <c r="F348" s="322"/>
      <c r="G348" s="75"/>
      <c r="H348" s="321"/>
      <c r="I348" s="321"/>
      <c r="J348" s="323"/>
      <c r="K348" s="324"/>
      <c r="L348" s="285"/>
      <c r="M348" s="285"/>
      <c r="N348" s="285"/>
      <c r="O348" s="325"/>
      <c r="P348" s="285"/>
      <c r="Q348" s="325"/>
      <c r="R348" s="325"/>
      <c r="S348" s="285"/>
      <c r="T348" s="285"/>
      <c r="U348" s="285"/>
      <c r="V348" s="285"/>
      <c r="W348" s="285"/>
      <c r="X348" s="285"/>
      <c r="Y348" s="285"/>
      <c r="Z348" s="285"/>
    </row>
    <row r="349" ht="12.75" customHeight="1">
      <c r="A349" s="285"/>
      <c r="B349" s="75"/>
      <c r="C349" s="75"/>
      <c r="D349" s="321"/>
      <c r="E349" s="321"/>
      <c r="F349" s="322"/>
      <c r="G349" s="75"/>
      <c r="H349" s="321"/>
      <c r="I349" s="321"/>
      <c r="J349" s="323"/>
      <c r="K349" s="324"/>
      <c r="L349" s="285"/>
      <c r="M349" s="285"/>
      <c r="N349" s="285"/>
      <c r="O349" s="325"/>
      <c r="P349" s="285"/>
      <c r="Q349" s="325"/>
      <c r="R349" s="325"/>
      <c r="S349" s="285"/>
      <c r="T349" s="285"/>
      <c r="U349" s="285"/>
      <c r="V349" s="285"/>
      <c r="W349" s="285"/>
      <c r="X349" s="285"/>
      <c r="Y349" s="285"/>
      <c r="Z349" s="285"/>
    </row>
    <row r="350" ht="12.75" customHeight="1">
      <c r="A350" s="285"/>
      <c r="B350" s="75"/>
      <c r="C350" s="75"/>
      <c r="D350" s="321"/>
      <c r="E350" s="321"/>
      <c r="F350" s="322"/>
      <c r="G350" s="75"/>
      <c r="H350" s="321"/>
      <c r="I350" s="321"/>
      <c r="J350" s="323"/>
      <c r="K350" s="324"/>
      <c r="L350" s="285"/>
      <c r="M350" s="285"/>
      <c r="N350" s="285"/>
      <c r="O350" s="325"/>
      <c r="P350" s="285"/>
      <c r="Q350" s="325"/>
      <c r="R350" s="325"/>
      <c r="S350" s="285"/>
      <c r="T350" s="285"/>
      <c r="U350" s="285"/>
      <c r="V350" s="285"/>
      <c r="W350" s="285"/>
      <c r="X350" s="285"/>
      <c r="Y350" s="285"/>
      <c r="Z350" s="285"/>
    </row>
    <row r="351" ht="12.75" customHeight="1">
      <c r="A351" s="285"/>
      <c r="B351" s="75"/>
      <c r="C351" s="75"/>
      <c r="D351" s="321"/>
      <c r="E351" s="321"/>
      <c r="F351" s="322"/>
      <c r="G351" s="75"/>
      <c r="H351" s="321"/>
      <c r="I351" s="321"/>
      <c r="J351" s="323"/>
      <c r="K351" s="324"/>
      <c r="L351" s="285"/>
      <c r="M351" s="285"/>
      <c r="N351" s="285"/>
      <c r="O351" s="325"/>
      <c r="P351" s="285"/>
      <c r="Q351" s="325"/>
      <c r="R351" s="325"/>
      <c r="S351" s="285"/>
      <c r="T351" s="285"/>
      <c r="U351" s="285"/>
      <c r="V351" s="285"/>
      <c r="W351" s="285"/>
      <c r="X351" s="285"/>
      <c r="Y351" s="285"/>
      <c r="Z351" s="285"/>
    </row>
    <row r="352" ht="12.75" customHeight="1">
      <c r="A352" s="285"/>
      <c r="B352" s="75"/>
      <c r="C352" s="75"/>
      <c r="D352" s="321"/>
      <c r="E352" s="321"/>
      <c r="F352" s="322"/>
      <c r="G352" s="75"/>
      <c r="H352" s="321"/>
      <c r="I352" s="321"/>
      <c r="J352" s="323"/>
      <c r="K352" s="324"/>
      <c r="L352" s="285"/>
      <c r="M352" s="285"/>
      <c r="N352" s="285"/>
      <c r="O352" s="325"/>
      <c r="P352" s="285"/>
      <c r="Q352" s="325"/>
      <c r="R352" s="325"/>
      <c r="S352" s="285"/>
      <c r="T352" s="285"/>
      <c r="U352" s="285"/>
      <c r="V352" s="285"/>
      <c r="W352" s="285"/>
      <c r="X352" s="285"/>
      <c r="Y352" s="285"/>
      <c r="Z352" s="285"/>
    </row>
    <row r="353" ht="12.75" customHeight="1">
      <c r="A353" s="285"/>
      <c r="B353" s="75"/>
      <c r="C353" s="75"/>
      <c r="D353" s="321"/>
      <c r="E353" s="321"/>
      <c r="F353" s="322"/>
      <c r="G353" s="75"/>
      <c r="H353" s="321"/>
      <c r="I353" s="321"/>
      <c r="J353" s="323"/>
      <c r="K353" s="324"/>
      <c r="L353" s="285"/>
      <c r="M353" s="285"/>
      <c r="N353" s="285"/>
      <c r="O353" s="325"/>
      <c r="P353" s="285"/>
      <c r="Q353" s="325"/>
      <c r="R353" s="325"/>
      <c r="S353" s="285"/>
      <c r="T353" s="285"/>
      <c r="U353" s="285"/>
      <c r="V353" s="285"/>
      <c r="W353" s="285"/>
      <c r="X353" s="285"/>
      <c r="Y353" s="285"/>
      <c r="Z353" s="285"/>
    </row>
    <row r="354" ht="12.75" customHeight="1">
      <c r="A354" s="285"/>
      <c r="B354" s="75"/>
      <c r="C354" s="75"/>
      <c r="D354" s="321"/>
      <c r="E354" s="321"/>
      <c r="F354" s="322"/>
      <c r="G354" s="75"/>
      <c r="H354" s="321"/>
      <c r="I354" s="321"/>
      <c r="J354" s="323"/>
      <c r="K354" s="324"/>
      <c r="L354" s="285"/>
      <c r="M354" s="285"/>
      <c r="N354" s="285"/>
      <c r="O354" s="325"/>
      <c r="P354" s="285"/>
      <c r="Q354" s="325"/>
      <c r="R354" s="325"/>
      <c r="S354" s="285"/>
      <c r="T354" s="285"/>
      <c r="U354" s="285"/>
      <c r="V354" s="285"/>
      <c r="W354" s="285"/>
      <c r="X354" s="285"/>
      <c r="Y354" s="285"/>
      <c r="Z354" s="285"/>
    </row>
    <row r="355" ht="12.75" customHeight="1">
      <c r="A355" s="285"/>
      <c r="B355" s="75"/>
      <c r="C355" s="75"/>
      <c r="D355" s="321"/>
      <c r="E355" s="321"/>
      <c r="F355" s="322"/>
      <c r="G355" s="75"/>
      <c r="H355" s="321"/>
      <c r="I355" s="321"/>
      <c r="J355" s="323"/>
      <c r="K355" s="324"/>
      <c r="L355" s="285"/>
      <c r="M355" s="285"/>
      <c r="N355" s="285"/>
      <c r="O355" s="325"/>
      <c r="P355" s="285"/>
      <c r="Q355" s="325"/>
      <c r="R355" s="325"/>
      <c r="S355" s="285"/>
      <c r="T355" s="285"/>
      <c r="U355" s="285"/>
      <c r="V355" s="285"/>
      <c r="W355" s="285"/>
      <c r="X355" s="285"/>
      <c r="Y355" s="285"/>
      <c r="Z355" s="285"/>
    </row>
    <row r="356" ht="12.75" customHeight="1">
      <c r="A356" s="285"/>
      <c r="B356" s="75"/>
      <c r="C356" s="75"/>
      <c r="D356" s="321"/>
      <c r="E356" s="321"/>
      <c r="F356" s="322"/>
      <c r="G356" s="75"/>
      <c r="H356" s="321"/>
      <c r="I356" s="321"/>
      <c r="J356" s="323"/>
      <c r="K356" s="324"/>
      <c r="L356" s="285"/>
      <c r="M356" s="285"/>
      <c r="N356" s="285"/>
      <c r="O356" s="325"/>
      <c r="P356" s="285"/>
      <c r="Q356" s="325"/>
      <c r="R356" s="325"/>
      <c r="S356" s="285"/>
      <c r="T356" s="285"/>
      <c r="U356" s="285"/>
      <c r="V356" s="285"/>
      <c r="W356" s="285"/>
      <c r="X356" s="285"/>
      <c r="Y356" s="285"/>
      <c r="Z356" s="285"/>
    </row>
    <row r="357" ht="12.75" customHeight="1">
      <c r="A357" s="285"/>
      <c r="B357" s="75"/>
      <c r="C357" s="75"/>
      <c r="D357" s="321"/>
      <c r="E357" s="321"/>
      <c r="F357" s="322"/>
      <c r="G357" s="75"/>
      <c r="H357" s="321"/>
      <c r="I357" s="321"/>
      <c r="J357" s="323"/>
      <c r="K357" s="324"/>
      <c r="L357" s="285"/>
      <c r="M357" s="285"/>
      <c r="N357" s="285"/>
      <c r="O357" s="325"/>
      <c r="P357" s="285"/>
      <c r="Q357" s="325"/>
      <c r="R357" s="325"/>
      <c r="S357" s="285"/>
      <c r="T357" s="285"/>
      <c r="U357" s="285"/>
      <c r="V357" s="285"/>
      <c r="W357" s="285"/>
      <c r="X357" s="285"/>
      <c r="Y357" s="285"/>
      <c r="Z357" s="285"/>
    </row>
    <row r="358" ht="12.75" customHeight="1">
      <c r="A358" s="285"/>
      <c r="B358" s="75"/>
      <c r="C358" s="75"/>
      <c r="D358" s="321"/>
      <c r="E358" s="321"/>
      <c r="F358" s="322"/>
      <c r="G358" s="75"/>
      <c r="H358" s="321"/>
      <c r="I358" s="321"/>
      <c r="J358" s="323"/>
      <c r="K358" s="324"/>
      <c r="L358" s="285"/>
      <c r="M358" s="285"/>
      <c r="N358" s="285"/>
      <c r="O358" s="325"/>
      <c r="P358" s="285"/>
      <c r="Q358" s="325"/>
      <c r="R358" s="325"/>
      <c r="S358" s="285"/>
      <c r="T358" s="285"/>
      <c r="U358" s="285"/>
      <c r="V358" s="285"/>
      <c r="W358" s="285"/>
      <c r="X358" s="285"/>
      <c r="Y358" s="285"/>
      <c r="Z358" s="285"/>
    </row>
    <row r="359" ht="12.75" customHeight="1">
      <c r="A359" s="285"/>
      <c r="B359" s="75"/>
      <c r="C359" s="75"/>
      <c r="D359" s="321"/>
      <c r="E359" s="321"/>
      <c r="F359" s="322"/>
      <c r="G359" s="75"/>
      <c r="H359" s="321"/>
      <c r="I359" s="321"/>
      <c r="J359" s="323"/>
      <c r="K359" s="324"/>
      <c r="L359" s="285"/>
      <c r="M359" s="285"/>
      <c r="N359" s="285"/>
      <c r="O359" s="325"/>
      <c r="P359" s="285"/>
      <c r="Q359" s="325"/>
      <c r="R359" s="325"/>
      <c r="S359" s="285"/>
      <c r="T359" s="285"/>
      <c r="U359" s="285"/>
      <c r="V359" s="285"/>
      <c r="W359" s="285"/>
      <c r="X359" s="285"/>
      <c r="Y359" s="285"/>
      <c r="Z359" s="285"/>
    </row>
    <row r="360" ht="12.75" customHeight="1">
      <c r="A360" s="285"/>
      <c r="B360" s="75"/>
      <c r="C360" s="75"/>
      <c r="D360" s="321"/>
      <c r="E360" s="321"/>
      <c r="F360" s="322"/>
      <c r="G360" s="75"/>
      <c r="H360" s="321"/>
      <c r="I360" s="321"/>
      <c r="J360" s="323"/>
      <c r="K360" s="324"/>
      <c r="L360" s="285"/>
      <c r="M360" s="285"/>
      <c r="N360" s="285"/>
      <c r="O360" s="325"/>
      <c r="P360" s="285"/>
      <c r="Q360" s="325"/>
      <c r="R360" s="325"/>
      <c r="S360" s="285"/>
      <c r="T360" s="285"/>
      <c r="U360" s="285"/>
      <c r="V360" s="285"/>
      <c r="W360" s="285"/>
      <c r="X360" s="285"/>
      <c r="Y360" s="285"/>
      <c r="Z360" s="285"/>
    </row>
    <row r="361" ht="12.75" customHeight="1">
      <c r="A361" s="285"/>
      <c r="B361" s="75"/>
      <c r="C361" s="75"/>
      <c r="D361" s="321"/>
      <c r="E361" s="321"/>
      <c r="F361" s="322"/>
      <c r="G361" s="75"/>
      <c r="H361" s="321"/>
      <c r="I361" s="321"/>
      <c r="J361" s="323"/>
      <c r="K361" s="324"/>
      <c r="L361" s="285"/>
      <c r="M361" s="285"/>
      <c r="N361" s="285"/>
      <c r="O361" s="325"/>
      <c r="P361" s="285"/>
      <c r="Q361" s="325"/>
      <c r="R361" s="325"/>
      <c r="S361" s="285"/>
      <c r="T361" s="285"/>
      <c r="U361" s="285"/>
      <c r="V361" s="285"/>
      <c r="W361" s="285"/>
      <c r="X361" s="285"/>
      <c r="Y361" s="285"/>
      <c r="Z361" s="285"/>
    </row>
    <row r="362" ht="12.75" customHeight="1">
      <c r="A362" s="285"/>
      <c r="B362" s="75"/>
      <c r="C362" s="75"/>
      <c r="D362" s="321"/>
      <c r="E362" s="321"/>
      <c r="F362" s="322"/>
      <c r="G362" s="75"/>
      <c r="H362" s="321"/>
      <c r="I362" s="321"/>
      <c r="J362" s="323"/>
      <c r="K362" s="324"/>
      <c r="L362" s="285"/>
      <c r="M362" s="285"/>
      <c r="N362" s="285"/>
      <c r="O362" s="325"/>
      <c r="P362" s="285"/>
      <c r="Q362" s="325"/>
      <c r="R362" s="325"/>
      <c r="S362" s="285"/>
      <c r="T362" s="285"/>
      <c r="U362" s="285"/>
      <c r="V362" s="285"/>
      <c r="W362" s="285"/>
      <c r="X362" s="285"/>
      <c r="Y362" s="285"/>
      <c r="Z362" s="285"/>
    </row>
    <row r="363" ht="12.75" customHeight="1">
      <c r="A363" s="285"/>
      <c r="B363" s="75"/>
      <c r="C363" s="75"/>
      <c r="D363" s="321"/>
      <c r="E363" s="321"/>
      <c r="F363" s="322"/>
      <c r="G363" s="75"/>
      <c r="H363" s="321"/>
      <c r="I363" s="321"/>
      <c r="J363" s="323"/>
      <c r="K363" s="324"/>
      <c r="L363" s="285"/>
      <c r="M363" s="285"/>
      <c r="N363" s="285"/>
      <c r="O363" s="325"/>
      <c r="P363" s="285"/>
      <c r="Q363" s="325"/>
      <c r="R363" s="325"/>
      <c r="S363" s="285"/>
      <c r="T363" s="285"/>
      <c r="U363" s="285"/>
      <c r="V363" s="285"/>
      <c r="W363" s="285"/>
      <c r="X363" s="285"/>
      <c r="Y363" s="285"/>
      <c r="Z363" s="285"/>
    </row>
    <row r="364" ht="12.75" customHeight="1">
      <c r="A364" s="285"/>
      <c r="B364" s="75"/>
      <c r="C364" s="75"/>
      <c r="D364" s="321"/>
      <c r="E364" s="321"/>
      <c r="F364" s="322"/>
      <c r="G364" s="75"/>
      <c r="H364" s="321"/>
      <c r="I364" s="321"/>
      <c r="J364" s="323"/>
      <c r="K364" s="324"/>
      <c r="L364" s="285"/>
      <c r="M364" s="285"/>
      <c r="N364" s="285"/>
      <c r="O364" s="325"/>
      <c r="P364" s="285"/>
      <c r="Q364" s="325"/>
      <c r="R364" s="325"/>
      <c r="S364" s="285"/>
      <c r="T364" s="285"/>
      <c r="U364" s="285"/>
      <c r="V364" s="285"/>
      <c r="W364" s="285"/>
      <c r="X364" s="285"/>
      <c r="Y364" s="285"/>
      <c r="Z364" s="285"/>
    </row>
    <row r="365" ht="12.75" customHeight="1">
      <c r="A365" s="285"/>
      <c r="B365" s="75"/>
      <c r="C365" s="75"/>
      <c r="D365" s="321"/>
      <c r="E365" s="321"/>
      <c r="F365" s="322"/>
      <c r="G365" s="75"/>
      <c r="H365" s="321"/>
      <c r="I365" s="321"/>
      <c r="J365" s="323"/>
      <c r="K365" s="324"/>
      <c r="L365" s="285"/>
      <c r="M365" s="285"/>
      <c r="N365" s="285"/>
      <c r="O365" s="325"/>
      <c r="P365" s="285"/>
      <c r="Q365" s="325"/>
      <c r="R365" s="325"/>
      <c r="S365" s="285"/>
      <c r="T365" s="285"/>
      <c r="U365" s="285"/>
      <c r="V365" s="285"/>
      <c r="W365" s="285"/>
      <c r="X365" s="285"/>
      <c r="Y365" s="285"/>
      <c r="Z365" s="285"/>
    </row>
    <row r="366" ht="12.75" customHeight="1">
      <c r="A366" s="285"/>
      <c r="B366" s="75"/>
      <c r="C366" s="75"/>
      <c r="D366" s="321"/>
      <c r="E366" s="321"/>
      <c r="F366" s="322"/>
      <c r="G366" s="75"/>
      <c r="H366" s="321"/>
      <c r="I366" s="321"/>
      <c r="J366" s="323"/>
      <c r="K366" s="324"/>
      <c r="L366" s="285"/>
      <c r="M366" s="285"/>
      <c r="N366" s="285"/>
      <c r="O366" s="325"/>
      <c r="P366" s="285"/>
      <c r="Q366" s="325"/>
      <c r="R366" s="325"/>
      <c r="S366" s="285"/>
      <c r="T366" s="285"/>
      <c r="U366" s="285"/>
      <c r="V366" s="285"/>
      <c r="W366" s="285"/>
      <c r="X366" s="285"/>
      <c r="Y366" s="285"/>
      <c r="Z366" s="285"/>
    </row>
    <row r="367" ht="12.75" customHeight="1">
      <c r="A367" s="285"/>
      <c r="B367" s="75"/>
      <c r="C367" s="75"/>
      <c r="D367" s="321"/>
      <c r="E367" s="321"/>
      <c r="F367" s="322"/>
      <c r="G367" s="75"/>
      <c r="H367" s="321"/>
      <c r="I367" s="321"/>
      <c r="J367" s="323"/>
      <c r="K367" s="324"/>
      <c r="L367" s="285"/>
      <c r="M367" s="285"/>
      <c r="N367" s="285"/>
      <c r="O367" s="325"/>
      <c r="P367" s="285"/>
      <c r="Q367" s="325"/>
      <c r="R367" s="325"/>
      <c r="S367" s="285"/>
      <c r="T367" s="285"/>
      <c r="U367" s="285"/>
      <c r="V367" s="285"/>
      <c r="W367" s="285"/>
      <c r="X367" s="285"/>
      <c r="Y367" s="285"/>
      <c r="Z367" s="285"/>
    </row>
    <row r="368" ht="12.75" customHeight="1">
      <c r="A368" s="285"/>
      <c r="B368" s="75"/>
      <c r="C368" s="75"/>
      <c r="D368" s="321"/>
      <c r="E368" s="321"/>
      <c r="F368" s="322"/>
      <c r="G368" s="75"/>
      <c r="H368" s="321"/>
      <c r="I368" s="321"/>
      <c r="J368" s="323"/>
      <c r="K368" s="324"/>
      <c r="L368" s="285"/>
      <c r="M368" s="285"/>
      <c r="N368" s="285"/>
      <c r="O368" s="325"/>
      <c r="P368" s="285"/>
      <c r="Q368" s="325"/>
      <c r="R368" s="325"/>
      <c r="S368" s="285"/>
      <c r="T368" s="285"/>
      <c r="U368" s="285"/>
      <c r="V368" s="285"/>
      <c r="W368" s="285"/>
      <c r="X368" s="285"/>
      <c r="Y368" s="285"/>
      <c r="Z368" s="285"/>
    </row>
    <row r="369" ht="12.75" customHeight="1">
      <c r="A369" s="285"/>
      <c r="B369" s="75"/>
      <c r="C369" s="75"/>
      <c r="D369" s="321"/>
      <c r="E369" s="321"/>
      <c r="F369" s="322"/>
      <c r="G369" s="75"/>
      <c r="H369" s="321"/>
      <c r="I369" s="321"/>
      <c r="J369" s="323"/>
      <c r="K369" s="324"/>
      <c r="L369" s="285"/>
      <c r="M369" s="285"/>
      <c r="N369" s="285"/>
      <c r="O369" s="325"/>
      <c r="P369" s="285"/>
      <c r="Q369" s="325"/>
      <c r="R369" s="325"/>
      <c r="S369" s="285"/>
      <c r="T369" s="285"/>
      <c r="U369" s="285"/>
      <c r="V369" s="285"/>
      <c r="W369" s="285"/>
      <c r="X369" s="285"/>
      <c r="Y369" s="285"/>
      <c r="Z369" s="285"/>
    </row>
    <row r="370" ht="12.75" customHeight="1">
      <c r="A370" s="285"/>
      <c r="B370" s="75"/>
      <c r="C370" s="75"/>
      <c r="D370" s="321"/>
      <c r="E370" s="321"/>
      <c r="F370" s="322"/>
      <c r="G370" s="75"/>
      <c r="H370" s="321"/>
      <c r="I370" s="321"/>
      <c r="J370" s="323"/>
      <c r="K370" s="324"/>
      <c r="L370" s="285"/>
      <c r="M370" s="285"/>
      <c r="N370" s="285"/>
      <c r="O370" s="325"/>
      <c r="P370" s="285"/>
      <c r="Q370" s="325"/>
      <c r="R370" s="325"/>
      <c r="S370" s="285"/>
      <c r="T370" s="285"/>
      <c r="U370" s="285"/>
      <c r="V370" s="285"/>
      <c r="W370" s="285"/>
      <c r="X370" s="285"/>
      <c r="Y370" s="285"/>
      <c r="Z370" s="285"/>
    </row>
    <row r="371" ht="12.75" customHeight="1">
      <c r="A371" s="285"/>
      <c r="B371" s="75"/>
      <c r="C371" s="75"/>
      <c r="D371" s="321"/>
      <c r="E371" s="321"/>
      <c r="F371" s="322"/>
      <c r="G371" s="75"/>
      <c r="H371" s="321"/>
      <c r="I371" s="321"/>
      <c r="J371" s="323"/>
      <c r="K371" s="324"/>
      <c r="L371" s="285"/>
      <c r="M371" s="285"/>
      <c r="N371" s="285"/>
      <c r="O371" s="325"/>
      <c r="P371" s="285"/>
      <c r="Q371" s="325"/>
      <c r="R371" s="325"/>
      <c r="S371" s="285"/>
      <c r="T371" s="285"/>
      <c r="U371" s="285"/>
      <c r="V371" s="285"/>
      <c r="W371" s="285"/>
      <c r="X371" s="285"/>
      <c r="Y371" s="285"/>
      <c r="Z371" s="285"/>
    </row>
    <row r="372" ht="12.75" customHeight="1">
      <c r="A372" s="285"/>
      <c r="B372" s="75"/>
      <c r="C372" s="75"/>
      <c r="D372" s="321"/>
      <c r="E372" s="321"/>
      <c r="F372" s="322"/>
      <c r="G372" s="75"/>
      <c r="H372" s="321"/>
      <c r="I372" s="321"/>
      <c r="J372" s="323"/>
      <c r="K372" s="324"/>
      <c r="L372" s="285"/>
      <c r="M372" s="285"/>
      <c r="N372" s="285"/>
      <c r="O372" s="325"/>
      <c r="P372" s="285"/>
      <c r="Q372" s="325"/>
      <c r="R372" s="325"/>
      <c r="S372" s="285"/>
      <c r="T372" s="285"/>
      <c r="U372" s="285"/>
      <c r="V372" s="285"/>
      <c r="W372" s="285"/>
      <c r="X372" s="285"/>
      <c r="Y372" s="285"/>
      <c r="Z372" s="285"/>
    </row>
    <row r="373" ht="12.75" customHeight="1">
      <c r="A373" s="285"/>
      <c r="B373" s="75"/>
      <c r="C373" s="75"/>
      <c r="D373" s="321"/>
      <c r="E373" s="321"/>
      <c r="F373" s="322"/>
      <c r="G373" s="75"/>
      <c r="H373" s="321"/>
      <c r="I373" s="321"/>
      <c r="J373" s="323"/>
      <c r="K373" s="324"/>
      <c r="L373" s="285"/>
      <c r="M373" s="285"/>
      <c r="N373" s="285"/>
      <c r="O373" s="325"/>
      <c r="P373" s="285"/>
      <c r="Q373" s="325"/>
      <c r="R373" s="325"/>
      <c r="S373" s="285"/>
      <c r="T373" s="285"/>
      <c r="U373" s="285"/>
      <c r="V373" s="285"/>
      <c r="W373" s="285"/>
      <c r="X373" s="285"/>
      <c r="Y373" s="285"/>
      <c r="Z373" s="285"/>
    </row>
    <row r="374" ht="12.75" customHeight="1">
      <c r="A374" s="285"/>
      <c r="B374" s="75"/>
      <c r="C374" s="75"/>
      <c r="D374" s="321"/>
      <c r="E374" s="321"/>
      <c r="F374" s="322"/>
      <c r="G374" s="75"/>
      <c r="H374" s="321"/>
      <c r="I374" s="321"/>
      <c r="J374" s="323"/>
      <c r="K374" s="324"/>
      <c r="L374" s="285"/>
      <c r="M374" s="285"/>
      <c r="N374" s="285"/>
      <c r="O374" s="325"/>
      <c r="P374" s="285"/>
      <c r="Q374" s="325"/>
      <c r="R374" s="325"/>
      <c r="S374" s="285"/>
      <c r="T374" s="285"/>
      <c r="U374" s="285"/>
      <c r="V374" s="285"/>
      <c r="W374" s="285"/>
      <c r="X374" s="285"/>
      <c r="Y374" s="285"/>
      <c r="Z374" s="285"/>
    </row>
    <row r="375" ht="12.75" customHeight="1">
      <c r="A375" s="285"/>
      <c r="B375" s="75"/>
      <c r="C375" s="75"/>
      <c r="D375" s="321"/>
      <c r="E375" s="321"/>
      <c r="F375" s="322"/>
      <c r="G375" s="75"/>
      <c r="H375" s="321"/>
      <c r="I375" s="321"/>
      <c r="J375" s="323"/>
      <c r="K375" s="324"/>
      <c r="L375" s="285"/>
      <c r="M375" s="285"/>
      <c r="N375" s="285"/>
      <c r="O375" s="325"/>
      <c r="P375" s="285"/>
      <c r="Q375" s="325"/>
      <c r="R375" s="325"/>
      <c r="S375" s="285"/>
      <c r="T375" s="285"/>
      <c r="U375" s="285"/>
      <c r="V375" s="285"/>
      <c r="W375" s="285"/>
      <c r="X375" s="285"/>
      <c r="Y375" s="285"/>
      <c r="Z375" s="285"/>
    </row>
    <row r="376" ht="12.75" customHeight="1">
      <c r="A376" s="285"/>
      <c r="B376" s="75"/>
      <c r="C376" s="75"/>
      <c r="D376" s="321"/>
      <c r="E376" s="321"/>
      <c r="F376" s="322"/>
      <c r="G376" s="75"/>
      <c r="H376" s="321"/>
      <c r="I376" s="321"/>
      <c r="J376" s="323"/>
      <c r="K376" s="324"/>
      <c r="L376" s="285"/>
      <c r="M376" s="285"/>
      <c r="N376" s="285"/>
      <c r="O376" s="325"/>
      <c r="P376" s="285"/>
      <c r="Q376" s="325"/>
      <c r="R376" s="325"/>
      <c r="S376" s="285"/>
      <c r="T376" s="285"/>
      <c r="U376" s="285"/>
      <c r="V376" s="285"/>
      <c r="W376" s="285"/>
      <c r="X376" s="285"/>
      <c r="Y376" s="285"/>
      <c r="Z376" s="285"/>
    </row>
    <row r="377" ht="12.75" customHeight="1">
      <c r="A377" s="285"/>
      <c r="B377" s="75"/>
      <c r="C377" s="75"/>
      <c r="D377" s="321"/>
      <c r="E377" s="321"/>
      <c r="F377" s="322"/>
      <c r="G377" s="75"/>
      <c r="H377" s="321"/>
      <c r="I377" s="321"/>
      <c r="J377" s="323"/>
      <c r="K377" s="324"/>
      <c r="L377" s="285"/>
      <c r="M377" s="285"/>
      <c r="N377" s="285"/>
      <c r="O377" s="325"/>
      <c r="P377" s="285"/>
      <c r="Q377" s="325"/>
      <c r="R377" s="325"/>
      <c r="S377" s="285"/>
      <c r="T377" s="285"/>
      <c r="U377" s="285"/>
      <c r="V377" s="285"/>
      <c r="W377" s="285"/>
      <c r="X377" s="285"/>
      <c r="Y377" s="285"/>
      <c r="Z377" s="285"/>
    </row>
    <row r="378" ht="12.75" customHeight="1">
      <c r="A378" s="285"/>
      <c r="B378" s="75"/>
      <c r="C378" s="75"/>
      <c r="D378" s="321"/>
      <c r="E378" s="321"/>
      <c r="F378" s="322"/>
      <c r="G378" s="75"/>
      <c r="H378" s="321"/>
      <c r="I378" s="321"/>
      <c r="J378" s="323"/>
      <c r="K378" s="324"/>
      <c r="L378" s="285"/>
      <c r="M378" s="285"/>
      <c r="N378" s="285"/>
      <c r="O378" s="325"/>
      <c r="P378" s="285"/>
      <c r="Q378" s="325"/>
      <c r="R378" s="325"/>
      <c r="S378" s="285"/>
      <c r="T378" s="285"/>
      <c r="U378" s="285"/>
      <c r="V378" s="285"/>
      <c r="W378" s="285"/>
      <c r="X378" s="285"/>
      <c r="Y378" s="285"/>
      <c r="Z378" s="285"/>
    </row>
    <row r="379" ht="12.75" customHeight="1">
      <c r="A379" s="285"/>
      <c r="B379" s="75"/>
      <c r="C379" s="75"/>
      <c r="D379" s="321"/>
      <c r="E379" s="321"/>
      <c r="F379" s="322"/>
      <c r="G379" s="75"/>
      <c r="H379" s="321"/>
      <c r="I379" s="321"/>
      <c r="J379" s="323"/>
      <c r="K379" s="324"/>
      <c r="L379" s="285"/>
      <c r="M379" s="285"/>
      <c r="N379" s="285"/>
      <c r="O379" s="325"/>
      <c r="P379" s="285"/>
      <c r="Q379" s="325"/>
      <c r="R379" s="325"/>
      <c r="S379" s="285"/>
      <c r="T379" s="285"/>
      <c r="U379" s="285"/>
      <c r="V379" s="285"/>
      <c r="W379" s="285"/>
      <c r="X379" s="285"/>
      <c r="Y379" s="285"/>
      <c r="Z379" s="285"/>
    </row>
    <row r="380" ht="12.75" customHeight="1">
      <c r="A380" s="285"/>
      <c r="B380" s="75"/>
      <c r="C380" s="75"/>
      <c r="D380" s="321"/>
      <c r="E380" s="321"/>
      <c r="F380" s="322"/>
      <c r="G380" s="75"/>
      <c r="H380" s="321"/>
      <c r="I380" s="321"/>
      <c r="J380" s="323"/>
      <c r="K380" s="324"/>
      <c r="L380" s="285"/>
      <c r="M380" s="285"/>
      <c r="N380" s="285"/>
      <c r="O380" s="325"/>
      <c r="P380" s="285"/>
      <c r="Q380" s="325"/>
      <c r="R380" s="325"/>
      <c r="S380" s="285"/>
      <c r="T380" s="285"/>
      <c r="U380" s="285"/>
      <c r="V380" s="285"/>
      <c r="W380" s="285"/>
      <c r="X380" s="285"/>
      <c r="Y380" s="285"/>
      <c r="Z380" s="285"/>
    </row>
    <row r="381" ht="12.75" customHeight="1">
      <c r="A381" s="285"/>
      <c r="B381" s="75"/>
      <c r="C381" s="75"/>
      <c r="D381" s="321"/>
      <c r="E381" s="321"/>
      <c r="F381" s="322"/>
      <c r="G381" s="75"/>
      <c r="H381" s="321"/>
      <c r="I381" s="321"/>
      <c r="J381" s="323"/>
      <c r="K381" s="324"/>
      <c r="L381" s="285"/>
      <c r="M381" s="285"/>
      <c r="N381" s="285"/>
      <c r="O381" s="325"/>
      <c r="P381" s="285"/>
      <c r="Q381" s="325"/>
      <c r="R381" s="325"/>
      <c r="S381" s="285"/>
      <c r="T381" s="285"/>
      <c r="U381" s="285"/>
      <c r="V381" s="285"/>
      <c r="W381" s="285"/>
      <c r="X381" s="285"/>
      <c r="Y381" s="285"/>
      <c r="Z381" s="285"/>
    </row>
    <row r="382" ht="12.75" customHeight="1">
      <c r="A382" s="285"/>
      <c r="B382" s="75"/>
      <c r="C382" s="75"/>
      <c r="D382" s="321"/>
      <c r="E382" s="321"/>
      <c r="F382" s="322"/>
      <c r="G382" s="75"/>
      <c r="H382" s="321"/>
      <c r="I382" s="321"/>
      <c r="J382" s="323"/>
      <c r="K382" s="324"/>
      <c r="L382" s="285"/>
      <c r="M382" s="285"/>
      <c r="N382" s="285"/>
      <c r="O382" s="325"/>
      <c r="P382" s="285"/>
      <c r="Q382" s="325"/>
      <c r="R382" s="325"/>
      <c r="S382" s="285"/>
      <c r="T382" s="285"/>
      <c r="U382" s="285"/>
      <c r="V382" s="285"/>
      <c r="W382" s="285"/>
      <c r="X382" s="285"/>
      <c r="Y382" s="285"/>
      <c r="Z382" s="285"/>
    </row>
    <row r="383" ht="12.75" customHeight="1">
      <c r="A383" s="285"/>
      <c r="B383" s="75"/>
      <c r="C383" s="75"/>
      <c r="D383" s="321"/>
      <c r="E383" s="321"/>
      <c r="F383" s="322"/>
      <c r="G383" s="75"/>
      <c r="H383" s="321"/>
      <c r="I383" s="321"/>
      <c r="J383" s="323"/>
      <c r="K383" s="324"/>
      <c r="L383" s="285"/>
      <c r="M383" s="285"/>
      <c r="N383" s="285"/>
      <c r="O383" s="325"/>
      <c r="P383" s="285"/>
      <c r="Q383" s="325"/>
      <c r="R383" s="325"/>
      <c r="S383" s="285"/>
      <c r="T383" s="285"/>
      <c r="U383" s="285"/>
      <c r="V383" s="285"/>
      <c r="W383" s="285"/>
      <c r="X383" s="285"/>
      <c r="Y383" s="285"/>
      <c r="Z383" s="285"/>
    </row>
    <row r="384" ht="12.75" customHeight="1">
      <c r="A384" s="285"/>
      <c r="B384" s="75"/>
      <c r="C384" s="75"/>
      <c r="D384" s="321"/>
      <c r="E384" s="321"/>
      <c r="F384" s="322"/>
      <c r="G384" s="75"/>
      <c r="H384" s="321"/>
      <c r="I384" s="321"/>
      <c r="J384" s="323"/>
      <c r="K384" s="324"/>
      <c r="L384" s="285"/>
      <c r="M384" s="285"/>
      <c r="N384" s="285"/>
      <c r="O384" s="325"/>
      <c r="P384" s="285"/>
      <c r="Q384" s="325"/>
      <c r="R384" s="325"/>
      <c r="S384" s="285"/>
      <c r="T384" s="285"/>
      <c r="U384" s="285"/>
      <c r="V384" s="285"/>
      <c r="W384" s="285"/>
      <c r="X384" s="285"/>
      <c r="Y384" s="285"/>
      <c r="Z384" s="285"/>
    </row>
    <row r="385" ht="12.75" customHeight="1">
      <c r="A385" s="285"/>
      <c r="B385" s="75"/>
      <c r="C385" s="75"/>
      <c r="D385" s="321"/>
      <c r="E385" s="321"/>
      <c r="F385" s="322"/>
      <c r="G385" s="75"/>
      <c r="H385" s="321"/>
      <c r="I385" s="321"/>
      <c r="J385" s="323"/>
      <c r="K385" s="324"/>
      <c r="L385" s="285"/>
      <c r="M385" s="285"/>
      <c r="N385" s="285"/>
      <c r="O385" s="325"/>
      <c r="P385" s="285"/>
      <c r="Q385" s="325"/>
      <c r="R385" s="325"/>
      <c r="S385" s="285"/>
      <c r="T385" s="285"/>
      <c r="U385" s="285"/>
      <c r="V385" s="285"/>
      <c r="W385" s="285"/>
      <c r="X385" s="285"/>
      <c r="Y385" s="285"/>
      <c r="Z385" s="285"/>
    </row>
    <row r="386" ht="12.75" customHeight="1">
      <c r="A386" s="285"/>
      <c r="B386" s="75"/>
      <c r="C386" s="75"/>
      <c r="D386" s="321"/>
      <c r="E386" s="321"/>
      <c r="F386" s="322"/>
      <c r="G386" s="75"/>
      <c r="H386" s="321"/>
      <c r="I386" s="321"/>
      <c r="J386" s="323"/>
      <c r="K386" s="324"/>
      <c r="L386" s="285"/>
      <c r="M386" s="285"/>
      <c r="N386" s="285"/>
      <c r="O386" s="325"/>
      <c r="P386" s="285"/>
      <c r="Q386" s="325"/>
      <c r="R386" s="325"/>
      <c r="S386" s="285"/>
      <c r="T386" s="285"/>
      <c r="U386" s="285"/>
      <c r="V386" s="285"/>
      <c r="W386" s="285"/>
      <c r="X386" s="285"/>
      <c r="Y386" s="285"/>
      <c r="Z386" s="285"/>
    </row>
    <row r="387" ht="12.75" customHeight="1">
      <c r="A387" s="285"/>
      <c r="B387" s="75"/>
      <c r="C387" s="75"/>
      <c r="D387" s="321"/>
      <c r="E387" s="321"/>
      <c r="F387" s="322"/>
      <c r="G387" s="75"/>
      <c r="H387" s="321"/>
      <c r="I387" s="321"/>
      <c r="J387" s="323"/>
      <c r="K387" s="324"/>
      <c r="L387" s="285"/>
      <c r="M387" s="285"/>
      <c r="N387" s="285"/>
      <c r="O387" s="325"/>
      <c r="P387" s="285"/>
      <c r="Q387" s="325"/>
      <c r="R387" s="325"/>
      <c r="S387" s="285"/>
      <c r="T387" s="285"/>
      <c r="U387" s="285"/>
      <c r="V387" s="285"/>
      <c r="W387" s="285"/>
      <c r="X387" s="285"/>
      <c r="Y387" s="285"/>
      <c r="Z387" s="285"/>
    </row>
    <row r="388" ht="12.75" customHeight="1">
      <c r="A388" s="285"/>
      <c r="B388" s="75"/>
      <c r="C388" s="75"/>
      <c r="D388" s="321"/>
      <c r="E388" s="321"/>
      <c r="F388" s="322"/>
      <c r="G388" s="75"/>
      <c r="H388" s="321"/>
      <c r="I388" s="321"/>
      <c r="J388" s="323"/>
      <c r="K388" s="324"/>
      <c r="L388" s="285"/>
      <c r="M388" s="285"/>
      <c r="N388" s="285"/>
      <c r="O388" s="325"/>
      <c r="P388" s="285"/>
      <c r="Q388" s="325"/>
      <c r="R388" s="325"/>
      <c r="S388" s="285"/>
      <c r="T388" s="285"/>
      <c r="U388" s="285"/>
      <c r="V388" s="285"/>
      <c r="W388" s="285"/>
      <c r="X388" s="285"/>
      <c r="Y388" s="285"/>
      <c r="Z388" s="285"/>
    </row>
    <row r="389" ht="12.75" customHeight="1">
      <c r="A389" s="285"/>
      <c r="B389" s="75"/>
      <c r="C389" s="75"/>
      <c r="D389" s="321"/>
      <c r="E389" s="321"/>
      <c r="F389" s="322"/>
      <c r="G389" s="75"/>
      <c r="H389" s="321"/>
      <c r="I389" s="321"/>
      <c r="J389" s="323"/>
      <c r="K389" s="324"/>
      <c r="L389" s="285"/>
      <c r="M389" s="285"/>
      <c r="N389" s="285"/>
      <c r="O389" s="325"/>
      <c r="P389" s="285"/>
      <c r="Q389" s="325"/>
      <c r="R389" s="325"/>
      <c r="S389" s="285"/>
      <c r="T389" s="285"/>
      <c r="U389" s="285"/>
      <c r="V389" s="285"/>
      <c r="W389" s="285"/>
      <c r="X389" s="285"/>
      <c r="Y389" s="285"/>
      <c r="Z389" s="285"/>
    </row>
    <row r="390" ht="12.75" customHeight="1">
      <c r="A390" s="285"/>
      <c r="B390" s="75"/>
      <c r="C390" s="75"/>
      <c r="D390" s="321"/>
      <c r="E390" s="321"/>
      <c r="F390" s="322"/>
      <c r="G390" s="75"/>
      <c r="H390" s="321"/>
      <c r="I390" s="321"/>
      <c r="J390" s="323"/>
      <c r="K390" s="324"/>
      <c r="L390" s="285"/>
      <c r="M390" s="285"/>
      <c r="N390" s="285"/>
      <c r="O390" s="325"/>
      <c r="P390" s="285"/>
      <c r="Q390" s="325"/>
      <c r="R390" s="325"/>
      <c r="S390" s="285"/>
      <c r="T390" s="285"/>
      <c r="U390" s="285"/>
      <c r="V390" s="285"/>
      <c r="W390" s="285"/>
      <c r="X390" s="285"/>
      <c r="Y390" s="285"/>
      <c r="Z390" s="285"/>
    </row>
    <row r="391" ht="12.75" customHeight="1">
      <c r="A391" s="285"/>
      <c r="B391" s="75"/>
      <c r="C391" s="75"/>
      <c r="D391" s="321"/>
      <c r="E391" s="321"/>
      <c r="F391" s="322"/>
      <c r="G391" s="75"/>
      <c r="H391" s="321"/>
      <c r="I391" s="321"/>
      <c r="J391" s="323"/>
      <c r="K391" s="324"/>
      <c r="L391" s="285"/>
      <c r="M391" s="285"/>
      <c r="N391" s="285"/>
      <c r="O391" s="325"/>
      <c r="P391" s="285"/>
      <c r="Q391" s="325"/>
      <c r="R391" s="325"/>
      <c r="S391" s="285"/>
      <c r="T391" s="285"/>
      <c r="U391" s="285"/>
      <c r="V391" s="285"/>
      <c r="W391" s="285"/>
      <c r="X391" s="285"/>
      <c r="Y391" s="285"/>
      <c r="Z391" s="285"/>
    </row>
    <row r="392" ht="12.75" customHeight="1">
      <c r="A392" s="285"/>
      <c r="B392" s="75"/>
      <c r="C392" s="75"/>
      <c r="D392" s="321"/>
      <c r="E392" s="321"/>
      <c r="F392" s="322"/>
      <c r="G392" s="75"/>
      <c r="H392" s="321"/>
      <c r="I392" s="321"/>
      <c r="J392" s="323"/>
      <c r="K392" s="324"/>
      <c r="L392" s="285"/>
      <c r="M392" s="285"/>
      <c r="N392" s="285"/>
      <c r="O392" s="325"/>
      <c r="P392" s="285"/>
      <c r="Q392" s="325"/>
      <c r="R392" s="325"/>
      <c r="S392" s="285"/>
      <c r="T392" s="285"/>
      <c r="U392" s="285"/>
      <c r="V392" s="285"/>
      <c r="W392" s="285"/>
      <c r="X392" s="285"/>
      <c r="Y392" s="285"/>
      <c r="Z392" s="285"/>
    </row>
    <row r="393" ht="12.75" customHeight="1">
      <c r="A393" s="285"/>
      <c r="B393" s="75"/>
      <c r="C393" s="75"/>
      <c r="D393" s="321"/>
      <c r="E393" s="321"/>
      <c r="F393" s="322"/>
      <c r="G393" s="75"/>
      <c r="H393" s="321"/>
      <c r="I393" s="321"/>
      <c r="J393" s="323"/>
      <c r="K393" s="324"/>
      <c r="L393" s="285"/>
      <c r="M393" s="285"/>
      <c r="N393" s="285"/>
      <c r="O393" s="325"/>
      <c r="P393" s="285"/>
      <c r="Q393" s="325"/>
      <c r="R393" s="325"/>
      <c r="S393" s="285"/>
      <c r="T393" s="285"/>
      <c r="U393" s="285"/>
      <c r="V393" s="285"/>
      <c r="W393" s="285"/>
      <c r="X393" s="285"/>
      <c r="Y393" s="285"/>
      <c r="Z393" s="285"/>
    </row>
    <row r="394" ht="12.75" customHeight="1">
      <c r="A394" s="285"/>
      <c r="B394" s="75"/>
      <c r="C394" s="75"/>
      <c r="D394" s="321"/>
      <c r="E394" s="321"/>
      <c r="F394" s="322"/>
      <c r="G394" s="75"/>
      <c r="H394" s="321"/>
      <c r="I394" s="321"/>
      <c r="J394" s="323"/>
      <c r="K394" s="324"/>
      <c r="L394" s="285"/>
      <c r="M394" s="285"/>
      <c r="N394" s="285"/>
      <c r="O394" s="325"/>
      <c r="P394" s="285"/>
      <c r="Q394" s="325"/>
      <c r="R394" s="325"/>
      <c r="S394" s="285"/>
      <c r="T394" s="285"/>
      <c r="U394" s="285"/>
      <c r="V394" s="285"/>
      <c r="W394" s="285"/>
      <c r="X394" s="285"/>
      <c r="Y394" s="285"/>
      <c r="Z394" s="285"/>
    </row>
    <row r="395" ht="12.75" customHeight="1">
      <c r="A395" s="285"/>
      <c r="B395" s="75"/>
      <c r="C395" s="75"/>
      <c r="D395" s="321"/>
      <c r="E395" s="321"/>
      <c r="F395" s="322"/>
      <c r="G395" s="75"/>
      <c r="H395" s="321"/>
      <c r="I395" s="321"/>
      <c r="J395" s="323"/>
      <c r="K395" s="324"/>
      <c r="L395" s="285"/>
      <c r="M395" s="285"/>
      <c r="N395" s="285"/>
      <c r="O395" s="325"/>
      <c r="P395" s="285"/>
      <c r="Q395" s="325"/>
      <c r="R395" s="325"/>
      <c r="S395" s="285"/>
      <c r="T395" s="285"/>
      <c r="U395" s="285"/>
      <c r="V395" s="285"/>
      <c r="W395" s="285"/>
      <c r="X395" s="285"/>
      <c r="Y395" s="285"/>
      <c r="Z395" s="285"/>
    </row>
    <row r="396" ht="12.75" customHeight="1">
      <c r="A396" s="285"/>
      <c r="B396" s="75"/>
      <c r="C396" s="75"/>
      <c r="D396" s="321"/>
      <c r="E396" s="321"/>
      <c r="F396" s="322"/>
      <c r="G396" s="75"/>
      <c r="H396" s="321"/>
      <c r="I396" s="321"/>
      <c r="J396" s="323"/>
      <c r="K396" s="324"/>
      <c r="L396" s="285"/>
      <c r="M396" s="285"/>
      <c r="N396" s="285"/>
      <c r="O396" s="325"/>
      <c r="P396" s="285"/>
      <c r="Q396" s="325"/>
      <c r="R396" s="325"/>
      <c r="S396" s="285"/>
      <c r="T396" s="285"/>
      <c r="U396" s="285"/>
      <c r="V396" s="285"/>
      <c r="W396" s="285"/>
      <c r="X396" s="285"/>
      <c r="Y396" s="285"/>
      <c r="Z396" s="285"/>
    </row>
    <row r="397" ht="12.75" customHeight="1">
      <c r="A397" s="285"/>
      <c r="B397" s="75"/>
      <c r="C397" s="75"/>
      <c r="D397" s="321"/>
      <c r="E397" s="321"/>
      <c r="F397" s="322"/>
      <c r="G397" s="75"/>
      <c r="H397" s="321"/>
      <c r="I397" s="321"/>
      <c r="J397" s="323"/>
      <c r="K397" s="324"/>
      <c r="L397" s="285"/>
      <c r="M397" s="285"/>
      <c r="N397" s="285"/>
      <c r="O397" s="325"/>
      <c r="P397" s="285"/>
      <c r="Q397" s="325"/>
      <c r="R397" s="325"/>
      <c r="S397" s="285"/>
      <c r="T397" s="285"/>
      <c r="U397" s="285"/>
      <c r="V397" s="285"/>
      <c r="W397" s="285"/>
      <c r="X397" s="285"/>
      <c r="Y397" s="285"/>
      <c r="Z397" s="285"/>
    </row>
    <row r="398" ht="12.75" customHeight="1">
      <c r="A398" s="285"/>
      <c r="B398" s="75"/>
      <c r="C398" s="75"/>
      <c r="D398" s="321"/>
      <c r="E398" s="321"/>
      <c r="F398" s="322"/>
      <c r="G398" s="75"/>
      <c r="H398" s="321"/>
      <c r="I398" s="321"/>
      <c r="J398" s="323"/>
      <c r="K398" s="324"/>
      <c r="L398" s="285"/>
      <c r="M398" s="285"/>
      <c r="N398" s="285"/>
      <c r="O398" s="325"/>
      <c r="P398" s="285"/>
      <c r="Q398" s="325"/>
      <c r="R398" s="325"/>
      <c r="S398" s="285"/>
      <c r="T398" s="285"/>
      <c r="U398" s="285"/>
      <c r="V398" s="285"/>
      <c r="W398" s="285"/>
      <c r="X398" s="285"/>
      <c r="Y398" s="285"/>
      <c r="Z398" s="285"/>
    </row>
    <row r="399" ht="12.75" customHeight="1">
      <c r="A399" s="285"/>
      <c r="B399" s="75"/>
      <c r="C399" s="75"/>
      <c r="D399" s="321"/>
      <c r="E399" s="321"/>
      <c r="F399" s="322"/>
      <c r="G399" s="75"/>
      <c r="H399" s="321"/>
      <c r="I399" s="321"/>
      <c r="J399" s="323"/>
      <c r="K399" s="324"/>
      <c r="L399" s="285"/>
      <c r="M399" s="285"/>
      <c r="N399" s="285"/>
      <c r="O399" s="325"/>
      <c r="P399" s="285"/>
      <c r="Q399" s="325"/>
      <c r="R399" s="325"/>
      <c r="S399" s="285"/>
      <c r="T399" s="285"/>
      <c r="U399" s="285"/>
      <c r="V399" s="285"/>
      <c r="W399" s="285"/>
      <c r="X399" s="285"/>
      <c r="Y399" s="285"/>
      <c r="Z399" s="285"/>
    </row>
    <row r="400" ht="12.75" customHeight="1">
      <c r="A400" s="285"/>
      <c r="B400" s="75"/>
      <c r="C400" s="75"/>
      <c r="D400" s="321"/>
      <c r="E400" s="321"/>
      <c r="F400" s="322"/>
      <c r="G400" s="75"/>
      <c r="H400" s="321"/>
      <c r="I400" s="321"/>
      <c r="J400" s="323"/>
      <c r="K400" s="324"/>
      <c r="L400" s="285"/>
      <c r="M400" s="285"/>
      <c r="N400" s="285"/>
      <c r="O400" s="325"/>
      <c r="P400" s="285"/>
      <c r="Q400" s="325"/>
      <c r="R400" s="325"/>
      <c r="S400" s="285"/>
      <c r="T400" s="285"/>
      <c r="U400" s="285"/>
      <c r="V400" s="285"/>
      <c r="W400" s="285"/>
      <c r="X400" s="285"/>
      <c r="Y400" s="285"/>
      <c r="Z400" s="285"/>
    </row>
    <row r="401" ht="12.75" customHeight="1">
      <c r="A401" s="285"/>
      <c r="B401" s="75"/>
      <c r="C401" s="75"/>
      <c r="D401" s="321"/>
      <c r="E401" s="321"/>
      <c r="F401" s="322"/>
      <c r="G401" s="75"/>
      <c r="H401" s="321"/>
      <c r="I401" s="321"/>
      <c r="J401" s="323"/>
      <c r="K401" s="324"/>
      <c r="L401" s="285"/>
      <c r="M401" s="285"/>
      <c r="N401" s="285"/>
      <c r="O401" s="325"/>
      <c r="P401" s="285"/>
      <c r="Q401" s="325"/>
      <c r="R401" s="325"/>
      <c r="S401" s="285"/>
      <c r="T401" s="285"/>
      <c r="U401" s="285"/>
      <c r="V401" s="285"/>
      <c r="W401" s="285"/>
      <c r="X401" s="285"/>
      <c r="Y401" s="285"/>
      <c r="Z401" s="285"/>
    </row>
    <row r="402" ht="12.75" customHeight="1">
      <c r="A402" s="285"/>
      <c r="B402" s="75"/>
      <c r="C402" s="75"/>
      <c r="D402" s="321"/>
      <c r="E402" s="321"/>
      <c r="F402" s="322"/>
      <c r="G402" s="75"/>
      <c r="H402" s="321"/>
      <c r="I402" s="321"/>
      <c r="J402" s="323"/>
      <c r="K402" s="324"/>
      <c r="L402" s="285"/>
      <c r="M402" s="285"/>
      <c r="N402" s="285"/>
      <c r="O402" s="325"/>
      <c r="P402" s="285"/>
      <c r="Q402" s="325"/>
      <c r="R402" s="325"/>
      <c r="S402" s="285"/>
      <c r="T402" s="285"/>
      <c r="U402" s="285"/>
      <c r="V402" s="285"/>
      <c r="W402" s="285"/>
      <c r="X402" s="285"/>
      <c r="Y402" s="285"/>
      <c r="Z402" s="285"/>
    </row>
    <row r="403" ht="12.75" customHeight="1">
      <c r="A403" s="285"/>
      <c r="B403" s="75"/>
      <c r="C403" s="75"/>
      <c r="D403" s="321"/>
      <c r="E403" s="321"/>
      <c r="F403" s="322"/>
      <c r="G403" s="75"/>
      <c r="H403" s="321"/>
      <c r="I403" s="321"/>
      <c r="J403" s="323"/>
      <c r="K403" s="324"/>
      <c r="L403" s="285"/>
      <c r="M403" s="285"/>
      <c r="N403" s="285"/>
      <c r="O403" s="325"/>
      <c r="P403" s="285"/>
      <c r="Q403" s="325"/>
      <c r="R403" s="325"/>
      <c r="S403" s="285"/>
      <c r="T403" s="285"/>
      <c r="U403" s="285"/>
      <c r="V403" s="285"/>
      <c r="W403" s="285"/>
      <c r="X403" s="285"/>
      <c r="Y403" s="285"/>
      <c r="Z403" s="285"/>
    </row>
    <row r="404" ht="12.75" customHeight="1">
      <c r="A404" s="285"/>
      <c r="B404" s="75"/>
      <c r="C404" s="75"/>
      <c r="D404" s="321"/>
      <c r="E404" s="321"/>
      <c r="F404" s="322"/>
      <c r="G404" s="75"/>
      <c r="H404" s="321"/>
      <c r="I404" s="321"/>
      <c r="J404" s="323"/>
      <c r="K404" s="324"/>
      <c r="L404" s="285"/>
      <c r="M404" s="285"/>
      <c r="N404" s="285"/>
      <c r="O404" s="325"/>
      <c r="P404" s="285"/>
      <c r="Q404" s="325"/>
      <c r="R404" s="325"/>
      <c r="S404" s="285"/>
      <c r="T404" s="285"/>
      <c r="U404" s="285"/>
      <c r="V404" s="285"/>
      <c r="W404" s="285"/>
      <c r="X404" s="285"/>
      <c r="Y404" s="285"/>
      <c r="Z404" s="285"/>
    </row>
    <row r="405" ht="12.75" customHeight="1">
      <c r="A405" s="285"/>
      <c r="B405" s="75"/>
      <c r="C405" s="75"/>
      <c r="D405" s="321"/>
      <c r="E405" s="321"/>
      <c r="F405" s="322"/>
      <c r="G405" s="75"/>
      <c r="H405" s="321"/>
      <c r="I405" s="321"/>
      <c r="J405" s="323"/>
      <c r="K405" s="324"/>
      <c r="L405" s="285"/>
      <c r="M405" s="285"/>
      <c r="N405" s="285"/>
      <c r="O405" s="325"/>
      <c r="P405" s="285"/>
      <c r="Q405" s="325"/>
      <c r="R405" s="325"/>
      <c r="S405" s="285"/>
      <c r="T405" s="285"/>
      <c r="U405" s="285"/>
      <c r="V405" s="285"/>
      <c r="W405" s="285"/>
      <c r="X405" s="285"/>
      <c r="Y405" s="285"/>
      <c r="Z405" s="285"/>
    </row>
    <row r="406" ht="12.75" customHeight="1">
      <c r="A406" s="285"/>
      <c r="B406" s="75"/>
      <c r="C406" s="75"/>
      <c r="D406" s="321"/>
      <c r="E406" s="321"/>
      <c r="F406" s="322"/>
      <c r="G406" s="75"/>
      <c r="H406" s="321"/>
      <c r="I406" s="321"/>
      <c r="J406" s="323"/>
      <c r="K406" s="324"/>
      <c r="L406" s="285"/>
      <c r="M406" s="285"/>
      <c r="N406" s="285"/>
      <c r="O406" s="325"/>
      <c r="P406" s="285"/>
      <c r="Q406" s="325"/>
      <c r="R406" s="325"/>
      <c r="S406" s="285"/>
      <c r="T406" s="285"/>
      <c r="U406" s="285"/>
      <c r="V406" s="285"/>
      <c r="W406" s="285"/>
      <c r="X406" s="285"/>
      <c r="Y406" s="285"/>
      <c r="Z406" s="285"/>
    </row>
    <row r="407" ht="12.75" customHeight="1">
      <c r="A407" s="285"/>
      <c r="B407" s="75"/>
      <c r="C407" s="75"/>
      <c r="D407" s="321"/>
      <c r="E407" s="321"/>
      <c r="F407" s="322"/>
      <c r="G407" s="75"/>
      <c r="H407" s="321"/>
      <c r="I407" s="321"/>
      <c r="J407" s="323"/>
      <c r="K407" s="324"/>
      <c r="L407" s="285"/>
      <c r="M407" s="285"/>
      <c r="N407" s="285"/>
      <c r="O407" s="325"/>
      <c r="P407" s="285"/>
      <c r="Q407" s="325"/>
      <c r="R407" s="325"/>
      <c r="S407" s="285"/>
      <c r="T407" s="285"/>
      <c r="U407" s="285"/>
      <c r="V407" s="285"/>
      <c r="W407" s="285"/>
      <c r="X407" s="285"/>
      <c r="Y407" s="285"/>
      <c r="Z407" s="285"/>
    </row>
    <row r="408" ht="12.75" customHeight="1">
      <c r="A408" s="285"/>
      <c r="B408" s="75"/>
      <c r="C408" s="75"/>
      <c r="D408" s="321"/>
      <c r="E408" s="321"/>
      <c r="F408" s="322"/>
      <c r="G408" s="75"/>
      <c r="H408" s="321"/>
      <c r="I408" s="321"/>
      <c r="J408" s="323"/>
      <c r="K408" s="324"/>
      <c r="L408" s="285"/>
      <c r="M408" s="285"/>
      <c r="N408" s="285"/>
      <c r="O408" s="325"/>
      <c r="P408" s="285"/>
      <c r="Q408" s="325"/>
      <c r="R408" s="325"/>
      <c r="S408" s="285"/>
      <c r="T408" s="285"/>
      <c r="U408" s="285"/>
      <c r="V408" s="285"/>
      <c r="W408" s="285"/>
      <c r="X408" s="285"/>
      <c r="Y408" s="285"/>
      <c r="Z408" s="285"/>
    </row>
    <row r="409" ht="12.75" customHeight="1">
      <c r="A409" s="285"/>
      <c r="B409" s="75"/>
      <c r="C409" s="75"/>
      <c r="D409" s="321"/>
      <c r="E409" s="321"/>
      <c r="F409" s="322"/>
      <c r="G409" s="75"/>
      <c r="H409" s="321"/>
      <c r="I409" s="321"/>
      <c r="J409" s="323"/>
      <c r="K409" s="324"/>
      <c r="L409" s="285"/>
      <c r="M409" s="285"/>
      <c r="N409" s="285"/>
      <c r="O409" s="325"/>
      <c r="P409" s="285"/>
      <c r="Q409" s="325"/>
      <c r="R409" s="325"/>
      <c r="S409" s="285"/>
      <c r="T409" s="285"/>
      <c r="U409" s="285"/>
      <c r="V409" s="285"/>
      <c r="W409" s="285"/>
      <c r="X409" s="285"/>
      <c r="Y409" s="285"/>
      <c r="Z409" s="285"/>
    </row>
    <row r="410" ht="12.75" customHeight="1">
      <c r="A410" s="285"/>
      <c r="B410" s="75"/>
      <c r="C410" s="75"/>
      <c r="D410" s="321"/>
      <c r="E410" s="321"/>
      <c r="F410" s="322"/>
      <c r="G410" s="75"/>
      <c r="H410" s="321"/>
      <c r="I410" s="321"/>
      <c r="J410" s="323"/>
      <c r="K410" s="324"/>
      <c r="L410" s="285"/>
      <c r="M410" s="285"/>
      <c r="N410" s="285"/>
      <c r="O410" s="325"/>
      <c r="P410" s="285"/>
      <c r="Q410" s="325"/>
      <c r="R410" s="325"/>
      <c r="S410" s="285"/>
      <c r="T410" s="285"/>
      <c r="U410" s="285"/>
      <c r="V410" s="285"/>
      <c r="W410" s="285"/>
      <c r="X410" s="285"/>
      <c r="Y410" s="285"/>
      <c r="Z410" s="285"/>
    </row>
    <row r="411" ht="12.75" customHeight="1">
      <c r="A411" s="285"/>
      <c r="B411" s="75"/>
      <c r="C411" s="75"/>
      <c r="D411" s="321"/>
      <c r="E411" s="321"/>
      <c r="F411" s="322"/>
      <c r="G411" s="75"/>
      <c r="H411" s="321"/>
      <c r="I411" s="321"/>
      <c r="J411" s="323"/>
      <c r="K411" s="324"/>
      <c r="L411" s="285"/>
      <c r="M411" s="285"/>
      <c r="N411" s="285"/>
      <c r="O411" s="325"/>
      <c r="P411" s="285"/>
      <c r="Q411" s="325"/>
      <c r="R411" s="325"/>
      <c r="S411" s="285"/>
      <c r="T411" s="285"/>
      <c r="U411" s="285"/>
      <c r="V411" s="285"/>
      <c r="W411" s="285"/>
      <c r="X411" s="285"/>
      <c r="Y411" s="285"/>
      <c r="Z411" s="285"/>
    </row>
    <row r="412" ht="12.75" customHeight="1">
      <c r="A412" s="285"/>
      <c r="B412" s="75"/>
      <c r="C412" s="75"/>
      <c r="D412" s="321"/>
      <c r="E412" s="321"/>
      <c r="F412" s="322"/>
      <c r="G412" s="75"/>
      <c r="H412" s="321"/>
      <c r="I412" s="321"/>
      <c r="J412" s="323"/>
      <c r="K412" s="324"/>
      <c r="L412" s="285"/>
      <c r="M412" s="285"/>
      <c r="N412" s="285"/>
      <c r="O412" s="325"/>
      <c r="P412" s="285"/>
      <c r="Q412" s="325"/>
      <c r="R412" s="325"/>
      <c r="S412" s="285"/>
      <c r="T412" s="285"/>
      <c r="U412" s="285"/>
      <c r="V412" s="285"/>
      <c r="W412" s="285"/>
      <c r="X412" s="285"/>
      <c r="Y412" s="285"/>
      <c r="Z412" s="285"/>
    </row>
    <row r="413" ht="12.75" customHeight="1">
      <c r="A413" s="285"/>
      <c r="B413" s="75"/>
      <c r="C413" s="75"/>
      <c r="D413" s="321"/>
      <c r="E413" s="321"/>
      <c r="F413" s="322"/>
      <c r="G413" s="75"/>
      <c r="H413" s="321"/>
      <c r="I413" s="321"/>
      <c r="J413" s="323"/>
      <c r="K413" s="324"/>
      <c r="L413" s="285"/>
      <c r="M413" s="285"/>
      <c r="N413" s="285"/>
      <c r="O413" s="325"/>
      <c r="P413" s="285"/>
      <c r="Q413" s="325"/>
      <c r="R413" s="325"/>
      <c r="S413" s="285"/>
      <c r="T413" s="285"/>
      <c r="U413" s="285"/>
      <c r="V413" s="285"/>
      <c r="W413" s="285"/>
      <c r="X413" s="285"/>
      <c r="Y413" s="285"/>
      <c r="Z413" s="285"/>
    </row>
    <row r="414" ht="12.75" customHeight="1">
      <c r="A414" s="285"/>
      <c r="B414" s="75"/>
      <c r="C414" s="75"/>
      <c r="D414" s="321"/>
      <c r="E414" s="321"/>
      <c r="F414" s="322"/>
      <c r="G414" s="75"/>
      <c r="H414" s="321"/>
      <c r="I414" s="321"/>
      <c r="J414" s="323"/>
      <c r="K414" s="324"/>
      <c r="L414" s="285"/>
      <c r="M414" s="285"/>
      <c r="N414" s="285"/>
      <c r="O414" s="325"/>
      <c r="P414" s="285"/>
      <c r="Q414" s="325"/>
      <c r="R414" s="325"/>
      <c r="S414" s="285"/>
      <c r="T414" s="285"/>
      <c r="U414" s="285"/>
      <c r="V414" s="285"/>
      <c r="W414" s="285"/>
      <c r="X414" s="285"/>
      <c r="Y414" s="285"/>
      <c r="Z414" s="285"/>
    </row>
    <row r="415" ht="12.75" customHeight="1">
      <c r="A415" s="285"/>
      <c r="B415" s="75"/>
      <c r="C415" s="75"/>
      <c r="D415" s="321"/>
      <c r="E415" s="321"/>
      <c r="F415" s="322"/>
      <c r="G415" s="75"/>
      <c r="H415" s="321"/>
      <c r="I415" s="321"/>
      <c r="J415" s="323"/>
      <c r="K415" s="324"/>
      <c r="L415" s="285"/>
      <c r="M415" s="285"/>
      <c r="N415" s="285"/>
      <c r="O415" s="325"/>
      <c r="P415" s="285"/>
      <c r="Q415" s="325"/>
      <c r="R415" s="325"/>
      <c r="S415" s="285"/>
      <c r="T415" s="285"/>
      <c r="U415" s="285"/>
      <c r="V415" s="285"/>
      <c r="W415" s="285"/>
      <c r="X415" s="285"/>
      <c r="Y415" s="285"/>
      <c r="Z415" s="285"/>
    </row>
    <row r="416" ht="12.75" customHeight="1">
      <c r="A416" s="285"/>
      <c r="B416" s="75"/>
      <c r="C416" s="75"/>
      <c r="D416" s="321"/>
      <c r="E416" s="321"/>
      <c r="F416" s="322"/>
      <c r="G416" s="75"/>
      <c r="H416" s="321"/>
      <c r="I416" s="321"/>
      <c r="J416" s="323"/>
      <c r="K416" s="324"/>
      <c r="L416" s="285"/>
      <c r="M416" s="285"/>
      <c r="N416" s="285"/>
      <c r="O416" s="325"/>
      <c r="P416" s="285"/>
      <c r="Q416" s="325"/>
      <c r="R416" s="325"/>
      <c r="S416" s="285"/>
      <c r="T416" s="285"/>
      <c r="U416" s="285"/>
      <c r="V416" s="285"/>
      <c r="W416" s="285"/>
      <c r="X416" s="285"/>
      <c r="Y416" s="285"/>
      <c r="Z416" s="285"/>
    </row>
    <row r="417" ht="12.75" customHeight="1">
      <c r="A417" s="285"/>
      <c r="B417" s="75"/>
      <c r="C417" s="75"/>
      <c r="D417" s="321"/>
      <c r="E417" s="321"/>
      <c r="F417" s="322"/>
      <c r="G417" s="75"/>
      <c r="H417" s="321"/>
      <c r="I417" s="321"/>
      <c r="J417" s="323"/>
      <c r="K417" s="324"/>
      <c r="L417" s="285"/>
      <c r="M417" s="285"/>
      <c r="N417" s="285"/>
      <c r="O417" s="325"/>
      <c r="P417" s="285"/>
      <c r="Q417" s="325"/>
      <c r="R417" s="325"/>
      <c r="S417" s="285"/>
      <c r="T417" s="285"/>
      <c r="U417" s="285"/>
      <c r="V417" s="285"/>
      <c r="W417" s="285"/>
      <c r="X417" s="285"/>
      <c r="Y417" s="285"/>
      <c r="Z417" s="285"/>
    </row>
    <row r="418" ht="12.75" customHeight="1">
      <c r="A418" s="285"/>
      <c r="B418" s="75"/>
      <c r="C418" s="75"/>
      <c r="D418" s="321"/>
      <c r="E418" s="321"/>
      <c r="F418" s="322"/>
      <c r="G418" s="75"/>
      <c r="H418" s="321"/>
      <c r="I418" s="321"/>
      <c r="J418" s="323"/>
      <c r="K418" s="324"/>
      <c r="L418" s="285"/>
      <c r="M418" s="285"/>
      <c r="N418" s="285"/>
      <c r="O418" s="325"/>
      <c r="P418" s="285"/>
      <c r="Q418" s="325"/>
      <c r="R418" s="325"/>
      <c r="S418" s="285"/>
      <c r="T418" s="285"/>
      <c r="U418" s="285"/>
      <c r="V418" s="285"/>
      <c r="W418" s="285"/>
      <c r="X418" s="285"/>
      <c r="Y418" s="285"/>
      <c r="Z418" s="285"/>
    </row>
    <row r="419" ht="12.75" customHeight="1">
      <c r="A419" s="285"/>
      <c r="B419" s="75"/>
      <c r="C419" s="75"/>
      <c r="D419" s="321"/>
      <c r="E419" s="321"/>
      <c r="F419" s="322"/>
      <c r="G419" s="75"/>
      <c r="H419" s="321"/>
      <c r="I419" s="321"/>
      <c r="J419" s="323"/>
      <c r="K419" s="324"/>
      <c r="L419" s="285"/>
      <c r="M419" s="285"/>
      <c r="N419" s="285"/>
      <c r="O419" s="325"/>
      <c r="P419" s="285"/>
      <c r="Q419" s="325"/>
      <c r="R419" s="325"/>
      <c r="S419" s="285"/>
      <c r="T419" s="285"/>
      <c r="U419" s="285"/>
      <c r="V419" s="285"/>
      <c r="W419" s="285"/>
      <c r="X419" s="285"/>
      <c r="Y419" s="285"/>
      <c r="Z419" s="285"/>
    </row>
    <row r="420" ht="12.75" customHeight="1">
      <c r="A420" s="285"/>
      <c r="B420" s="75"/>
      <c r="C420" s="75"/>
      <c r="D420" s="321"/>
      <c r="E420" s="321"/>
      <c r="F420" s="322"/>
      <c r="G420" s="75"/>
      <c r="H420" s="321"/>
      <c r="I420" s="321"/>
      <c r="J420" s="323"/>
      <c r="K420" s="324"/>
      <c r="L420" s="285"/>
      <c r="M420" s="285"/>
      <c r="N420" s="285"/>
      <c r="O420" s="325"/>
      <c r="P420" s="285"/>
      <c r="Q420" s="325"/>
      <c r="R420" s="325"/>
      <c r="S420" s="285"/>
      <c r="T420" s="285"/>
      <c r="U420" s="285"/>
      <c r="V420" s="285"/>
      <c r="W420" s="285"/>
      <c r="X420" s="285"/>
      <c r="Y420" s="285"/>
      <c r="Z420" s="285"/>
    </row>
    <row r="421" ht="12.75" customHeight="1">
      <c r="A421" s="285"/>
      <c r="B421" s="75"/>
      <c r="C421" s="75"/>
      <c r="D421" s="321"/>
      <c r="E421" s="321"/>
      <c r="F421" s="322"/>
      <c r="G421" s="75"/>
      <c r="H421" s="321"/>
      <c r="I421" s="321"/>
      <c r="J421" s="323"/>
      <c r="K421" s="324"/>
      <c r="L421" s="285"/>
      <c r="M421" s="285"/>
      <c r="N421" s="285"/>
      <c r="O421" s="325"/>
      <c r="P421" s="285"/>
      <c r="Q421" s="325"/>
      <c r="R421" s="325"/>
      <c r="S421" s="285"/>
      <c r="T421" s="285"/>
      <c r="U421" s="285"/>
      <c r="V421" s="285"/>
      <c r="W421" s="285"/>
      <c r="X421" s="285"/>
      <c r="Y421" s="285"/>
      <c r="Z421" s="285"/>
    </row>
    <row r="422" ht="12.75" customHeight="1">
      <c r="A422" s="285"/>
      <c r="B422" s="75"/>
      <c r="C422" s="75"/>
      <c r="D422" s="321"/>
      <c r="E422" s="321"/>
      <c r="F422" s="322"/>
      <c r="G422" s="75"/>
      <c r="H422" s="321"/>
      <c r="I422" s="321"/>
      <c r="J422" s="323"/>
      <c r="K422" s="324"/>
      <c r="L422" s="285"/>
      <c r="M422" s="285"/>
      <c r="N422" s="285"/>
      <c r="O422" s="325"/>
      <c r="P422" s="285"/>
      <c r="Q422" s="325"/>
      <c r="R422" s="325"/>
      <c r="S422" s="285"/>
      <c r="T422" s="285"/>
      <c r="U422" s="285"/>
      <c r="V422" s="285"/>
      <c r="W422" s="285"/>
      <c r="X422" s="285"/>
      <c r="Y422" s="285"/>
      <c r="Z422" s="285"/>
    </row>
    <row r="423" ht="12.75" customHeight="1">
      <c r="A423" s="285"/>
      <c r="B423" s="75"/>
      <c r="C423" s="75"/>
      <c r="D423" s="321"/>
      <c r="E423" s="321"/>
      <c r="F423" s="322"/>
      <c r="G423" s="75"/>
      <c r="H423" s="321"/>
      <c r="I423" s="321"/>
      <c r="J423" s="323"/>
      <c r="K423" s="324"/>
      <c r="L423" s="285"/>
      <c r="M423" s="285"/>
      <c r="N423" s="285"/>
      <c r="O423" s="325"/>
      <c r="P423" s="285"/>
      <c r="Q423" s="325"/>
      <c r="R423" s="325"/>
      <c r="S423" s="285"/>
      <c r="T423" s="285"/>
      <c r="U423" s="285"/>
      <c r="V423" s="285"/>
      <c r="W423" s="285"/>
      <c r="X423" s="285"/>
      <c r="Y423" s="285"/>
      <c r="Z423" s="285"/>
    </row>
    <row r="424" ht="12.75" customHeight="1">
      <c r="A424" s="285"/>
      <c r="B424" s="75"/>
      <c r="C424" s="75"/>
      <c r="D424" s="321"/>
      <c r="E424" s="321"/>
      <c r="F424" s="322"/>
      <c r="G424" s="75"/>
      <c r="H424" s="321"/>
      <c r="I424" s="321"/>
      <c r="J424" s="323"/>
      <c r="K424" s="324"/>
      <c r="L424" s="285"/>
      <c r="M424" s="285"/>
      <c r="N424" s="285"/>
      <c r="O424" s="325"/>
      <c r="P424" s="285"/>
      <c r="Q424" s="325"/>
      <c r="R424" s="325"/>
      <c r="S424" s="285"/>
      <c r="T424" s="285"/>
      <c r="U424" s="285"/>
      <c r="V424" s="285"/>
      <c r="W424" s="285"/>
      <c r="X424" s="285"/>
      <c r="Y424" s="285"/>
      <c r="Z424" s="285"/>
    </row>
    <row r="425" ht="12.75" customHeight="1">
      <c r="A425" s="285"/>
      <c r="B425" s="75"/>
      <c r="C425" s="75"/>
      <c r="D425" s="321"/>
      <c r="E425" s="321"/>
      <c r="F425" s="322"/>
      <c r="G425" s="75"/>
      <c r="H425" s="321"/>
      <c r="I425" s="321"/>
      <c r="J425" s="323"/>
      <c r="K425" s="324"/>
      <c r="L425" s="285"/>
      <c r="M425" s="285"/>
      <c r="N425" s="285"/>
      <c r="O425" s="325"/>
      <c r="P425" s="285"/>
      <c r="Q425" s="325"/>
      <c r="R425" s="325"/>
      <c r="S425" s="285"/>
      <c r="T425" s="285"/>
      <c r="U425" s="285"/>
      <c r="V425" s="285"/>
      <c r="W425" s="285"/>
      <c r="X425" s="285"/>
      <c r="Y425" s="285"/>
      <c r="Z425" s="285"/>
    </row>
    <row r="426" ht="12.75" customHeight="1">
      <c r="A426" s="285"/>
      <c r="B426" s="75"/>
      <c r="C426" s="75"/>
      <c r="D426" s="321"/>
      <c r="E426" s="321"/>
      <c r="F426" s="322"/>
      <c r="G426" s="75"/>
      <c r="H426" s="321"/>
      <c r="I426" s="321"/>
      <c r="J426" s="323"/>
      <c r="K426" s="324"/>
      <c r="L426" s="285"/>
      <c r="M426" s="285"/>
      <c r="N426" s="285"/>
      <c r="O426" s="325"/>
      <c r="P426" s="285"/>
      <c r="Q426" s="325"/>
      <c r="R426" s="325"/>
      <c r="S426" s="285"/>
      <c r="T426" s="285"/>
      <c r="U426" s="285"/>
      <c r="V426" s="285"/>
      <c r="W426" s="285"/>
      <c r="X426" s="285"/>
      <c r="Y426" s="285"/>
      <c r="Z426" s="285"/>
    </row>
    <row r="427" ht="12.75" customHeight="1">
      <c r="A427" s="285"/>
      <c r="B427" s="75"/>
      <c r="C427" s="75"/>
      <c r="D427" s="321"/>
      <c r="E427" s="321"/>
      <c r="F427" s="322"/>
      <c r="G427" s="75"/>
      <c r="H427" s="321"/>
      <c r="I427" s="321"/>
      <c r="J427" s="323"/>
      <c r="K427" s="324"/>
      <c r="L427" s="285"/>
      <c r="M427" s="285"/>
      <c r="N427" s="285"/>
      <c r="O427" s="325"/>
      <c r="P427" s="285"/>
      <c r="Q427" s="325"/>
      <c r="R427" s="325"/>
      <c r="S427" s="285"/>
      <c r="T427" s="285"/>
      <c r="U427" s="285"/>
      <c r="V427" s="285"/>
      <c r="W427" s="285"/>
      <c r="X427" s="285"/>
      <c r="Y427" s="285"/>
      <c r="Z427" s="285"/>
    </row>
    <row r="428" ht="12.75" customHeight="1">
      <c r="A428" s="285"/>
      <c r="B428" s="75"/>
      <c r="C428" s="75"/>
      <c r="D428" s="321"/>
      <c r="E428" s="321"/>
      <c r="F428" s="322"/>
      <c r="G428" s="75"/>
      <c r="H428" s="321"/>
      <c r="I428" s="321"/>
      <c r="J428" s="323"/>
      <c r="K428" s="324"/>
      <c r="L428" s="285"/>
      <c r="M428" s="285"/>
      <c r="N428" s="285"/>
      <c r="O428" s="325"/>
      <c r="P428" s="285"/>
      <c r="Q428" s="325"/>
      <c r="R428" s="325"/>
      <c r="S428" s="285"/>
      <c r="T428" s="285"/>
      <c r="U428" s="285"/>
      <c r="V428" s="285"/>
      <c r="W428" s="285"/>
      <c r="X428" s="285"/>
      <c r="Y428" s="285"/>
      <c r="Z428" s="285"/>
    </row>
    <row r="429" ht="12.75" customHeight="1">
      <c r="A429" s="285"/>
      <c r="B429" s="75"/>
      <c r="C429" s="75"/>
      <c r="D429" s="321"/>
      <c r="E429" s="321"/>
      <c r="F429" s="322"/>
      <c r="G429" s="75"/>
      <c r="H429" s="321"/>
      <c r="I429" s="321"/>
      <c r="J429" s="323"/>
      <c r="K429" s="324"/>
      <c r="L429" s="285"/>
      <c r="M429" s="285"/>
      <c r="N429" s="285"/>
      <c r="O429" s="325"/>
      <c r="P429" s="285"/>
      <c r="Q429" s="325"/>
      <c r="R429" s="325"/>
      <c r="S429" s="285"/>
      <c r="T429" s="285"/>
      <c r="U429" s="285"/>
      <c r="V429" s="285"/>
      <c r="W429" s="285"/>
      <c r="X429" s="285"/>
      <c r="Y429" s="285"/>
      <c r="Z429" s="285"/>
    </row>
    <row r="430" ht="12.75" customHeight="1">
      <c r="A430" s="285"/>
      <c r="B430" s="75"/>
      <c r="C430" s="75"/>
      <c r="D430" s="321"/>
      <c r="E430" s="321"/>
      <c r="F430" s="322"/>
      <c r="G430" s="75"/>
      <c r="H430" s="321"/>
      <c r="I430" s="321"/>
      <c r="J430" s="323"/>
      <c r="K430" s="324"/>
      <c r="L430" s="285"/>
      <c r="M430" s="285"/>
      <c r="N430" s="285"/>
      <c r="O430" s="325"/>
      <c r="P430" s="285"/>
      <c r="Q430" s="325"/>
      <c r="R430" s="325"/>
      <c r="S430" s="285"/>
      <c r="T430" s="285"/>
      <c r="U430" s="285"/>
      <c r="V430" s="285"/>
      <c r="W430" s="285"/>
      <c r="X430" s="285"/>
      <c r="Y430" s="285"/>
      <c r="Z430" s="285"/>
    </row>
    <row r="431" ht="12.75" customHeight="1">
      <c r="A431" s="285"/>
      <c r="B431" s="75"/>
      <c r="C431" s="75"/>
      <c r="D431" s="321"/>
      <c r="E431" s="321"/>
      <c r="F431" s="322"/>
      <c r="G431" s="75"/>
      <c r="H431" s="321"/>
      <c r="I431" s="321"/>
      <c r="J431" s="323"/>
      <c r="K431" s="324"/>
      <c r="L431" s="285"/>
      <c r="M431" s="285"/>
      <c r="N431" s="285"/>
      <c r="O431" s="325"/>
      <c r="P431" s="285"/>
      <c r="Q431" s="325"/>
      <c r="R431" s="325"/>
      <c r="S431" s="285"/>
      <c r="T431" s="285"/>
      <c r="U431" s="285"/>
      <c r="V431" s="285"/>
      <c r="W431" s="285"/>
      <c r="X431" s="285"/>
      <c r="Y431" s="285"/>
      <c r="Z431" s="285"/>
    </row>
    <row r="432" ht="12.75" customHeight="1">
      <c r="A432" s="285"/>
      <c r="B432" s="75"/>
      <c r="C432" s="75"/>
      <c r="D432" s="321"/>
      <c r="E432" s="321"/>
      <c r="F432" s="322"/>
      <c r="G432" s="75"/>
      <c r="H432" s="321"/>
      <c r="I432" s="321"/>
      <c r="J432" s="323"/>
      <c r="K432" s="324"/>
      <c r="L432" s="285"/>
      <c r="M432" s="285"/>
      <c r="N432" s="285"/>
      <c r="O432" s="325"/>
      <c r="P432" s="285"/>
      <c r="Q432" s="325"/>
      <c r="R432" s="325"/>
      <c r="S432" s="285"/>
      <c r="T432" s="285"/>
      <c r="U432" s="285"/>
      <c r="V432" s="285"/>
      <c r="W432" s="285"/>
      <c r="X432" s="285"/>
      <c r="Y432" s="285"/>
      <c r="Z432" s="285"/>
    </row>
    <row r="433" ht="12.75" customHeight="1">
      <c r="A433" s="285"/>
      <c r="B433" s="75"/>
      <c r="C433" s="75"/>
      <c r="D433" s="321"/>
      <c r="E433" s="321"/>
      <c r="F433" s="322"/>
      <c r="G433" s="75"/>
      <c r="H433" s="321"/>
      <c r="I433" s="321"/>
      <c r="J433" s="323"/>
      <c r="K433" s="324"/>
      <c r="L433" s="285"/>
      <c r="M433" s="285"/>
      <c r="N433" s="285"/>
      <c r="O433" s="325"/>
      <c r="P433" s="285"/>
      <c r="Q433" s="325"/>
      <c r="R433" s="325"/>
      <c r="S433" s="285"/>
      <c r="T433" s="285"/>
      <c r="U433" s="285"/>
      <c r="V433" s="285"/>
      <c r="W433" s="285"/>
      <c r="X433" s="285"/>
      <c r="Y433" s="285"/>
      <c r="Z433" s="285"/>
    </row>
    <row r="434" ht="12.75" customHeight="1">
      <c r="A434" s="285"/>
      <c r="B434" s="75"/>
      <c r="C434" s="75"/>
      <c r="D434" s="321"/>
      <c r="E434" s="321"/>
      <c r="F434" s="322"/>
      <c r="G434" s="75"/>
      <c r="H434" s="321"/>
      <c r="I434" s="321"/>
      <c r="J434" s="323"/>
      <c r="K434" s="324"/>
      <c r="L434" s="285"/>
      <c r="M434" s="285"/>
      <c r="N434" s="285"/>
      <c r="O434" s="325"/>
      <c r="P434" s="285"/>
      <c r="Q434" s="325"/>
      <c r="R434" s="325"/>
      <c r="S434" s="285"/>
      <c r="T434" s="285"/>
      <c r="U434" s="285"/>
      <c r="V434" s="285"/>
      <c r="W434" s="285"/>
      <c r="X434" s="285"/>
      <c r="Y434" s="285"/>
      <c r="Z434" s="285"/>
    </row>
    <row r="435" ht="12.75" customHeight="1">
      <c r="A435" s="285"/>
      <c r="B435" s="75"/>
      <c r="C435" s="75"/>
      <c r="D435" s="321"/>
      <c r="E435" s="321"/>
      <c r="F435" s="322"/>
      <c r="G435" s="75"/>
      <c r="H435" s="321"/>
      <c r="I435" s="321"/>
      <c r="J435" s="323"/>
      <c r="K435" s="324"/>
      <c r="L435" s="285"/>
      <c r="M435" s="285"/>
      <c r="N435" s="285"/>
      <c r="O435" s="325"/>
      <c r="P435" s="285"/>
      <c r="Q435" s="325"/>
      <c r="R435" s="325"/>
      <c r="S435" s="285"/>
      <c r="T435" s="285"/>
      <c r="U435" s="285"/>
      <c r="V435" s="285"/>
      <c r="W435" s="285"/>
      <c r="X435" s="285"/>
      <c r="Y435" s="285"/>
      <c r="Z435" s="285"/>
    </row>
    <row r="436" ht="12.75" customHeight="1">
      <c r="A436" s="285"/>
      <c r="B436" s="75"/>
      <c r="C436" s="75"/>
      <c r="D436" s="321"/>
      <c r="E436" s="321"/>
      <c r="F436" s="322"/>
      <c r="G436" s="75"/>
      <c r="H436" s="321"/>
      <c r="I436" s="321"/>
      <c r="J436" s="323"/>
      <c r="K436" s="324"/>
      <c r="L436" s="285"/>
      <c r="M436" s="285"/>
      <c r="N436" s="285"/>
      <c r="O436" s="325"/>
      <c r="P436" s="285"/>
      <c r="Q436" s="325"/>
      <c r="R436" s="325"/>
      <c r="S436" s="285"/>
      <c r="T436" s="285"/>
      <c r="U436" s="285"/>
      <c r="V436" s="285"/>
      <c r="W436" s="285"/>
      <c r="X436" s="285"/>
      <c r="Y436" s="285"/>
      <c r="Z436" s="285"/>
    </row>
    <row r="437" ht="12.75" customHeight="1">
      <c r="A437" s="285"/>
      <c r="B437" s="75"/>
      <c r="C437" s="75"/>
      <c r="D437" s="321"/>
      <c r="E437" s="321"/>
      <c r="F437" s="322"/>
      <c r="G437" s="75"/>
      <c r="H437" s="321"/>
      <c r="I437" s="321"/>
      <c r="J437" s="323"/>
      <c r="K437" s="324"/>
      <c r="L437" s="285"/>
      <c r="M437" s="285"/>
      <c r="N437" s="285"/>
      <c r="O437" s="325"/>
      <c r="P437" s="285"/>
      <c r="Q437" s="325"/>
      <c r="R437" s="325"/>
      <c r="S437" s="285"/>
      <c r="T437" s="285"/>
      <c r="U437" s="285"/>
      <c r="V437" s="285"/>
      <c r="W437" s="285"/>
      <c r="X437" s="285"/>
      <c r="Y437" s="285"/>
      <c r="Z437" s="285"/>
    </row>
    <row r="438" ht="12.75" customHeight="1">
      <c r="A438" s="285"/>
      <c r="B438" s="75"/>
      <c r="C438" s="75"/>
      <c r="D438" s="321"/>
      <c r="E438" s="321"/>
      <c r="F438" s="322"/>
      <c r="G438" s="75"/>
      <c r="H438" s="321"/>
      <c r="I438" s="321"/>
      <c r="J438" s="323"/>
      <c r="K438" s="324"/>
      <c r="L438" s="285"/>
      <c r="M438" s="285"/>
      <c r="N438" s="285"/>
      <c r="O438" s="325"/>
      <c r="P438" s="285"/>
      <c r="Q438" s="325"/>
      <c r="R438" s="325"/>
      <c r="S438" s="285"/>
      <c r="T438" s="285"/>
      <c r="U438" s="285"/>
      <c r="V438" s="285"/>
      <c r="W438" s="285"/>
      <c r="X438" s="285"/>
      <c r="Y438" s="285"/>
      <c r="Z438" s="285"/>
    </row>
    <row r="439" ht="12.75" customHeight="1">
      <c r="A439" s="285"/>
      <c r="B439" s="75"/>
      <c r="C439" s="75"/>
      <c r="D439" s="321"/>
      <c r="E439" s="321"/>
      <c r="F439" s="322"/>
      <c r="G439" s="75"/>
      <c r="H439" s="321"/>
      <c r="I439" s="321"/>
      <c r="J439" s="323"/>
      <c r="K439" s="324"/>
      <c r="L439" s="285"/>
      <c r="M439" s="285"/>
      <c r="N439" s="285"/>
      <c r="O439" s="325"/>
      <c r="P439" s="285"/>
      <c r="Q439" s="325"/>
      <c r="R439" s="325"/>
      <c r="S439" s="285"/>
      <c r="T439" s="285"/>
      <c r="U439" s="285"/>
      <c r="V439" s="285"/>
      <c r="W439" s="285"/>
      <c r="X439" s="285"/>
      <c r="Y439" s="285"/>
      <c r="Z439" s="285"/>
    </row>
    <row r="440" ht="12.75" customHeight="1">
      <c r="A440" s="285"/>
      <c r="B440" s="75"/>
      <c r="C440" s="75"/>
      <c r="D440" s="321"/>
      <c r="E440" s="321"/>
      <c r="F440" s="322"/>
      <c r="G440" s="75"/>
      <c r="H440" s="321"/>
      <c r="I440" s="321"/>
      <c r="J440" s="323"/>
      <c r="K440" s="324"/>
      <c r="L440" s="285"/>
      <c r="M440" s="285"/>
      <c r="N440" s="285"/>
      <c r="O440" s="325"/>
      <c r="P440" s="285"/>
      <c r="Q440" s="325"/>
      <c r="R440" s="325"/>
      <c r="S440" s="285"/>
      <c r="T440" s="285"/>
      <c r="U440" s="285"/>
      <c r="V440" s="285"/>
      <c r="W440" s="285"/>
      <c r="X440" s="285"/>
      <c r="Y440" s="285"/>
      <c r="Z440" s="285"/>
    </row>
    <row r="441" ht="12.75" customHeight="1">
      <c r="A441" s="285"/>
      <c r="B441" s="75"/>
      <c r="C441" s="75"/>
      <c r="D441" s="321"/>
      <c r="E441" s="321"/>
      <c r="F441" s="322"/>
      <c r="G441" s="75"/>
      <c r="H441" s="321"/>
      <c r="I441" s="321"/>
      <c r="J441" s="323"/>
      <c r="K441" s="324"/>
      <c r="L441" s="285"/>
      <c r="M441" s="285"/>
      <c r="N441" s="285"/>
      <c r="O441" s="325"/>
      <c r="P441" s="285"/>
      <c r="Q441" s="325"/>
      <c r="R441" s="325"/>
      <c r="S441" s="285"/>
      <c r="T441" s="285"/>
      <c r="U441" s="285"/>
      <c r="V441" s="285"/>
      <c r="W441" s="285"/>
      <c r="X441" s="285"/>
      <c r="Y441" s="285"/>
      <c r="Z441" s="285"/>
    </row>
    <row r="442" ht="12.75" customHeight="1">
      <c r="A442" s="285"/>
      <c r="B442" s="75"/>
      <c r="C442" s="75"/>
      <c r="D442" s="321"/>
      <c r="E442" s="321"/>
      <c r="F442" s="322"/>
      <c r="G442" s="75"/>
      <c r="H442" s="321"/>
      <c r="I442" s="321"/>
      <c r="J442" s="323"/>
      <c r="K442" s="324"/>
      <c r="L442" s="285"/>
      <c r="M442" s="285"/>
      <c r="N442" s="285"/>
      <c r="O442" s="325"/>
      <c r="P442" s="285"/>
      <c r="Q442" s="325"/>
      <c r="R442" s="325"/>
      <c r="S442" s="285"/>
      <c r="T442" s="285"/>
      <c r="U442" s="285"/>
      <c r="V442" s="285"/>
      <c r="W442" s="285"/>
      <c r="X442" s="285"/>
      <c r="Y442" s="285"/>
      <c r="Z442" s="285"/>
    </row>
    <row r="443" ht="12.75" customHeight="1">
      <c r="A443" s="285"/>
      <c r="B443" s="75"/>
      <c r="C443" s="75"/>
      <c r="D443" s="321"/>
      <c r="E443" s="321"/>
      <c r="F443" s="322"/>
      <c r="G443" s="75"/>
      <c r="H443" s="321"/>
      <c r="I443" s="321"/>
      <c r="J443" s="323"/>
      <c r="K443" s="324"/>
      <c r="L443" s="285"/>
      <c r="M443" s="285"/>
      <c r="N443" s="285"/>
      <c r="O443" s="325"/>
      <c r="P443" s="285"/>
      <c r="Q443" s="325"/>
      <c r="R443" s="325"/>
      <c r="S443" s="285"/>
      <c r="T443" s="285"/>
      <c r="U443" s="285"/>
      <c r="V443" s="285"/>
      <c r="W443" s="285"/>
      <c r="X443" s="285"/>
      <c r="Y443" s="285"/>
      <c r="Z443" s="285"/>
    </row>
    <row r="444" ht="12.75" customHeight="1">
      <c r="A444" s="285"/>
      <c r="B444" s="75"/>
      <c r="C444" s="75"/>
      <c r="D444" s="321"/>
      <c r="E444" s="321"/>
      <c r="F444" s="322"/>
      <c r="G444" s="75"/>
      <c r="H444" s="321"/>
      <c r="I444" s="321"/>
      <c r="J444" s="323"/>
      <c r="K444" s="324"/>
      <c r="L444" s="285"/>
      <c r="M444" s="285"/>
      <c r="N444" s="285"/>
      <c r="O444" s="325"/>
      <c r="P444" s="285"/>
      <c r="Q444" s="325"/>
      <c r="R444" s="325"/>
      <c r="S444" s="285"/>
      <c r="T444" s="285"/>
      <c r="U444" s="285"/>
      <c r="V444" s="285"/>
      <c r="W444" s="285"/>
      <c r="X444" s="285"/>
      <c r="Y444" s="285"/>
      <c r="Z444" s="285"/>
    </row>
    <row r="445" ht="12.75" customHeight="1">
      <c r="A445" s="285"/>
      <c r="B445" s="75"/>
      <c r="C445" s="75"/>
      <c r="D445" s="321"/>
      <c r="E445" s="321"/>
      <c r="F445" s="322"/>
      <c r="G445" s="75"/>
      <c r="H445" s="321"/>
      <c r="I445" s="321"/>
      <c r="J445" s="323"/>
      <c r="K445" s="324"/>
      <c r="L445" s="285"/>
      <c r="M445" s="285"/>
      <c r="N445" s="285"/>
      <c r="O445" s="325"/>
      <c r="P445" s="285"/>
      <c r="Q445" s="325"/>
      <c r="R445" s="325"/>
      <c r="S445" s="285"/>
      <c r="T445" s="285"/>
      <c r="U445" s="285"/>
      <c r="V445" s="285"/>
      <c r="W445" s="285"/>
      <c r="X445" s="285"/>
      <c r="Y445" s="285"/>
      <c r="Z445" s="285"/>
    </row>
    <row r="446" ht="12.75" customHeight="1">
      <c r="A446" s="285"/>
      <c r="B446" s="75"/>
      <c r="C446" s="75"/>
      <c r="D446" s="321"/>
      <c r="E446" s="321"/>
      <c r="F446" s="322"/>
      <c r="G446" s="75"/>
      <c r="H446" s="321"/>
      <c r="I446" s="321"/>
      <c r="J446" s="323"/>
      <c r="K446" s="324"/>
      <c r="L446" s="285"/>
      <c r="M446" s="285"/>
      <c r="N446" s="285"/>
      <c r="O446" s="325"/>
      <c r="P446" s="285"/>
      <c r="Q446" s="325"/>
      <c r="R446" s="325"/>
      <c r="S446" s="285"/>
      <c r="T446" s="285"/>
      <c r="U446" s="285"/>
      <c r="V446" s="285"/>
      <c r="W446" s="285"/>
      <c r="X446" s="285"/>
      <c r="Y446" s="285"/>
      <c r="Z446" s="285"/>
    </row>
    <row r="447" ht="12.75" customHeight="1">
      <c r="A447" s="285"/>
      <c r="B447" s="75"/>
      <c r="C447" s="75"/>
      <c r="D447" s="321"/>
      <c r="E447" s="321"/>
      <c r="F447" s="322"/>
      <c r="G447" s="75"/>
      <c r="H447" s="321"/>
      <c r="I447" s="321"/>
      <c r="J447" s="323"/>
      <c r="K447" s="324"/>
      <c r="L447" s="285"/>
      <c r="M447" s="285"/>
      <c r="N447" s="285"/>
      <c r="O447" s="325"/>
      <c r="P447" s="285"/>
      <c r="Q447" s="325"/>
      <c r="R447" s="325"/>
      <c r="S447" s="285"/>
      <c r="T447" s="285"/>
      <c r="U447" s="285"/>
      <c r="V447" s="285"/>
      <c r="W447" s="285"/>
      <c r="X447" s="285"/>
      <c r="Y447" s="285"/>
      <c r="Z447" s="285"/>
    </row>
    <row r="448" ht="12.75" customHeight="1">
      <c r="A448" s="285"/>
      <c r="B448" s="75"/>
      <c r="C448" s="75"/>
      <c r="D448" s="321"/>
      <c r="E448" s="321"/>
      <c r="F448" s="322"/>
      <c r="G448" s="75"/>
      <c r="H448" s="321"/>
      <c r="I448" s="321"/>
      <c r="J448" s="323"/>
      <c r="K448" s="324"/>
      <c r="L448" s="285"/>
      <c r="M448" s="285"/>
      <c r="N448" s="285"/>
      <c r="O448" s="325"/>
      <c r="P448" s="285"/>
      <c r="Q448" s="325"/>
      <c r="R448" s="325"/>
      <c r="S448" s="285"/>
      <c r="T448" s="285"/>
      <c r="U448" s="285"/>
      <c r="V448" s="285"/>
      <c r="W448" s="285"/>
      <c r="X448" s="285"/>
      <c r="Y448" s="285"/>
      <c r="Z448" s="285"/>
    </row>
    <row r="449" ht="12.75" customHeight="1">
      <c r="A449" s="285"/>
      <c r="B449" s="75"/>
      <c r="C449" s="75"/>
      <c r="D449" s="321"/>
      <c r="E449" s="321"/>
      <c r="F449" s="322"/>
      <c r="G449" s="75"/>
      <c r="H449" s="321"/>
      <c r="I449" s="321"/>
      <c r="J449" s="323"/>
      <c r="K449" s="324"/>
      <c r="L449" s="285"/>
      <c r="M449" s="285"/>
      <c r="N449" s="285"/>
      <c r="O449" s="325"/>
      <c r="P449" s="285"/>
      <c r="Q449" s="325"/>
      <c r="R449" s="325"/>
      <c r="S449" s="285"/>
      <c r="T449" s="285"/>
      <c r="U449" s="285"/>
      <c r="V449" s="285"/>
      <c r="W449" s="285"/>
      <c r="X449" s="285"/>
      <c r="Y449" s="285"/>
      <c r="Z449" s="285"/>
    </row>
    <row r="450" ht="12.75" customHeight="1">
      <c r="A450" s="285"/>
      <c r="B450" s="75"/>
      <c r="C450" s="75"/>
      <c r="D450" s="321"/>
      <c r="E450" s="321"/>
      <c r="F450" s="322"/>
      <c r="G450" s="75"/>
      <c r="H450" s="321"/>
      <c r="I450" s="321"/>
      <c r="J450" s="323"/>
      <c r="K450" s="324"/>
      <c r="L450" s="285"/>
      <c r="M450" s="285"/>
      <c r="N450" s="285"/>
      <c r="O450" s="325"/>
      <c r="P450" s="285"/>
      <c r="Q450" s="325"/>
      <c r="R450" s="325"/>
      <c r="S450" s="285"/>
      <c r="T450" s="285"/>
      <c r="U450" s="285"/>
      <c r="V450" s="285"/>
      <c r="W450" s="285"/>
      <c r="X450" s="285"/>
      <c r="Y450" s="285"/>
      <c r="Z450" s="285"/>
    </row>
    <row r="451" ht="12.75" customHeight="1">
      <c r="A451" s="285"/>
      <c r="B451" s="75"/>
      <c r="C451" s="75"/>
      <c r="D451" s="321"/>
      <c r="E451" s="321"/>
      <c r="F451" s="322"/>
      <c r="G451" s="75"/>
      <c r="H451" s="321"/>
      <c r="I451" s="321"/>
      <c r="J451" s="323"/>
      <c r="K451" s="324"/>
      <c r="L451" s="285"/>
      <c r="M451" s="285"/>
      <c r="N451" s="285"/>
      <c r="O451" s="325"/>
      <c r="P451" s="285"/>
      <c r="Q451" s="325"/>
      <c r="R451" s="325"/>
      <c r="S451" s="285"/>
      <c r="T451" s="285"/>
      <c r="U451" s="285"/>
      <c r="V451" s="285"/>
      <c r="W451" s="285"/>
      <c r="X451" s="285"/>
      <c r="Y451" s="285"/>
      <c r="Z451" s="285"/>
    </row>
    <row r="452" ht="12.75" customHeight="1">
      <c r="A452" s="285"/>
      <c r="B452" s="75"/>
      <c r="C452" s="75"/>
      <c r="D452" s="321"/>
      <c r="E452" s="321"/>
      <c r="F452" s="322"/>
      <c r="G452" s="75"/>
      <c r="H452" s="321"/>
      <c r="I452" s="321"/>
      <c r="J452" s="323"/>
      <c r="K452" s="324"/>
      <c r="L452" s="285"/>
      <c r="M452" s="285"/>
      <c r="N452" s="285"/>
      <c r="O452" s="325"/>
      <c r="P452" s="285"/>
      <c r="Q452" s="325"/>
      <c r="R452" s="325"/>
      <c r="S452" s="285"/>
      <c r="T452" s="285"/>
      <c r="U452" s="285"/>
      <c r="V452" s="285"/>
      <c r="W452" s="285"/>
      <c r="X452" s="285"/>
      <c r="Y452" s="285"/>
      <c r="Z452" s="285"/>
    </row>
    <row r="453" ht="12.75" customHeight="1">
      <c r="A453" s="285"/>
      <c r="B453" s="75"/>
      <c r="C453" s="75"/>
      <c r="D453" s="321"/>
      <c r="E453" s="321"/>
      <c r="F453" s="322"/>
      <c r="G453" s="75"/>
      <c r="H453" s="321"/>
      <c r="I453" s="321"/>
      <c r="J453" s="323"/>
      <c r="K453" s="324"/>
      <c r="L453" s="285"/>
      <c r="M453" s="285"/>
      <c r="N453" s="285"/>
      <c r="O453" s="325"/>
      <c r="P453" s="285"/>
      <c r="Q453" s="325"/>
      <c r="R453" s="325"/>
      <c r="S453" s="285"/>
      <c r="T453" s="285"/>
      <c r="U453" s="285"/>
      <c r="V453" s="285"/>
      <c r="W453" s="285"/>
      <c r="X453" s="285"/>
      <c r="Y453" s="285"/>
      <c r="Z453" s="285"/>
    </row>
    <row r="454" ht="12.75" customHeight="1">
      <c r="A454" s="285"/>
      <c r="B454" s="75"/>
      <c r="C454" s="75"/>
      <c r="D454" s="321"/>
      <c r="E454" s="321"/>
      <c r="F454" s="322"/>
      <c r="G454" s="75"/>
      <c r="H454" s="321"/>
      <c r="I454" s="321"/>
      <c r="J454" s="323"/>
      <c r="K454" s="324"/>
      <c r="L454" s="285"/>
      <c r="M454" s="285"/>
      <c r="N454" s="285"/>
      <c r="O454" s="325"/>
      <c r="P454" s="285"/>
      <c r="Q454" s="325"/>
      <c r="R454" s="325"/>
      <c r="S454" s="285"/>
      <c r="T454" s="285"/>
      <c r="U454" s="285"/>
      <c r="V454" s="285"/>
      <c r="W454" s="285"/>
      <c r="X454" s="285"/>
      <c r="Y454" s="285"/>
      <c r="Z454" s="285"/>
    </row>
    <row r="455" ht="12.75" customHeight="1">
      <c r="A455" s="285"/>
      <c r="B455" s="75"/>
      <c r="C455" s="75"/>
      <c r="D455" s="321"/>
      <c r="E455" s="321"/>
      <c r="F455" s="322"/>
      <c r="G455" s="75"/>
      <c r="H455" s="321"/>
      <c r="I455" s="321"/>
      <c r="J455" s="323"/>
      <c r="K455" s="324"/>
      <c r="L455" s="285"/>
      <c r="M455" s="285"/>
      <c r="N455" s="285"/>
      <c r="O455" s="325"/>
      <c r="P455" s="285"/>
      <c r="Q455" s="325"/>
      <c r="R455" s="325"/>
      <c r="S455" s="285"/>
      <c r="T455" s="285"/>
      <c r="U455" s="285"/>
      <c r="V455" s="285"/>
      <c r="W455" s="285"/>
      <c r="X455" s="285"/>
      <c r="Y455" s="285"/>
      <c r="Z455" s="285"/>
    </row>
    <row r="456" ht="12.75" customHeight="1">
      <c r="A456" s="285"/>
      <c r="B456" s="75"/>
      <c r="C456" s="75"/>
      <c r="D456" s="321"/>
      <c r="E456" s="321"/>
      <c r="F456" s="322"/>
      <c r="G456" s="75"/>
      <c r="H456" s="321"/>
      <c r="I456" s="321"/>
      <c r="J456" s="323"/>
      <c r="K456" s="324"/>
      <c r="L456" s="285"/>
      <c r="M456" s="285"/>
      <c r="N456" s="285"/>
      <c r="O456" s="325"/>
      <c r="P456" s="285"/>
      <c r="Q456" s="325"/>
      <c r="R456" s="325"/>
      <c r="S456" s="285"/>
      <c r="T456" s="285"/>
      <c r="U456" s="285"/>
      <c r="V456" s="285"/>
      <c r="W456" s="285"/>
      <c r="X456" s="285"/>
      <c r="Y456" s="285"/>
      <c r="Z456" s="285"/>
    </row>
    <row r="457" ht="12.75" customHeight="1">
      <c r="A457" s="285"/>
      <c r="B457" s="75"/>
      <c r="C457" s="75"/>
      <c r="D457" s="321"/>
      <c r="E457" s="321"/>
      <c r="F457" s="322"/>
      <c r="G457" s="75"/>
      <c r="H457" s="321"/>
      <c r="I457" s="321"/>
      <c r="J457" s="323"/>
      <c r="K457" s="324"/>
      <c r="L457" s="285"/>
      <c r="M457" s="285"/>
      <c r="N457" s="285"/>
      <c r="O457" s="325"/>
      <c r="P457" s="285"/>
      <c r="Q457" s="325"/>
      <c r="R457" s="325"/>
      <c r="S457" s="285"/>
      <c r="T457" s="285"/>
      <c r="U457" s="285"/>
      <c r="V457" s="285"/>
      <c r="W457" s="285"/>
      <c r="X457" s="285"/>
      <c r="Y457" s="285"/>
      <c r="Z457" s="285"/>
    </row>
    <row r="458" ht="12.75" customHeight="1">
      <c r="A458" s="285"/>
      <c r="B458" s="75"/>
      <c r="C458" s="75"/>
      <c r="D458" s="321"/>
      <c r="E458" s="321"/>
      <c r="F458" s="322"/>
      <c r="G458" s="75"/>
      <c r="H458" s="321"/>
      <c r="I458" s="321"/>
      <c r="J458" s="323"/>
      <c r="K458" s="324"/>
      <c r="L458" s="285"/>
      <c r="M458" s="285"/>
      <c r="N458" s="285"/>
      <c r="O458" s="325"/>
      <c r="P458" s="285"/>
      <c r="Q458" s="325"/>
      <c r="R458" s="325"/>
      <c r="S458" s="285"/>
      <c r="T458" s="285"/>
      <c r="U458" s="285"/>
      <c r="V458" s="285"/>
      <c r="W458" s="285"/>
      <c r="X458" s="285"/>
      <c r="Y458" s="285"/>
      <c r="Z458" s="285"/>
    </row>
    <row r="459" ht="12.75" customHeight="1">
      <c r="A459" s="285"/>
      <c r="B459" s="75"/>
      <c r="C459" s="75"/>
      <c r="D459" s="321"/>
      <c r="E459" s="321"/>
      <c r="F459" s="322"/>
      <c r="G459" s="75"/>
      <c r="H459" s="321"/>
      <c r="I459" s="321"/>
      <c r="J459" s="323"/>
      <c r="K459" s="324"/>
      <c r="L459" s="285"/>
      <c r="M459" s="285"/>
      <c r="N459" s="285"/>
      <c r="O459" s="325"/>
      <c r="P459" s="285"/>
      <c r="Q459" s="325"/>
      <c r="R459" s="325"/>
      <c r="S459" s="285"/>
      <c r="T459" s="285"/>
      <c r="U459" s="285"/>
      <c r="V459" s="285"/>
      <c r="W459" s="285"/>
      <c r="X459" s="285"/>
      <c r="Y459" s="285"/>
      <c r="Z459" s="285"/>
    </row>
    <row r="460" ht="12.75" customHeight="1">
      <c r="A460" s="285"/>
      <c r="B460" s="75"/>
      <c r="C460" s="75"/>
      <c r="D460" s="321"/>
      <c r="E460" s="321"/>
      <c r="F460" s="322"/>
      <c r="G460" s="75"/>
      <c r="H460" s="321"/>
      <c r="I460" s="321"/>
      <c r="J460" s="323"/>
      <c r="K460" s="324"/>
      <c r="L460" s="285"/>
      <c r="M460" s="285"/>
      <c r="N460" s="285"/>
      <c r="O460" s="325"/>
      <c r="P460" s="285"/>
      <c r="Q460" s="325"/>
      <c r="R460" s="325"/>
      <c r="S460" s="285"/>
      <c r="T460" s="285"/>
      <c r="U460" s="285"/>
      <c r="V460" s="285"/>
      <c r="W460" s="285"/>
      <c r="X460" s="285"/>
      <c r="Y460" s="285"/>
      <c r="Z460" s="285"/>
    </row>
    <row r="461" ht="12.75" customHeight="1">
      <c r="A461" s="285"/>
      <c r="B461" s="75"/>
      <c r="C461" s="75"/>
      <c r="D461" s="321"/>
      <c r="E461" s="321"/>
      <c r="F461" s="322"/>
      <c r="G461" s="75"/>
      <c r="H461" s="321"/>
      <c r="I461" s="321"/>
      <c r="J461" s="323"/>
      <c r="K461" s="324"/>
      <c r="L461" s="285"/>
      <c r="M461" s="285"/>
      <c r="N461" s="285"/>
      <c r="O461" s="325"/>
      <c r="P461" s="285"/>
      <c r="Q461" s="325"/>
      <c r="R461" s="325"/>
      <c r="S461" s="285"/>
      <c r="T461" s="285"/>
      <c r="U461" s="285"/>
      <c r="V461" s="285"/>
      <c r="W461" s="285"/>
      <c r="X461" s="285"/>
      <c r="Y461" s="285"/>
      <c r="Z461" s="285"/>
    </row>
    <row r="462" ht="12.75" customHeight="1">
      <c r="A462" s="285"/>
      <c r="B462" s="75"/>
      <c r="C462" s="75"/>
      <c r="D462" s="321"/>
      <c r="E462" s="321"/>
      <c r="F462" s="322"/>
      <c r="G462" s="75"/>
      <c r="H462" s="321"/>
      <c r="I462" s="321"/>
      <c r="J462" s="323"/>
      <c r="K462" s="324"/>
      <c r="L462" s="285"/>
      <c r="M462" s="285"/>
      <c r="N462" s="285"/>
      <c r="O462" s="325"/>
      <c r="P462" s="285"/>
      <c r="Q462" s="325"/>
      <c r="R462" s="325"/>
      <c r="S462" s="285"/>
      <c r="T462" s="285"/>
      <c r="U462" s="285"/>
      <c r="V462" s="285"/>
      <c r="W462" s="285"/>
      <c r="X462" s="285"/>
      <c r="Y462" s="285"/>
      <c r="Z462" s="285"/>
    </row>
    <row r="463" ht="12.75" customHeight="1">
      <c r="A463" s="285"/>
      <c r="B463" s="75"/>
      <c r="C463" s="75"/>
      <c r="D463" s="321"/>
      <c r="E463" s="321"/>
      <c r="F463" s="322"/>
      <c r="G463" s="75"/>
      <c r="H463" s="321"/>
      <c r="I463" s="321"/>
      <c r="J463" s="323"/>
      <c r="K463" s="324"/>
      <c r="L463" s="285"/>
      <c r="M463" s="285"/>
      <c r="N463" s="285"/>
      <c r="O463" s="325"/>
      <c r="P463" s="285"/>
      <c r="Q463" s="325"/>
      <c r="R463" s="325"/>
      <c r="S463" s="285"/>
      <c r="T463" s="285"/>
      <c r="U463" s="285"/>
      <c r="V463" s="285"/>
      <c r="W463" s="285"/>
      <c r="X463" s="285"/>
      <c r="Y463" s="285"/>
      <c r="Z463" s="285"/>
    </row>
    <row r="464" ht="12.75" customHeight="1">
      <c r="A464" s="285"/>
      <c r="B464" s="75"/>
      <c r="C464" s="75"/>
      <c r="D464" s="321"/>
      <c r="E464" s="321"/>
      <c r="F464" s="322"/>
      <c r="G464" s="75"/>
      <c r="H464" s="321"/>
      <c r="I464" s="321"/>
      <c r="J464" s="323"/>
      <c r="K464" s="324"/>
      <c r="L464" s="285"/>
      <c r="M464" s="285"/>
      <c r="N464" s="285"/>
      <c r="O464" s="325"/>
      <c r="P464" s="285"/>
      <c r="Q464" s="325"/>
      <c r="R464" s="325"/>
      <c r="S464" s="285"/>
      <c r="T464" s="285"/>
      <c r="U464" s="285"/>
      <c r="V464" s="285"/>
      <c r="W464" s="285"/>
      <c r="X464" s="285"/>
      <c r="Y464" s="285"/>
      <c r="Z464" s="285"/>
    </row>
    <row r="465" ht="12.75" customHeight="1">
      <c r="A465" s="285"/>
      <c r="B465" s="75"/>
      <c r="C465" s="75"/>
      <c r="D465" s="321"/>
      <c r="E465" s="321"/>
      <c r="F465" s="322"/>
      <c r="G465" s="75"/>
      <c r="H465" s="321"/>
      <c r="I465" s="321"/>
      <c r="J465" s="323"/>
      <c r="K465" s="324"/>
      <c r="L465" s="285"/>
      <c r="M465" s="285"/>
      <c r="N465" s="285"/>
      <c r="O465" s="325"/>
      <c r="P465" s="285"/>
      <c r="Q465" s="325"/>
      <c r="R465" s="325"/>
      <c r="S465" s="285"/>
      <c r="T465" s="285"/>
      <c r="U465" s="285"/>
      <c r="V465" s="285"/>
      <c r="W465" s="285"/>
      <c r="X465" s="285"/>
      <c r="Y465" s="285"/>
      <c r="Z465" s="285"/>
    </row>
    <row r="466" ht="12.75" customHeight="1">
      <c r="A466" s="285"/>
      <c r="B466" s="75"/>
      <c r="C466" s="75"/>
      <c r="D466" s="321"/>
      <c r="E466" s="321"/>
      <c r="F466" s="322"/>
      <c r="G466" s="75"/>
      <c r="H466" s="321"/>
      <c r="I466" s="321"/>
      <c r="J466" s="323"/>
      <c r="K466" s="324"/>
      <c r="L466" s="285"/>
      <c r="M466" s="285"/>
      <c r="N466" s="285"/>
      <c r="O466" s="325"/>
      <c r="P466" s="285"/>
      <c r="Q466" s="325"/>
      <c r="R466" s="325"/>
      <c r="S466" s="285"/>
      <c r="T466" s="285"/>
      <c r="U466" s="285"/>
      <c r="V466" s="285"/>
      <c r="W466" s="285"/>
      <c r="X466" s="285"/>
      <c r="Y466" s="285"/>
      <c r="Z466" s="285"/>
    </row>
    <row r="467" ht="12.75" customHeight="1">
      <c r="A467" s="285"/>
      <c r="B467" s="75"/>
      <c r="C467" s="75"/>
      <c r="D467" s="321"/>
      <c r="E467" s="321"/>
      <c r="F467" s="322"/>
      <c r="G467" s="75"/>
      <c r="H467" s="321"/>
      <c r="I467" s="321"/>
      <c r="J467" s="323"/>
      <c r="K467" s="324"/>
      <c r="L467" s="285"/>
      <c r="M467" s="285"/>
      <c r="N467" s="285"/>
      <c r="O467" s="325"/>
      <c r="P467" s="285"/>
      <c r="Q467" s="325"/>
      <c r="R467" s="325"/>
      <c r="S467" s="285"/>
      <c r="T467" s="285"/>
      <c r="U467" s="285"/>
      <c r="V467" s="285"/>
      <c r="W467" s="285"/>
      <c r="X467" s="285"/>
      <c r="Y467" s="285"/>
      <c r="Z467" s="285"/>
    </row>
    <row r="468" ht="12.75" customHeight="1">
      <c r="A468" s="285"/>
      <c r="B468" s="75"/>
      <c r="C468" s="75"/>
      <c r="D468" s="321"/>
      <c r="E468" s="321"/>
      <c r="F468" s="322"/>
      <c r="G468" s="75"/>
      <c r="H468" s="321"/>
      <c r="I468" s="321"/>
      <c r="J468" s="323"/>
      <c r="K468" s="324"/>
      <c r="L468" s="285"/>
      <c r="M468" s="285"/>
      <c r="N468" s="285"/>
      <c r="O468" s="325"/>
      <c r="P468" s="285"/>
      <c r="Q468" s="325"/>
      <c r="R468" s="325"/>
      <c r="S468" s="285"/>
      <c r="T468" s="285"/>
      <c r="U468" s="285"/>
      <c r="V468" s="285"/>
      <c r="W468" s="285"/>
      <c r="X468" s="285"/>
      <c r="Y468" s="285"/>
      <c r="Z468" s="285"/>
    </row>
    <row r="469" ht="12.75" customHeight="1">
      <c r="A469" s="285"/>
      <c r="B469" s="75"/>
      <c r="C469" s="75"/>
      <c r="D469" s="321"/>
      <c r="E469" s="321"/>
      <c r="F469" s="322"/>
      <c r="G469" s="75"/>
      <c r="H469" s="321"/>
      <c r="I469" s="321"/>
      <c r="J469" s="323"/>
      <c r="K469" s="324"/>
      <c r="L469" s="285"/>
      <c r="M469" s="285"/>
      <c r="N469" s="285"/>
      <c r="O469" s="325"/>
      <c r="P469" s="285"/>
      <c r="Q469" s="325"/>
      <c r="R469" s="325"/>
      <c r="S469" s="285"/>
      <c r="T469" s="285"/>
      <c r="U469" s="285"/>
      <c r="V469" s="285"/>
      <c r="W469" s="285"/>
      <c r="X469" s="285"/>
      <c r="Y469" s="285"/>
      <c r="Z469" s="285"/>
    </row>
    <row r="470" ht="12.75" customHeight="1">
      <c r="A470" s="285"/>
      <c r="B470" s="75"/>
      <c r="C470" s="75"/>
      <c r="D470" s="321"/>
      <c r="E470" s="321"/>
      <c r="F470" s="322"/>
      <c r="G470" s="75"/>
      <c r="H470" s="321"/>
      <c r="I470" s="321"/>
      <c r="J470" s="323"/>
      <c r="K470" s="324"/>
      <c r="L470" s="285"/>
      <c r="M470" s="285"/>
      <c r="N470" s="285"/>
      <c r="O470" s="325"/>
      <c r="P470" s="285"/>
      <c r="Q470" s="325"/>
      <c r="R470" s="325"/>
      <c r="S470" s="285"/>
      <c r="T470" s="285"/>
      <c r="U470" s="285"/>
      <c r="V470" s="285"/>
      <c r="W470" s="285"/>
      <c r="X470" s="285"/>
      <c r="Y470" s="285"/>
      <c r="Z470" s="285"/>
    </row>
    <row r="471" ht="12.75" customHeight="1">
      <c r="A471" s="285"/>
      <c r="B471" s="75"/>
      <c r="C471" s="75"/>
      <c r="D471" s="321"/>
      <c r="E471" s="321"/>
      <c r="F471" s="322"/>
      <c r="G471" s="75"/>
      <c r="H471" s="321"/>
      <c r="I471" s="321"/>
      <c r="J471" s="323"/>
      <c r="K471" s="324"/>
      <c r="L471" s="285"/>
      <c r="M471" s="285"/>
      <c r="N471" s="285"/>
      <c r="O471" s="325"/>
      <c r="P471" s="285"/>
      <c r="Q471" s="325"/>
      <c r="R471" s="325"/>
      <c r="S471" s="285"/>
      <c r="T471" s="285"/>
      <c r="U471" s="285"/>
      <c r="V471" s="285"/>
      <c r="W471" s="285"/>
      <c r="X471" s="285"/>
      <c r="Y471" s="285"/>
      <c r="Z471" s="285"/>
    </row>
    <row r="472" ht="12.75" customHeight="1">
      <c r="A472" s="285"/>
      <c r="B472" s="75"/>
      <c r="C472" s="75"/>
      <c r="D472" s="321"/>
      <c r="E472" s="321"/>
      <c r="F472" s="322"/>
      <c r="G472" s="75"/>
      <c r="H472" s="321"/>
      <c r="I472" s="321"/>
      <c r="J472" s="323"/>
      <c r="K472" s="324"/>
      <c r="L472" s="285"/>
      <c r="M472" s="285"/>
      <c r="N472" s="285"/>
      <c r="O472" s="325"/>
      <c r="P472" s="285"/>
      <c r="Q472" s="325"/>
      <c r="R472" s="325"/>
      <c r="S472" s="285"/>
      <c r="T472" s="285"/>
      <c r="U472" s="285"/>
      <c r="V472" s="285"/>
      <c r="W472" s="285"/>
      <c r="X472" s="285"/>
      <c r="Y472" s="285"/>
      <c r="Z472" s="285"/>
    </row>
    <row r="473" ht="12.75" customHeight="1">
      <c r="A473" s="285"/>
      <c r="B473" s="75"/>
      <c r="C473" s="75"/>
      <c r="D473" s="321"/>
      <c r="E473" s="321"/>
      <c r="F473" s="322"/>
      <c r="G473" s="75"/>
      <c r="H473" s="321"/>
      <c r="I473" s="321"/>
      <c r="J473" s="323"/>
      <c r="K473" s="324"/>
      <c r="L473" s="285"/>
      <c r="M473" s="285"/>
      <c r="N473" s="285"/>
      <c r="O473" s="325"/>
      <c r="P473" s="285"/>
      <c r="Q473" s="325"/>
      <c r="R473" s="325"/>
      <c r="S473" s="285"/>
      <c r="T473" s="285"/>
      <c r="U473" s="285"/>
      <c r="V473" s="285"/>
      <c r="W473" s="285"/>
      <c r="X473" s="285"/>
      <c r="Y473" s="285"/>
      <c r="Z473" s="285"/>
    </row>
    <row r="474" ht="12.75" customHeight="1">
      <c r="A474" s="285"/>
      <c r="B474" s="75"/>
      <c r="C474" s="75"/>
      <c r="D474" s="321"/>
      <c r="E474" s="321"/>
      <c r="F474" s="322"/>
      <c r="G474" s="75"/>
      <c r="H474" s="321"/>
      <c r="I474" s="321"/>
      <c r="J474" s="323"/>
      <c r="K474" s="324"/>
      <c r="L474" s="285"/>
      <c r="M474" s="285"/>
      <c r="N474" s="285"/>
      <c r="O474" s="325"/>
      <c r="P474" s="285"/>
      <c r="Q474" s="325"/>
      <c r="R474" s="325"/>
      <c r="S474" s="285"/>
      <c r="T474" s="285"/>
      <c r="U474" s="285"/>
      <c r="V474" s="285"/>
      <c r="W474" s="285"/>
      <c r="X474" s="285"/>
      <c r="Y474" s="285"/>
      <c r="Z474" s="285"/>
    </row>
    <row r="475" ht="12.75" customHeight="1">
      <c r="A475" s="285"/>
      <c r="B475" s="75"/>
      <c r="C475" s="75"/>
      <c r="D475" s="321"/>
      <c r="E475" s="321"/>
      <c r="F475" s="322"/>
      <c r="G475" s="75"/>
      <c r="H475" s="321"/>
      <c r="I475" s="321"/>
      <c r="J475" s="323"/>
      <c r="K475" s="324"/>
      <c r="L475" s="285"/>
      <c r="M475" s="285"/>
      <c r="N475" s="285"/>
      <c r="O475" s="325"/>
      <c r="P475" s="285"/>
      <c r="Q475" s="325"/>
      <c r="R475" s="325"/>
      <c r="S475" s="285"/>
      <c r="T475" s="285"/>
      <c r="U475" s="285"/>
      <c r="V475" s="285"/>
      <c r="W475" s="285"/>
      <c r="X475" s="285"/>
      <c r="Y475" s="285"/>
      <c r="Z475" s="285"/>
    </row>
    <row r="476" ht="12.75" customHeight="1">
      <c r="A476" s="285"/>
      <c r="B476" s="75"/>
      <c r="C476" s="75"/>
      <c r="D476" s="321"/>
      <c r="E476" s="321"/>
      <c r="F476" s="322"/>
      <c r="G476" s="75"/>
      <c r="H476" s="321"/>
      <c r="I476" s="321"/>
      <c r="J476" s="323"/>
      <c r="K476" s="324"/>
      <c r="L476" s="285"/>
      <c r="M476" s="285"/>
      <c r="N476" s="285"/>
      <c r="O476" s="325"/>
      <c r="P476" s="285"/>
      <c r="Q476" s="325"/>
      <c r="R476" s="325"/>
      <c r="S476" s="285"/>
      <c r="T476" s="285"/>
      <c r="U476" s="285"/>
      <c r="V476" s="285"/>
      <c r="W476" s="285"/>
      <c r="X476" s="285"/>
      <c r="Y476" s="285"/>
      <c r="Z476" s="285"/>
    </row>
    <row r="477" ht="12.75" customHeight="1">
      <c r="A477" s="285"/>
      <c r="B477" s="75"/>
      <c r="C477" s="75"/>
      <c r="D477" s="321"/>
      <c r="E477" s="321"/>
      <c r="F477" s="322"/>
      <c r="G477" s="75"/>
      <c r="H477" s="321"/>
      <c r="I477" s="321"/>
      <c r="J477" s="323"/>
      <c r="K477" s="324"/>
      <c r="L477" s="285"/>
      <c r="M477" s="285"/>
      <c r="N477" s="285"/>
      <c r="O477" s="325"/>
      <c r="P477" s="285"/>
      <c r="Q477" s="325"/>
      <c r="R477" s="325"/>
      <c r="S477" s="285"/>
      <c r="T477" s="285"/>
      <c r="U477" s="285"/>
      <c r="V477" s="285"/>
      <c r="W477" s="285"/>
      <c r="X477" s="285"/>
      <c r="Y477" s="285"/>
      <c r="Z477" s="285"/>
    </row>
    <row r="478" ht="12.75" customHeight="1">
      <c r="A478" s="285"/>
      <c r="B478" s="75"/>
      <c r="C478" s="75"/>
      <c r="D478" s="321"/>
      <c r="E478" s="321"/>
      <c r="F478" s="322"/>
      <c r="G478" s="75"/>
      <c r="H478" s="321"/>
      <c r="I478" s="321"/>
      <c r="J478" s="323"/>
      <c r="K478" s="324"/>
      <c r="L478" s="285"/>
      <c r="M478" s="285"/>
      <c r="N478" s="285"/>
      <c r="O478" s="325"/>
      <c r="P478" s="285"/>
      <c r="Q478" s="325"/>
      <c r="R478" s="325"/>
      <c r="S478" s="285"/>
      <c r="T478" s="285"/>
      <c r="U478" s="285"/>
      <c r="V478" s="285"/>
      <c r="W478" s="285"/>
      <c r="X478" s="285"/>
      <c r="Y478" s="285"/>
      <c r="Z478" s="285"/>
    </row>
    <row r="479" ht="12.75" customHeight="1">
      <c r="A479" s="285"/>
      <c r="B479" s="75"/>
      <c r="C479" s="75"/>
      <c r="D479" s="321"/>
      <c r="E479" s="321"/>
      <c r="F479" s="322"/>
      <c r="G479" s="75"/>
      <c r="H479" s="321"/>
      <c r="I479" s="321"/>
      <c r="J479" s="323"/>
      <c r="K479" s="324"/>
      <c r="L479" s="285"/>
      <c r="M479" s="285"/>
      <c r="N479" s="285"/>
      <c r="O479" s="325"/>
      <c r="P479" s="285"/>
      <c r="Q479" s="325"/>
      <c r="R479" s="325"/>
      <c r="S479" s="285"/>
      <c r="T479" s="285"/>
      <c r="U479" s="285"/>
      <c r="V479" s="285"/>
      <c r="W479" s="285"/>
      <c r="X479" s="285"/>
      <c r="Y479" s="285"/>
      <c r="Z479" s="285"/>
    </row>
    <row r="480" ht="12.75" customHeight="1">
      <c r="A480" s="285"/>
      <c r="B480" s="75"/>
      <c r="C480" s="75"/>
      <c r="D480" s="321"/>
      <c r="E480" s="321"/>
      <c r="F480" s="322"/>
      <c r="G480" s="75"/>
      <c r="H480" s="321"/>
      <c r="I480" s="321"/>
      <c r="J480" s="323"/>
      <c r="K480" s="324"/>
      <c r="L480" s="285"/>
      <c r="M480" s="285"/>
      <c r="N480" s="285"/>
      <c r="O480" s="325"/>
      <c r="P480" s="285"/>
      <c r="Q480" s="325"/>
      <c r="R480" s="325"/>
      <c r="S480" s="285"/>
      <c r="T480" s="285"/>
      <c r="U480" s="285"/>
      <c r="V480" s="285"/>
      <c r="W480" s="285"/>
      <c r="X480" s="285"/>
      <c r="Y480" s="285"/>
      <c r="Z480" s="285"/>
    </row>
    <row r="481" ht="12.75" customHeight="1">
      <c r="A481" s="285"/>
      <c r="B481" s="75"/>
      <c r="C481" s="75"/>
      <c r="D481" s="321"/>
      <c r="E481" s="321"/>
      <c r="F481" s="322"/>
      <c r="G481" s="75"/>
      <c r="H481" s="321"/>
      <c r="I481" s="321"/>
      <c r="J481" s="323"/>
      <c r="K481" s="324"/>
      <c r="L481" s="285"/>
      <c r="M481" s="285"/>
      <c r="N481" s="285"/>
      <c r="O481" s="325"/>
      <c r="P481" s="285"/>
      <c r="Q481" s="325"/>
      <c r="R481" s="325"/>
      <c r="S481" s="285"/>
      <c r="T481" s="285"/>
      <c r="U481" s="285"/>
      <c r="V481" s="285"/>
      <c r="W481" s="285"/>
      <c r="X481" s="285"/>
      <c r="Y481" s="285"/>
      <c r="Z481" s="285"/>
    </row>
    <row r="482" ht="12.75" customHeight="1">
      <c r="A482" s="285"/>
      <c r="B482" s="75"/>
      <c r="C482" s="75"/>
      <c r="D482" s="321"/>
      <c r="E482" s="321"/>
      <c r="F482" s="322"/>
      <c r="G482" s="75"/>
      <c r="H482" s="321"/>
      <c r="I482" s="321"/>
      <c r="J482" s="323"/>
      <c r="K482" s="324"/>
      <c r="L482" s="285"/>
      <c r="M482" s="285"/>
      <c r="N482" s="285"/>
      <c r="O482" s="325"/>
      <c r="P482" s="285"/>
      <c r="Q482" s="325"/>
      <c r="R482" s="325"/>
      <c r="S482" s="285"/>
      <c r="T482" s="285"/>
      <c r="U482" s="285"/>
      <c r="V482" s="285"/>
      <c r="W482" s="285"/>
      <c r="X482" s="285"/>
      <c r="Y482" s="285"/>
      <c r="Z482" s="285"/>
    </row>
    <row r="483" ht="12.75" customHeight="1">
      <c r="A483" s="285"/>
      <c r="B483" s="75"/>
      <c r="C483" s="75"/>
      <c r="D483" s="321"/>
      <c r="E483" s="321"/>
      <c r="F483" s="322"/>
      <c r="G483" s="75"/>
      <c r="H483" s="321"/>
      <c r="I483" s="321"/>
      <c r="J483" s="323"/>
      <c r="K483" s="324"/>
      <c r="L483" s="285"/>
      <c r="M483" s="285"/>
      <c r="N483" s="285"/>
      <c r="O483" s="325"/>
      <c r="P483" s="285"/>
      <c r="Q483" s="325"/>
      <c r="R483" s="325"/>
      <c r="S483" s="285"/>
      <c r="T483" s="285"/>
      <c r="U483" s="285"/>
      <c r="V483" s="285"/>
      <c r="W483" s="285"/>
      <c r="X483" s="285"/>
      <c r="Y483" s="285"/>
      <c r="Z483" s="285"/>
    </row>
    <row r="484" ht="12.75" customHeight="1">
      <c r="A484" s="285"/>
      <c r="B484" s="75"/>
      <c r="C484" s="75"/>
      <c r="D484" s="321"/>
      <c r="E484" s="321"/>
      <c r="F484" s="322"/>
      <c r="G484" s="75"/>
      <c r="H484" s="321"/>
      <c r="I484" s="321"/>
      <c r="J484" s="323"/>
      <c r="K484" s="324"/>
      <c r="L484" s="285"/>
      <c r="M484" s="285"/>
      <c r="N484" s="285"/>
      <c r="O484" s="325"/>
      <c r="P484" s="285"/>
      <c r="Q484" s="325"/>
      <c r="R484" s="325"/>
      <c r="S484" s="285"/>
      <c r="T484" s="285"/>
      <c r="U484" s="285"/>
      <c r="V484" s="285"/>
      <c r="W484" s="285"/>
      <c r="X484" s="285"/>
      <c r="Y484" s="285"/>
      <c r="Z484" s="285"/>
    </row>
    <row r="485" ht="12.75" customHeight="1">
      <c r="A485" s="285"/>
      <c r="B485" s="75"/>
      <c r="C485" s="75"/>
      <c r="D485" s="321"/>
      <c r="E485" s="321"/>
      <c r="F485" s="322"/>
      <c r="G485" s="75"/>
      <c r="H485" s="321"/>
      <c r="I485" s="321"/>
      <c r="J485" s="323"/>
      <c r="K485" s="324"/>
      <c r="L485" s="285"/>
      <c r="M485" s="285"/>
      <c r="N485" s="285"/>
      <c r="O485" s="325"/>
      <c r="P485" s="285"/>
      <c r="Q485" s="325"/>
      <c r="R485" s="325"/>
      <c r="S485" s="285"/>
      <c r="T485" s="285"/>
      <c r="U485" s="285"/>
      <c r="V485" s="285"/>
      <c r="W485" s="285"/>
      <c r="X485" s="285"/>
      <c r="Y485" s="285"/>
      <c r="Z485" s="285"/>
    </row>
    <row r="486" ht="12.75" customHeight="1">
      <c r="A486" s="285"/>
      <c r="B486" s="75"/>
      <c r="C486" s="75"/>
      <c r="D486" s="321"/>
      <c r="E486" s="321"/>
      <c r="F486" s="322"/>
      <c r="G486" s="75"/>
      <c r="H486" s="321"/>
      <c r="I486" s="321"/>
      <c r="J486" s="323"/>
      <c r="K486" s="324"/>
      <c r="L486" s="285"/>
      <c r="M486" s="285"/>
      <c r="N486" s="285"/>
      <c r="O486" s="325"/>
      <c r="P486" s="285"/>
      <c r="Q486" s="325"/>
      <c r="R486" s="325"/>
      <c r="S486" s="285"/>
      <c r="T486" s="285"/>
      <c r="U486" s="285"/>
      <c r="V486" s="285"/>
      <c r="W486" s="285"/>
      <c r="X486" s="285"/>
      <c r="Y486" s="285"/>
      <c r="Z486" s="285"/>
    </row>
    <row r="487" ht="12.75" customHeight="1">
      <c r="A487" s="285"/>
      <c r="B487" s="75"/>
      <c r="C487" s="75"/>
      <c r="D487" s="321"/>
      <c r="E487" s="321"/>
      <c r="F487" s="322"/>
      <c r="G487" s="75"/>
      <c r="H487" s="321"/>
      <c r="I487" s="321"/>
      <c r="J487" s="323"/>
      <c r="K487" s="324"/>
      <c r="L487" s="285"/>
      <c r="M487" s="285"/>
      <c r="N487" s="285"/>
      <c r="O487" s="325"/>
      <c r="P487" s="285"/>
      <c r="Q487" s="325"/>
      <c r="R487" s="325"/>
      <c r="S487" s="285"/>
      <c r="T487" s="285"/>
      <c r="U487" s="285"/>
      <c r="V487" s="285"/>
      <c r="W487" s="285"/>
      <c r="X487" s="285"/>
      <c r="Y487" s="285"/>
      <c r="Z487" s="285"/>
    </row>
    <row r="488" ht="12.75" customHeight="1">
      <c r="A488" s="285"/>
      <c r="B488" s="75"/>
      <c r="C488" s="75"/>
      <c r="D488" s="321"/>
      <c r="E488" s="321"/>
      <c r="F488" s="322"/>
      <c r="G488" s="75"/>
      <c r="H488" s="321"/>
      <c r="I488" s="321"/>
      <c r="J488" s="323"/>
      <c r="K488" s="324"/>
      <c r="L488" s="285"/>
      <c r="M488" s="285"/>
      <c r="N488" s="285"/>
      <c r="O488" s="325"/>
      <c r="P488" s="285"/>
      <c r="Q488" s="325"/>
      <c r="R488" s="325"/>
      <c r="S488" s="285"/>
      <c r="T488" s="285"/>
      <c r="U488" s="285"/>
      <c r="V488" s="285"/>
      <c r="W488" s="285"/>
      <c r="X488" s="285"/>
      <c r="Y488" s="285"/>
      <c r="Z488" s="285"/>
    </row>
    <row r="489" ht="12.75" customHeight="1">
      <c r="A489" s="285"/>
      <c r="B489" s="75"/>
      <c r="C489" s="75"/>
      <c r="D489" s="321"/>
      <c r="E489" s="321"/>
      <c r="F489" s="322"/>
      <c r="G489" s="75"/>
      <c r="H489" s="321"/>
      <c r="I489" s="321"/>
      <c r="J489" s="323"/>
      <c r="K489" s="324"/>
      <c r="L489" s="285"/>
      <c r="M489" s="285"/>
      <c r="N489" s="285"/>
      <c r="O489" s="325"/>
      <c r="P489" s="285"/>
      <c r="Q489" s="325"/>
      <c r="R489" s="325"/>
      <c r="S489" s="285"/>
      <c r="T489" s="285"/>
      <c r="U489" s="285"/>
      <c r="V489" s="285"/>
      <c r="W489" s="285"/>
      <c r="X489" s="285"/>
      <c r="Y489" s="285"/>
      <c r="Z489" s="285"/>
    </row>
    <row r="490" ht="12.75" customHeight="1">
      <c r="A490" s="285"/>
      <c r="B490" s="75"/>
      <c r="C490" s="75"/>
      <c r="D490" s="321"/>
      <c r="E490" s="321"/>
      <c r="F490" s="322"/>
      <c r="G490" s="75"/>
      <c r="H490" s="321"/>
      <c r="I490" s="321"/>
      <c r="J490" s="323"/>
      <c r="K490" s="324"/>
      <c r="L490" s="285"/>
      <c r="M490" s="285"/>
      <c r="N490" s="285"/>
      <c r="O490" s="325"/>
      <c r="P490" s="285"/>
      <c r="Q490" s="325"/>
      <c r="R490" s="325"/>
      <c r="S490" s="285"/>
      <c r="T490" s="285"/>
      <c r="U490" s="285"/>
      <c r="V490" s="285"/>
      <c r="W490" s="285"/>
      <c r="X490" s="285"/>
      <c r="Y490" s="285"/>
      <c r="Z490" s="285"/>
    </row>
    <row r="491" ht="12.75" customHeight="1">
      <c r="A491" s="285"/>
      <c r="B491" s="75"/>
      <c r="C491" s="75"/>
      <c r="D491" s="321"/>
      <c r="E491" s="321"/>
      <c r="F491" s="322"/>
      <c r="G491" s="75"/>
      <c r="H491" s="321"/>
      <c r="I491" s="321"/>
      <c r="J491" s="323"/>
      <c r="K491" s="324"/>
      <c r="L491" s="285"/>
      <c r="M491" s="285"/>
      <c r="N491" s="285"/>
      <c r="O491" s="325"/>
      <c r="P491" s="285"/>
      <c r="Q491" s="325"/>
      <c r="R491" s="325"/>
      <c r="S491" s="285"/>
      <c r="T491" s="285"/>
      <c r="U491" s="285"/>
      <c r="V491" s="285"/>
      <c r="W491" s="285"/>
      <c r="X491" s="285"/>
      <c r="Y491" s="285"/>
      <c r="Z491" s="285"/>
    </row>
    <row r="492" ht="12.75" customHeight="1">
      <c r="A492" s="285"/>
      <c r="B492" s="75"/>
      <c r="C492" s="75"/>
      <c r="D492" s="321"/>
      <c r="E492" s="321"/>
      <c r="F492" s="322"/>
      <c r="G492" s="75"/>
      <c r="H492" s="321"/>
      <c r="I492" s="321"/>
      <c r="J492" s="323"/>
      <c r="K492" s="324"/>
      <c r="L492" s="285"/>
      <c r="M492" s="285"/>
      <c r="N492" s="285"/>
      <c r="O492" s="325"/>
      <c r="P492" s="285"/>
      <c r="Q492" s="325"/>
      <c r="R492" s="325"/>
      <c r="S492" s="285"/>
      <c r="T492" s="285"/>
      <c r="U492" s="285"/>
      <c r="V492" s="285"/>
      <c r="W492" s="285"/>
      <c r="X492" s="285"/>
      <c r="Y492" s="285"/>
      <c r="Z492" s="285"/>
    </row>
    <row r="493" ht="12.75" customHeight="1">
      <c r="A493" s="285"/>
      <c r="B493" s="75"/>
      <c r="C493" s="75"/>
      <c r="D493" s="321"/>
      <c r="E493" s="321"/>
      <c r="F493" s="322"/>
      <c r="G493" s="75"/>
      <c r="H493" s="321"/>
      <c r="I493" s="321"/>
      <c r="J493" s="323"/>
      <c r="K493" s="324"/>
      <c r="L493" s="285"/>
      <c r="M493" s="285"/>
      <c r="N493" s="285"/>
      <c r="O493" s="325"/>
      <c r="P493" s="285"/>
      <c r="Q493" s="325"/>
      <c r="R493" s="325"/>
      <c r="S493" s="285"/>
      <c r="T493" s="285"/>
      <c r="U493" s="285"/>
      <c r="V493" s="285"/>
      <c r="W493" s="285"/>
      <c r="X493" s="285"/>
      <c r="Y493" s="285"/>
      <c r="Z493" s="285"/>
    </row>
    <row r="494" ht="12.75" customHeight="1">
      <c r="A494" s="285"/>
      <c r="B494" s="75"/>
      <c r="C494" s="75"/>
      <c r="D494" s="321"/>
      <c r="E494" s="321"/>
      <c r="F494" s="322"/>
      <c r="G494" s="75"/>
      <c r="H494" s="321"/>
      <c r="I494" s="321"/>
      <c r="J494" s="323"/>
      <c r="K494" s="324"/>
      <c r="L494" s="285"/>
      <c r="M494" s="285"/>
      <c r="N494" s="285"/>
      <c r="O494" s="325"/>
      <c r="P494" s="285"/>
      <c r="Q494" s="325"/>
      <c r="R494" s="325"/>
      <c r="S494" s="285"/>
      <c r="T494" s="285"/>
      <c r="U494" s="285"/>
      <c r="V494" s="285"/>
      <c r="W494" s="285"/>
      <c r="X494" s="285"/>
      <c r="Y494" s="285"/>
      <c r="Z494" s="285"/>
    </row>
    <row r="495" ht="12.75" customHeight="1">
      <c r="A495" s="285"/>
      <c r="B495" s="75"/>
      <c r="C495" s="75"/>
      <c r="D495" s="321"/>
      <c r="E495" s="321"/>
      <c r="F495" s="322"/>
      <c r="G495" s="75"/>
      <c r="H495" s="321"/>
      <c r="I495" s="321"/>
      <c r="J495" s="323"/>
      <c r="K495" s="324"/>
      <c r="L495" s="285"/>
      <c r="M495" s="285"/>
      <c r="N495" s="285"/>
      <c r="O495" s="325"/>
      <c r="P495" s="285"/>
      <c r="Q495" s="325"/>
      <c r="R495" s="325"/>
      <c r="S495" s="285"/>
      <c r="T495" s="285"/>
      <c r="U495" s="285"/>
      <c r="V495" s="285"/>
      <c r="W495" s="285"/>
      <c r="X495" s="285"/>
      <c r="Y495" s="285"/>
      <c r="Z495" s="285"/>
    </row>
    <row r="496" ht="12.75" customHeight="1">
      <c r="A496" s="285"/>
      <c r="B496" s="75"/>
      <c r="C496" s="75"/>
      <c r="D496" s="321"/>
      <c r="E496" s="321"/>
      <c r="F496" s="322"/>
      <c r="G496" s="75"/>
      <c r="H496" s="321"/>
      <c r="I496" s="321"/>
      <c r="J496" s="323"/>
      <c r="K496" s="324"/>
      <c r="L496" s="285"/>
      <c r="M496" s="285"/>
      <c r="N496" s="285"/>
      <c r="O496" s="325"/>
      <c r="P496" s="285"/>
      <c r="Q496" s="325"/>
      <c r="R496" s="325"/>
      <c r="S496" s="285"/>
      <c r="T496" s="285"/>
      <c r="U496" s="285"/>
      <c r="V496" s="285"/>
      <c r="W496" s="285"/>
      <c r="X496" s="285"/>
      <c r="Y496" s="285"/>
      <c r="Z496" s="285"/>
    </row>
    <row r="497" ht="12.75" customHeight="1">
      <c r="A497" s="285"/>
      <c r="B497" s="75"/>
      <c r="C497" s="75"/>
      <c r="D497" s="321"/>
      <c r="E497" s="321"/>
      <c r="F497" s="322"/>
      <c r="G497" s="75"/>
      <c r="H497" s="321"/>
      <c r="I497" s="321"/>
      <c r="J497" s="323"/>
      <c r="K497" s="324"/>
      <c r="L497" s="285"/>
      <c r="M497" s="285"/>
      <c r="N497" s="285"/>
      <c r="O497" s="325"/>
      <c r="P497" s="285"/>
      <c r="Q497" s="325"/>
      <c r="R497" s="325"/>
      <c r="S497" s="285"/>
      <c r="T497" s="285"/>
      <c r="U497" s="285"/>
      <c r="V497" s="285"/>
      <c r="W497" s="285"/>
      <c r="X497" s="285"/>
      <c r="Y497" s="285"/>
      <c r="Z497" s="285"/>
    </row>
    <row r="498" ht="12.75" customHeight="1">
      <c r="A498" s="285"/>
      <c r="B498" s="75"/>
      <c r="C498" s="75"/>
      <c r="D498" s="321"/>
      <c r="E498" s="321"/>
      <c r="F498" s="322"/>
      <c r="G498" s="75"/>
      <c r="H498" s="321"/>
      <c r="I498" s="321"/>
      <c r="J498" s="323"/>
      <c r="K498" s="324"/>
      <c r="L498" s="285"/>
      <c r="M498" s="285"/>
      <c r="N498" s="285"/>
      <c r="O498" s="325"/>
      <c r="P498" s="285"/>
      <c r="Q498" s="325"/>
      <c r="R498" s="325"/>
      <c r="S498" s="285"/>
      <c r="T498" s="285"/>
      <c r="U498" s="285"/>
      <c r="V498" s="285"/>
      <c r="W498" s="285"/>
      <c r="X498" s="285"/>
      <c r="Y498" s="285"/>
      <c r="Z498" s="285"/>
    </row>
    <row r="499" ht="12.75" customHeight="1">
      <c r="A499" s="285"/>
      <c r="B499" s="75"/>
      <c r="C499" s="75"/>
      <c r="D499" s="321"/>
      <c r="E499" s="321"/>
      <c r="F499" s="322"/>
      <c r="G499" s="75"/>
      <c r="H499" s="321"/>
      <c r="I499" s="321"/>
      <c r="J499" s="323"/>
      <c r="K499" s="324"/>
      <c r="L499" s="285"/>
      <c r="M499" s="285"/>
      <c r="N499" s="285"/>
      <c r="O499" s="325"/>
      <c r="P499" s="285"/>
      <c r="Q499" s="325"/>
      <c r="R499" s="325"/>
      <c r="S499" s="285"/>
      <c r="T499" s="285"/>
      <c r="U499" s="285"/>
      <c r="V499" s="285"/>
      <c r="W499" s="285"/>
      <c r="X499" s="285"/>
      <c r="Y499" s="285"/>
      <c r="Z499" s="285"/>
    </row>
    <row r="500" ht="12.75" customHeight="1">
      <c r="A500" s="285"/>
      <c r="B500" s="75"/>
      <c r="C500" s="75"/>
      <c r="D500" s="321"/>
      <c r="E500" s="321"/>
      <c r="F500" s="322"/>
      <c r="G500" s="75"/>
      <c r="H500" s="321"/>
      <c r="I500" s="321"/>
      <c r="J500" s="323"/>
      <c r="K500" s="324"/>
      <c r="L500" s="285"/>
      <c r="M500" s="285"/>
      <c r="N500" s="285"/>
      <c r="O500" s="325"/>
      <c r="P500" s="285"/>
      <c r="Q500" s="325"/>
      <c r="R500" s="325"/>
      <c r="S500" s="285"/>
      <c r="T500" s="285"/>
      <c r="U500" s="285"/>
      <c r="V500" s="285"/>
      <c r="W500" s="285"/>
      <c r="X500" s="285"/>
      <c r="Y500" s="285"/>
      <c r="Z500" s="285"/>
    </row>
    <row r="501" ht="12.75" customHeight="1">
      <c r="A501" s="285"/>
      <c r="B501" s="75"/>
      <c r="C501" s="75"/>
      <c r="D501" s="321"/>
      <c r="E501" s="321"/>
      <c r="F501" s="322"/>
      <c r="G501" s="75"/>
      <c r="H501" s="321"/>
      <c r="I501" s="321"/>
      <c r="J501" s="323"/>
      <c r="K501" s="324"/>
      <c r="L501" s="285"/>
      <c r="M501" s="285"/>
      <c r="N501" s="285"/>
      <c r="O501" s="325"/>
      <c r="P501" s="285"/>
      <c r="Q501" s="325"/>
      <c r="R501" s="325"/>
      <c r="S501" s="285"/>
      <c r="T501" s="285"/>
      <c r="U501" s="285"/>
      <c r="V501" s="285"/>
      <c r="W501" s="285"/>
      <c r="X501" s="285"/>
      <c r="Y501" s="285"/>
      <c r="Z501" s="285"/>
    </row>
    <row r="502" ht="12.75" customHeight="1">
      <c r="A502" s="285"/>
      <c r="B502" s="75"/>
      <c r="C502" s="75"/>
      <c r="D502" s="321"/>
      <c r="E502" s="321"/>
      <c r="F502" s="322"/>
      <c r="G502" s="75"/>
      <c r="H502" s="321"/>
      <c r="I502" s="321"/>
      <c r="J502" s="323"/>
      <c r="K502" s="324"/>
      <c r="L502" s="285"/>
      <c r="M502" s="285"/>
      <c r="N502" s="285"/>
      <c r="O502" s="325"/>
      <c r="P502" s="285"/>
      <c r="Q502" s="325"/>
      <c r="R502" s="325"/>
      <c r="S502" s="285"/>
      <c r="T502" s="285"/>
      <c r="U502" s="285"/>
      <c r="V502" s="285"/>
      <c r="W502" s="285"/>
      <c r="X502" s="285"/>
      <c r="Y502" s="285"/>
      <c r="Z502" s="285"/>
    </row>
    <row r="503" ht="12.75" customHeight="1">
      <c r="A503" s="285"/>
      <c r="B503" s="75"/>
      <c r="C503" s="75"/>
      <c r="D503" s="321"/>
      <c r="E503" s="321"/>
      <c r="F503" s="322"/>
      <c r="G503" s="75"/>
      <c r="H503" s="321"/>
      <c r="I503" s="321"/>
      <c r="J503" s="323"/>
      <c r="K503" s="324"/>
      <c r="L503" s="285"/>
      <c r="M503" s="285"/>
      <c r="N503" s="285"/>
      <c r="O503" s="325"/>
      <c r="P503" s="285"/>
      <c r="Q503" s="325"/>
      <c r="R503" s="325"/>
      <c r="S503" s="285"/>
      <c r="T503" s="285"/>
      <c r="U503" s="285"/>
      <c r="V503" s="285"/>
      <c r="W503" s="285"/>
      <c r="X503" s="285"/>
      <c r="Y503" s="285"/>
      <c r="Z503" s="285"/>
    </row>
    <row r="504" ht="12.75" customHeight="1">
      <c r="A504" s="285"/>
      <c r="B504" s="75"/>
      <c r="C504" s="75"/>
      <c r="D504" s="321"/>
      <c r="E504" s="321"/>
      <c r="F504" s="322"/>
      <c r="G504" s="75"/>
      <c r="H504" s="321"/>
      <c r="I504" s="321"/>
      <c r="J504" s="323"/>
      <c r="K504" s="324"/>
      <c r="L504" s="285"/>
      <c r="M504" s="285"/>
      <c r="N504" s="285"/>
      <c r="O504" s="325"/>
      <c r="P504" s="285"/>
      <c r="Q504" s="325"/>
      <c r="R504" s="325"/>
      <c r="S504" s="285"/>
      <c r="T504" s="285"/>
      <c r="U504" s="285"/>
      <c r="V504" s="285"/>
      <c r="W504" s="285"/>
      <c r="X504" s="285"/>
      <c r="Y504" s="285"/>
      <c r="Z504" s="285"/>
    </row>
    <row r="505" ht="12.75" customHeight="1">
      <c r="A505" s="285"/>
      <c r="B505" s="75"/>
      <c r="C505" s="75"/>
      <c r="D505" s="321"/>
      <c r="E505" s="321"/>
      <c r="F505" s="322"/>
      <c r="G505" s="75"/>
      <c r="H505" s="321"/>
      <c r="I505" s="321"/>
      <c r="J505" s="323"/>
      <c r="K505" s="324"/>
      <c r="L505" s="285"/>
      <c r="M505" s="285"/>
      <c r="N505" s="285"/>
      <c r="O505" s="325"/>
      <c r="P505" s="285"/>
      <c r="Q505" s="325"/>
      <c r="R505" s="325"/>
      <c r="S505" s="285"/>
      <c r="T505" s="285"/>
      <c r="U505" s="285"/>
      <c r="V505" s="285"/>
      <c r="W505" s="285"/>
      <c r="X505" s="285"/>
      <c r="Y505" s="285"/>
      <c r="Z505" s="285"/>
    </row>
    <row r="506" ht="12.75" customHeight="1">
      <c r="A506" s="285"/>
      <c r="B506" s="75"/>
      <c r="C506" s="75"/>
      <c r="D506" s="321"/>
      <c r="E506" s="321"/>
      <c r="F506" s="322"/>
      <c r="G506" s="75"/>
      <c r="H506" s="321"/>
      <c r="I506" s="321"/>
      <c r="J506" s="323"/>
      <c r="K506" s="324"/>
      <c r="L506" s="285"/>
      <c r="M506" s="285"/>
      <c r="N506" s="285"/>
      <c r="O506" s="325"/>
      <c r="P506" s="285"/>
      <c r="Q506" s="325"/>
      <c r="R506" s="325"/>
      <c r="S506" s="285"/>
      <c r="T506" s="285"/>
      <c r="U506" s="285"/>
      <c r="V506" s="285"/>
      <c r="W506" s="285"/>
      <c r="X506" s="285"/>
      <c r="Y506" s="285"/>
      <c r="Z506" s="285"/>
    </row>
    <row r="507" ht="12.75" customHeight="1">
      <c r="A507" s="285"/>
      <c r="B507" s="75"/>
      <c r="C507" s="75"/>
      <c r="D507" s="321"/>
      <c r="E507" s="321"/>
      <c r="F507" s="322"/>
      <c r="G507" s="75"/>
      <c r="H507" s="321"/>
      <c r="I507" s="321"/>
      <c r="J507" s="323"/>
      <c r="K507" s="324"/>
      <c r="L507" s="285"/>
      <c r="M507" s="285"/>
      <c r="N507" s="285"/>
      <c r="O507" s="325"/>
      <c r="P507" s="285"/>
      <c r="Q507" s="325"/>
      <c r="R507" s="325"/>
      <c r="S507" s="285"/>
      <c r="T507" s="285"/>
      <c r="U507" s="285"/>
      <c r="V507" s="285"/>
      <c r="W507" s="285"/>
      <c r="X507" s="285"/>
      <c r="Y507" s="285"/>
      <c r="Z507" s="285"/>
    </row>
    <row r="508" ht="12.75" customHeight="1">
      <c r="A508" s="285"/>
      <c r="B508" s="75"/>
      <c r="C508" s="75"/>
      <c r="D508" s="321"/>
      <c r="E508" s="321"/>
      <c r="F508" s="322"/>
      <c r="G508" s="75"/>
      <c r="H508" s="321"/>
      <c r="I508" s="321"/>
      <c r="J508" s="323"/>
      <c r="K508" s="324"/>
      <c r="L508" s="285"/>
      <c r="M508" s="285"/>
      <c r="N508" s="285"/>
      <c r="O508" s="325"/>
      <c r="P508" s="285"/>
      <c r="Q508" s="325"/>
      <c r="R508" s="325"/>
      <c r="S508" s="285"/>
      <c r="T508" s="285"/>
      <c r="U508" s="285"/>
      <c r="V508" s="285"/>
      <c r="W508" s="285"/>
      <c r="X508" s="285"/>
      <c r="Y508" s="285"/>
      <c r="Z508" s="285"/>
    </row>
    <row r="509" ht="12.75" customHeight="1">
      <c r="A509" s="285"/>
      <c r="B509" s="75"/>
      <c r="C509" s="75"/>
      <c r="D509" s="321"/>
      <c r="E509" s="321"/>
      <c r="F509" s="322"/>
      <c r="G509" s="75"/>
      <c r="H509" s="321"/>
      <c r="I509" s="321"/>
      <c r="J509" s="323"/>
      <c r="K509" s="324"/>
      <c r="L509" s="285"/>
      <c r="M509" s="285"/>
      <c r="N509" s="285"/>
      <c r="O509" s="325"/>
      <c r="P509" s="285"/>
      <c r="Q509" s="325"/>
      <c r="R509" s="325"/>
      <c r="S509" s="285"/>
      <c r="T509" s="285"/>
      <c r="U509" s="285"/>
      <c r="V509" s="285"/>
      <c r="W509" s="285"/>
      <c r="X509" s="285"/>
      <c r="Y509" s="285"/>
      <c r="Z509" s="285"/>
    </row>
    <row r="510" ht="12.75" customHeight="1">
      <c r="A510" s="285"/>
      <c r="B510" s="75"/>
      <c r="C510" s="75"/>
      <c r="D510" s="321"/>
      <c r="E510" s="321"/>
      <c r="F510" s="322"/>
      <c r="G510" s="75"/>
      <c r="H510" s="321"/>
      <c r="I510" s="321"/>
      <c r="J510" s="323"/>
      <c r="K510" s="324"/>
      <c r="L510" s="285"/>
      <c r="M510" s="285"/>
      <c r="N510" s="285"/>
      <c r="O510" s="325"/>
      <c r="P510" s="285"/>
      <c r="Q510" s="325"/>
      <c r="R510" s="325"/>
      <c r="S510" s="285"/>
      <c r="T510" s="285"/>
      <c r="U510" s="285"/>
      <c r="V510" s="285"/>
      <c r="W510" s="285"/>
      <c r="X510" s="285"/>
      <c r="Y510" s="285"/>
      <c r="Z510" s="285"/>
    </row>
    <row r="511" ht="12.75" customHeight="1">
      <c r="A511" s="285"/>
      <c r="B511" s="75"/>
      <c r="C511" s="75"/>
      <c r="D511" s="321"/>
      <c r="E511" s="321"/>
      <c r="F511" s="322"/>
      <c r="G511" s="75"/>
      <c r="H511" s="321"/>
      <c r="I511" s="321"/>
      <c r="J511" s="323"/>
      <c r="K511" s="324"/>
      <c r="L511" s="285"/>
      <c r="M511" s="285"/>
      <c r="N511" s="285"/>
      <c r="O511" s="325"/>
      <c r="P511" s="285"/>
      <c r="Q511" s="325"/>
      <c r="R511" s="325"/>
      <c r="S511" s="285"/>
      <c r="T511" s="285"/>
      <c r="U511" s="285"/>
      <c r="V511" s="285"/>
      <c r="W511" s="285"/>
      <c r="X511" s="285"/>
      <c r="Y511" s="285"/>
      <c r="Z511" s="285"/>
    </row>
    <row r="512" ht="12.75" customHeight="1">
      <c r="A512" s="285"/>
      <c r="B512" s="75"/>
      <c r="C512" s="75"/>
      <c r="D512" s="321"/>
      <c r="E512" s="321"/>
      <c r="F512" s="322"/>
      <c r="G512" s="75"/>
      <c r="H512" s="321"/>
      <c r="I512" s="321"/>
      <c r="J512" s="323"/>
      <c r="K512" s="324"/>
      <c r="L512" s="285"/>
      <c r="M512" s="285"/>
      <c r="N512" s="285"/>
      <c r="O512" s="325"/>
      <c r="P512" s="285"/>
      <c r="Q512" s="325"/>
      <c r="R512" s="325"/>
      <c r="S512" s="285"/>
      <c r="T512" s="285"/>
      <c r="U512" s="285"/>
      <c r="V512" s="285"/>
      <c r="W512" s="285"/>
      <c r="X512" s="285"/>
      <c r="Y512" s="285"/>
      <c r="Z512" s="285"/>
    </row>
    <row r="513" ht="12.75" customHeight="1">
      <c r="A513" s="285"/>
      <c r="B513" s="75"/>
      <c r="C513" s="75"/>
      <c r="D513" s="321"/>
      <c r="E513" s="321"/>
      <c r="F513" s="322"/>
      <c r="G513" s="75"/>
      <c r="H513" s="321"/>
      <c r="I513" s="321"/>
      <c r="J513" s="323"/>
      <c r="K513" s="324"/>
      <c r="L513" s="285"/>
      <c r="M513" s="285"/>
      <c r="N513" s="285"/>
      <c r="O513" s="325"/>
      <c r="P513" s="285"/>
      <c r="Q513" s="325"/>
      <c r="R513" s="325"/>
      <c r="S513" s="285"/>
      <c r="T513" s="285"/>
      <c r="U513" s="285"/>
      <c r="V513" s="285"/>
      <c r="W513" s="285"/>
      <c r="X513" s="285"/>
      <c r="Y513" s="285"/>
      <c r="Z513" s="285"/>
    </row>
    <row r="514" ht="12.75" customHeight="1">
      <c r="A514" s="285"/>
      <c r="B514" s="75"/>
      <c r="C514" s="75"/>
      <c r="D514" s="321"/>
      <c r="E514" s="321"/>
      <c r="F514" s="322"/>
      <c r="G514" s="75"/>
      <c r="H514" s="321"/>
      <c r="I514" s="321"/>
      <c r="J514" s="323"/>
      <c r="K514" s="324"/>
      <c r="L514" s="285"/>
      <c r="M514" s="285"/>
      <c r="N514" s="285"/>
      <c r="O514" s="325"/>
      <c r="P514" s="285"/>
      <c r="Q514" s="325"/>
      <c r="R514" s="325"/>
      <c r="S514" s="285"/>
      <c r="T514" s="285"/>
      <c r="U514" s="285"/>
      <c r="V514" s="285"/>
      <c r="W514" s="285"/>
      <c r="X514" s="285"/>
      <c r="Y514" s="285"/>
      <c r="Z514" s="285"/>
    </row>
    <row r="515" ht="12.75" customHeight="1">
      <c r="A515" s="285"/>
      <c r="B515" s="75"/>
      <c r="C515" s="75"/>
      <c r="D515" s="321"/>
      <c r="E515" s="321"/>
      <c r="F515" s="322"/>
      <c r="G515" s="75"/>
      <c r="H515" s="321"/>
      <c r="I515" s="321"/>
      <c r="J515" s="323"/>
      <c r="K515" s="324"/>
      <c r="L515" s="285"/>
      <c r="M515" s="285"/>
      <c r="N515" s="285"/>
      <c r="O515" s="325"/>
      <c r="P515" s="285"/>
      <c r="Q515" s="325"/>
      <c r="R515" s="325"/>
      <c r="S515" s="285"/>
      <c r="T515" s="285"/>
      <c r="U515" s="285"/>
      <c r="V515" s="285"/>
      <c r="W515" s="285"/>
      <c r="X515" s="285"/>
      <c r="Y515" s="285"/>
      <c r="Z515" s="285"/>
    </row>
    <row r="516" ht="12.75" customHeight="1">
      <c r="A516" s="285"/>
      <c r="B516" s="75"/>
      <c r="C516" s="75"/>
      <c r="D516" s="321"/>
      <c r="E516" s="321"/>
      <c r="F516" s="322"/>
      <c r="G516" s="75"/>
      <c r="H516" s="321"/>
      <c r="I516" s="321"/>
      <c r="J516" s="323"/>
      <c r="K516" s="324"/>
      <c r="L516" s="285"/>
      <c r="M516" s="285"/>
      <c r="N516" s="285"/>
      <c r="O516" s="325"/>
      <c r="P516" s="285"/>
      <c r="Q516" s="325"/>
      <c r="R516" s="325"/>
      <c r="S516" s="285"/>
      <c r="T516" s="285"/>
      <c r="U516" s="285"/>
      <c r="V516" s="285"/>
      <c r="W516" s="285"/>
      <c r="X516" s="285"/>
      <c r="Y516" s="285"/>
      <c r="Z516" s="285"/>
    </row>
    <row r="517" ht="12.75" customHeight="1">
      <c r="A517" s="285"/>
      <c r="B517" s="75"/>
      <c r="C517" s="75"/>
      <c r="D517" s="321"/>
      <c r="E517" s="321"/>
      <c r="F517" s="322"/>
      <c r="G517" s="75"/>
      <c r="H517" s="321"/>
      <c r="I517" s="321"/>
      <c r="J517" s="323"/>
      <c r="K517" s="324"/>
      <c r="L517" s="285"/>
      <c r="M517" s="285"/>
      <c r="N517" s="285"/>
      <c r="O517" s="325"/>
      <c r="P517" s="285"/>
      <c r="Q517" s="325"/>
      <c r="R517" s="325"/>
      <c r="S517" s="285"/>
      <c r="T517" s="285"/>
      <c r="U517" s="285"/>
      <c r="V517" s="285"/>
      <c r="W517" s="285"/>
      <c r="X517" s="285"/>
      <c r="Y517" s="285"/>
      <c r="Z517" s="285"/>
    </row>
    <row r="518" ht="12.75" customHeight="1">
      <c r="A518" s="285"/>
      <c r="B518" s="75"/>
      <c r="C518" s="75"/>
      <c r="D518" s="321"/>
      <c r="E518" s="321"/>
      <c r="F518" s="322"/>
      <c r="G518" s="75"/>
      <c r="H518" s="321"/>
      <c r="I518" s="321"/>
      <c r="J518" s="323"/>
      <c r="K518" s="324"/>
      <c r="L518" s="285"/>
      <c r="M518" s="285"/>
      <c r="N518" s="285"/>
      <c r="O518" s="325"/>
      <c r="P518" s="285"/>
      <c r="Q518" s="325"/>
      <c r="R518" s="325"/>
      <c r="S518" s="285"/>
      <c r="T518" s="285"/>
      <c r="U518" s="285"/>
      <c r="V518" s="285"/>
      <c r="W518" s="285"/>
      <c r="X518" s="285"/>
      <c r="Y518" s="285"/>
      <c r="Z518" s="285"/>
    </row>
    <row r="519" ht="12.75" customHeight="1">
      <c r="A519" s="285"/>
      <c r="B519" s="75"/>
      <c r="C519" s="75"/>
      <c r="D519" s="321"/>
      <c r="E519" s="321"/>
      <c r="F519" s="322"/>
      <c r="G519" s="75"/>
      <c r="H519" s="321"/>
      <c r="I519" s="321"/>
      <c r="J519" s="323"/>
      <c r="K519" s="324"/>
      <c r="L519" s="285"/>
      <c r="M519" s="285"/>
      <c r="N519" s="285"/>
      <c r="O519" s="325"/>
      <c r="P519" s="285"/>
      <c r="Q519" s="325"/>
      <c r="R519" s="325"/>
      <c r="S519" s="285"/>
      <c r="T519" s="285"/>
      <c r="U519" s="285"/>
      <c r="V519" s="285"/>
      <c r="W519" s="285"/>
      <c r="X519" s="285"/>
      <c r="Y519" s="285"/>
      <c r="Z519" s="285"/>
    </row>
    <row r="520" ht="12.75" customHeight="1">
      <c r="A520" s="285"/>
      <c r="B520" s="75"/>
      <c r="C520" s="75"/>
      <c r="D520" s="321"/>
      <c r="E520" s="321"/>
      <c r="F520" s="322"/>
      <c r="G520" s="75"/>
      <c r="H520" s="321"/>
      <c r="I520" s="321"/>
      <c r="J520" s="323"/>
      <c r="K520" s="324"/>
      <c r="L520" s="285"/>
      <c r="M520" s="285"/>
      <c r="N520" s="285"/>
      <c r="O520" s="325"/>
      <c r="P520" s="285"/>
      <c r="Q520" s="325"/>
      <c r="R520" s="325"/>
      <c r="S520" s="285"/>
      <c r="T520" s="285"/>
      <c r="U520" s="285"/>
      <c r="V520" s="285"/>
      <c r="W520" s="285"/>
      <c r="X520" s="285"/>
      <c r="Y520" s="285"/>
      <c r="Z520" s="285"/>
    </row>
    <row r="521" ht="12.75" customHeight="1">
      <c r="A521" s="285"/>
      <c r="B521" s="75"/>
      <c r="C521" s="75"/>
      <c r="D521" s="321"/>
      <c r="E521" s="321"/>
      <c r="F521" s="322"/>
      <c r="G521" s="75"/>
      <c r="H521" s="321"/>
      <c r="I521" s="321"/>
      <c r="J521" s="323"/>
      <c r="K521" s="324"/>
      <c r="L521" s="285"/>
      <c r="M521" s="285"/>
      <c r="N521" s="285"/>
      <c r="O521" s="325"/>
      <c r="P521" s="285"/>
      <c r="Q521" s="325"/>
      <c r="R521" s="325"/>
      <c r="S521" s="285"/>
      <c r="T521" s="285"/>
      <c r="U521" s="285"/>
      <c r="V521" s="285"/>
      <c r="W521" s="285"/>
      <c r="X521" s="285"/>
      <c r="Y521" s="285"/>
      <c r="Z521" s="285"/>
    </row>
    <row r="522" ht="12.75" customHeight="1">
      <c r="A522" s="285"/>
      <c r="B522" s="75"/>
      <c r="C522" s="75"/>
      <c r="D522" s="321"/>
      <c r="E522" s="321"/>
      <c r="F522" s="322"/>
      <c r="G522" s="75"/>
      <c r="H522" s="321"/>
      <c r="I522" s="321"/>
      <c r="J522" s="323"/>
      <c r="K522" s="324"/>
      <c r="L522" s="285"/>
      <c r="M522" s="285"/>
      <c r="N522" s="285"/>
      <c r="O522" s="325"/>
      <c r="P522" s="285"/>
      <c r="Q522" s="325"/>
      <c r="R522" s="325"/>
      <c r="S522" s="285"/>
      <c r="T522" s="285"/>
      <c r="U522" s="285"/>
      <c r="V522" s="285"/>
      <c r="W522" s="285"/>
      <c r="X522" s="285"/>
      <c r="Y522" s="285"/>
      <c r="Z522" s="285"/>
    </row>
    <row r="523" ht="12.75" customHeight="1">
      <c r="A523" s="285"/>
      <c r="B523" s="75"/>
      <c r="C523" s="75"/>
      <c r="D523" s="321"/>
      <c r="E523" s="321"/>
      <c r="F523" s="322"/>
      <c r="G523" s="75"/>
      <c r="H523" s="321"/>
      <c r="I523" s="321"/>
      <c r="J523" s="323"/>
      <c r="K523" s="324"/>
      <c r="L523" s="285"/>
      <c r="M523" s="285"/>
      <c r="N523" s="285"/>
      <c r="O523" s="325"/>
      <c r="P523" s="285"/>
      <c r="Q523" s="325"/>
      <c r="R523" s="325"/>
      <c r="S523" s="285"/>
      <c r="T523" s="285"/>
      <c r="U523" s="285"/>
      <c r="V523" s="285"/>
      <c r="W523" s="285"/>
      <c r="X523" s="285"/>
      <c r="Y523" s="285"/>
      <c r="Z523" s="285"/>
    </row>
    <row r="524" ht="12.75" customHeight="1">
      <c r="A524" s="285"/>
      <c r="B524" s="75"/>
      <c r="C524" s="75"/>
      <c r="D524" s="321"/>
      <c r="E524" s="321"/>
      <c r="F524" s="322"/>
      <c r="G524" s="75"/>
      <c r="H524" s="321"/>
      <c r="I524" s="321"/>
      <c r="J524" s="323"/>
      <c r="K524" s="324"/>
      <c r="L524" s="285"/>
      <c r="M524" s="285"/>
      <c r="N524" s="285"/>
      <c r="O524" s="325"/>
      <c r="P524" s="285"/>
      <c r="Q524" s="325"/>
      <c r="R524" s="325"/>
      <c r="S524" s="285"/>
      <c r="T524" s="285"/>
      <c r="U524" s="285"/>
      <c r="V524" s="285"/>
      <c r="W524" s="285"/>
      <c r="X524" s="285"/>
      <c r="Y524" s="285"/>
      <c r="Z524" s="285"/>
    </row>
    <row r="525" ht="12.75" customHeight="1">
      <c r="A525" s="285"/>
      <c r="B525" s="75"/>
      <c r="C525" s="75"/>
      <c r="D525" s="321"/>
      <c r="E525" s="321"/>
      <c r="F525" s="322"/>
      <c r="G525" s="75"/>
      <c r="H525" s="321"/>
      <c r="I525" s="321"/>
      <c r="J525" s="323"/>
      <c r="K525" s="324"/>
      <c r="L525" s="285"/>
      <c r="M525" s="285"/>
      <c r="N525" s="285"/>
      <c r="O525" s="325"/>
      <c r="P525" s="285"/>
      <c r="Q525" s="325"/>
      <c r="R525" s="325"/>
      <c r="S525" s="285"/>
      <c r="T525" s="285"/>
      <c r="U525" s="285"/>
      <c r="V525" s="285"/>
      <c r="W525" s="285"/>
      <c r="X525" s="285"/>
      <c r="Y525" s="285"/>
      <c r="Z525" s="285"/>
    </row>
    <row r="526" ht="12.75" customHeight="1">
      <c r="A526" s="285"/>
      <c r="B526" s="75"/>
      <c r="C526" s="75"/>
      <c r="D526" s="321"/>
      <c r="E526" s="321"/>
      <c r="F526" s="322"/>
      <c r="G526" s="75"/>
      <c r="H526" s="321"/>
      <c r="I526" s="321"/>
      <c r="J526" s="323"/>
      <c r="K526" s="324"/>
      <c r="L526" s="285"/>
      <c r="M526" s="285"/>
      <c r="N526" s="285"/>
      <c r="O526" s="325"/>
      <c r="P526" s="285"/>
      <c r="Q526" s="325"/>
      <c r="R526" s="325"/>
      <c r="S526" s="285"/>
      <c r="T526" s="285"/>
      <c r="U526" s="285"/>
      <c r="V526" s="285"/>
      <c r="W526" s="285"/>
      <c r="X526" s="285"/>
      <c r="Y526" s="285"/>
      <c r="Z526" s="285"/>
    </row>
    <row r="527" ht="12.75" customHeight="1">
      <c r="A527" s="285"/>
      <c r="B527" s="75"/>
      <c r="C527" s="75"/>
      <c r="D527" s="321"/>
      <c r="E527" s="321"/>
      <c r="F527" s="322"/>
      <c r="G527" s="75"/>
      <c r="H527" s="321"/>
      <c r="I527" s="321"/>
      <c r="J527" s="323"/>
      <c r="K527" s="324"/>
      <c r="L527" s="285"/>
      <c r="M527" s="285"/>
      <c r="N527" s="285"/>
      <c r="O527" s="325"/>
      <c r="P527" s="285"/>
      <c r="Q527" s="325"/>
      <c r="R527" s="325"/>
      <c r="S527" s="285"/>
      <c r="T527" s="285"/>
      <c r="U527" s="285"/>
      <c r="V527" s="285"/>
      <c r="W527" s="285"/>
      <c r="X527" s="285"/>
      <c r="Y527" s="285"/>
      <c r="Z527" s="285"/>
    </row>
    <row r="528" ht="12.75" customHeight="1">
      <c r="A528" s="285"/>
      <c r="B528" s="75"/>
      <c r="C528" s="75"/>
      <c r="D528" s="321"/>
      <c r="E528" s="321"/>
      <c r="F528" s="322"/>
      <c r="G528" s="75"/>
      <c r="H528" s="321"/>
      <c r="I528" s="321"/>
      <c r="J528" s="323"/>
      <c r="K528" s="324"/>
      <c r="L528" s="285"/>
      <c r="M528" s="285"/>
      <c r="N528" s="285"/>
      <c r="O528" s="325"/>
      <c r="P528" s="285"/>
      <c r="Q528" s="325"/>
      <c r="R528" s="325"/>
      <c r="S528" s="285"/>
      <c r="T528" s="285"/>
      <c r="U528" s="285"/>
      <c r="V528" s="285"/>
      <c r="W528" s="285"/>
      <c r="X528" s="285"/>
      <c r="Y528" s="285"/>
      <c r="Z528" s="285"/>
    </row>
    <row r="529" ht="12.75" customHeight="1">
      <c r="A529" s="285"/>
      <c r="B529" s="75"/>
      <c r="C529" s="75"/>
      <c r="D529" s="321"/>
      <c r="E529" s="321"/>
      <c r="F529" s="322"/>
      <c r="G529" s="75"/>
      <c r="H529" s="321"/>
      <c r="I529" s="321"/>
      <c r="J529" s="323"/>
      <c r="K529" s="324"/>
      <c r="L529" s="285"/>
      <c r="M529" s="285"/>
      <c r="N529" s="285"/>
      <c r="O529" s="325"/>
      <c r="P529" s="285"/>
      <c r="Q529" s="325"/>
      <c r="R529" s="325"/>
      <c r="S529" s="285"/>
      <c r="T529" s="285"/>
      <c r="U529" s="285"/>
      <c r="V529" s="285"/>
      <c r="W529" s="285"/>
      <c r="X529" s="285"/>
      <c r="Y529" s="285"/>
      <c r="Z529" s="285"/>
    </row>
    <row r="530" ht="12.75" customHeight="1">
      <c r="A530" s="285"/>
      <c r="B530" s="75"/>
      <c r="C530" s="75"/>
      <c r="D530" s="321"/>
      <c r="E530" s="321"/>
      <c r="F530" s="322"/>
      <c r="G530" s="75"/>
      <c r="H530" s="321"/>
      <c r="I530" s="321"/>
      <c r="J530" s="323"/>
      <c r="K530" s="324"/>
      <c r="L530" s="285"/>
      <c r="M530" s="285"/>
      <c r="N530" s="285"/>
      <c r="O530" s="325"/>
      <c r="P530" s="285"/>
      <c r="Q530" s="325"/>
      <c r="R530" s="325"/>
      <c r="S530" s="285"/>
      <c r="T530" s="285"/>
      <c r="U530" s="285"/>
      <c r="V530" s="285"/>
      <c r="W530" s="285"/>
      <c r="X530" s="285"/>
      <c r="Y530" s="285"/>
      <c r="Z530" s="285"/>
    </row>
    <row r="531" ht="12.75" customHeight="1">
      <c r="A531" s="285"/>
      <c r="B531" s="75"/>
      <c r="C531" s="75"/>
      <c r="D531" s="321"/>
      <c r="E531" s="321"/>
      <c r="F531" s="322"/>
      <c r="G531" s="75"/>
      <c r="H531" s="321"/>
      <c r="I531" s="321"/>
      <c r="J531" s="323"/>
      <c r="K531" s="324"/>
      <c r="L531" s="285"/>
      <c r="M531" s="285"/>
      <c r="N531" s="285"/>
      <c r="O531" s="325"/>
      <c r="P531" s="285"/>
      <c r="Q531" s="325"/>
      <c r="R531" s="325"/>
      <c r="S531" s="285"/>
      <c r="T531" s="285"/>
      <c r="U531" s="285"/>
      <c r="V531" s="285"/>
      <c r="W531" s="285"/>
      <c r="X531" s="285"/>
      <c r="Y531" s="285"/>
      <c r="Z531" s="285"/>
    </row>
    <row r="532" ht="12.75" customHeight="1">
      <c r="A532" s="285"/>
      <c r="B532" s="75"/>
      <c r="C532" s="75"/>
      <c r="D532" s="321"/>
      <c r="E532" s="321"/>
      <c r="F532" s="322"/>
      <c r="G532" s="75"/>
      <c r="H532" s="321"/>
      <c r="I532" s="321"/>
      <c r="J532" s="323"/>
      <c r="K532" s="324"/>
      <c r="L532" s="285"/>
      <c r="M532" s="285"/>
      <c r="N532" s="285"/>
      <c r="O532" s="325"/>
      <c r="P532" s="285"/>
      <c r="Q532" s="325"/>
      <c r="R532" s="325"/>
      <c r="S532" s="285"/>
      <c r="T532" s="285"/>
      <c r="U532" s="285"/>
      <c r="V532" s="285"/>
      <c r="W532" s="285"/>
      <c r="X532" s="285"/>
      <c r="Y532" s="285"/>
      <c r="Z532" s="285"/>
    </row>
    <row r="533" ht="12.75" customHeight="1">
      <c r="A533" s="285"/>
      <c r="B533" s="75"/>
      <c r="C533" s="75"/>
      <c r="D533" s="321"/>
      <c r="E533" s="321"/>
      <c r="F533" s="322"/>
      <c r="G533" s="75"/>
      <c r="H533" s="321"/>
      <c r="I533" s="321"/>
      <c r="J533" s="323"/>
      <c r="K533" s="324"/>
      <c r="L533" s="285"/>
      <c r="M533" s="285"/>
      <c r="N533" s="285"/>
      <c r="O533" s="325"/>
      <c r="P533" s="285"/>
      <c r="Q533" s="325"/>
      <c r="R533" s="325"/>
      <c r="S533" s="285"/>
      <c r="T533" s="285"/>
      <c r="U533" s="285"/>
      <c r="V533" s="285"/>
      <c r="W533" s="285"/>
      <c r="X533" s="285"/>
      <c r="Y533" s="285"/>
      <c r="Z533" s="285"/>
    </row>
    <row r="534" ht="12.75" customHeight="1">
      <c r="A534" s="285"/>
      <c r="B534" s="75"/>
      <c r="C534" s="75"/>
      <c r="D534" s="321"/>
      <c r="E534" s="321"/>
      <c r="F534" s="322"/>
      <c r="G534" s="75"/>
      <c r="H534" s="321"/>
      <c r="I534" s="321"/>
      <c r="J534" s="323"/>
      <c r="K534" s="324"/>
      <c r="L534" s="285"/>
      <c r="M534" s="285"/>
      <c r="N534" s="285"/>
      <c r="O534" s="325"/>
      <c r="P534" s="285"/>
      <c r="Q534" s="325"/>
      <c r="R534" s="325"/>
      <c r="S534" s="285"/>
      <c r="T534" s="285"/>
      <c r="U534" s="285"/>
      <c r="V534" s="285"/>
      <c r="W534" s="285"/>
      <c r="X534" s="285"/>
      <c r="Y534" s="285"/>
      <c r="Z534" s="285"/>
    </row>
    <row r="535" ht="12.75" customHeight="1">
      <c r="A535" s="285"/>
      <c r="B535" s="75"/>
      <c r="C535" s="75"/>
      <c r="D535" s="321"/>
      <c r="E535" s="321"/>
      <c r="F535" s="322"/>
      <c r="G535" s="75"/>
      <c r="H535" s="321"/>
      <c r="I535" s="321"/>
      <c r="J535" s="323"/>
      <c r="K535" s="324"/>
      <c r="L535" s="285"/>
      <c r="M535" s="285"/>
      <c r="N535" s="285"/>
      <c r="O535" s="325"/>
      <c r="P535" s="285"/>
      <c r="Q535" s="325"/>
      <c r="R535" s="325"/>
      <c r="S535" s="285"/>
      <c r="T535" s="285"/>
      <c r="U535" s="285"/>
      <c r="V535" s="285"/>
      <c r="W535" s="285"/>
      <c r="X535" s="285"/>
      <c r="Y535" s="285"/>
      <c r="Z535" s="285"/>
    </row>
    <row r="536" ht="12.75" customHeight="1">
      <c r="A536" s="285"/>
      <c r="B536" s="75"/>
      <c r="C536" s="75"/>
      <c r="D536" s="321"/>
      <c r="E536" s="321"/>
      <c r="F536" s="322"/>
      <c r="G536" s="75"/>
      <c r="H536" s="321"/>
      <c r="I536" s="321"/>
      <c r="J536" s="323"/>
      <c r="K536" s="324"/>
      <c r="L536" s="285"/>
      <c r="M536" s="285"/>
      <c r="N536" s="285"/>
      <c r="O536" s="325"/>
      <c r="P536" s="285"/>
      <c r="Q536" s="325"/>
      <c r="R536" s="325"/>
      <c r="S536" s="285"/>
      <c r="T536" s="285"/>
      <c r="U536" s="285"/>
      <c r="V536" s="285"/>
      <c r="W536" s="285"/>
      <c r="X536" s="285"/>
      <c r="Y536" s="285"/>
      <c r="Z536" s="285"/>
    </row>
    <row r="537" ht="12.75" customHeight="1">
      <c r="A537" s="285"/>
      <c r="B537" s="75"/>
      <c r="C537" s="75"/>
      <c r="D537" s="321"/>
      <c r="E537" s="321"/>
      <c r="F537" s="322"/>
      <c r="G537" s="75"/>
      <c r="H537" s="321"/>
      <c r="I537" s="321"/>
      <c r="J537" s="323"/>
      <c r="K537" s="324"/>
      <c r="L537" s="285"/>
      <c r="M537" s="285"/>
      <c r="N537" s="285"/>
      <c r="O537" s="325"/>
      <c r="P537" s="285"/>
      <c r="Q537" s="325"/>
      <c r="R537" s="325"/>
      <c r="S537" s="285"/>
      <c r="T537" s="285"/>
      <c r="U537" s="285"/>
      <c r="V537" s="285"/>
      <c r="W537" s="285"/>
      <c r="X537" s="285"/>
      <c r="Y537" s="285"/>
      <c r="Z537" s="285"/>
    </row>
    <row r="538" ht="12.75" customHeight="1">
      <c r="A538" s="285"/>
      <c r="B538" s="75"/>
      <c r="C538" s="75"/>
      <c r="D538" s="321"/>
      <c r="E538" s="321"/>
      <c r="F538" s="322"/>
      <c r="G538" s="75"/>
      <c r="H538" s="321"/>
      <c r="I538" s="321"/>
      <c r="J538" s="323"/>
      <c r="K538" s="324"/>
      <c r="L538" s="285"/>
      <c r="M538" s="285"/>
      <c r="N538" s="285"/>
      <c r="O538" s="325"/>
      <c r="P538" s="285"/>
      <c r="Q538" s="325"/>
      <c r="R538" s="325"/>
      <c r="S538" s="285"/>
      <c r="T538" s="285"/>
      <c r="U538" s="285"/>
      <c r="V538" s="285"/>
      <c r="W538" s="285"/>
      <c r="X538" s="285"/>
      <c r="Y538" s="285"/>
      <c r="Z538" s="285"/>
    </row>
    <row r="539" ht="12.75" customHeight="1">
      <c r="A539" s="285"/>
      <c r="B539" s="75"/>
      <c r="C539" s="75"/>
      <c r="D539" s="321"/>
      <c r="E539" s="321"/>
      <c r="F539" s="322"/>
      <c r="G539" s="75"/>
      <c r="H539" s="321"/>
      <c r="I539" s="321"/>
      <c r="J539" s="323"/>
      <c r="K539" s="324"/>
      <c r="L539" s="285"/>
      <c r="M539" s="285"/>
      <c r="N539" s="285"/>
      <c r="O539" s="325"/>
      <c r="P539" s="285"/>
      <c r="Q539" s="325"/>
      <c r="R539" s="325"/>
      <c r="S539" s="285"/>
      <c r="T539" s="285"/>
      <c r="U539" s="285"/>
      <c r="V539" s="285"/>
      <c r="W539" s="285"/>
      <c r="X539" s="285"/>
      <c r="Y539" s="285"/>
      <c r="Z539" s="285"/>
    </row>
    <row r="540" ht="12.75" customHeight="1">
      <c r="A540" s="285"/>
      <c r="B540" s="75"/>
      <c r="C540" s="75"/>
      <c r="D540" s="321"/>
      <c r="E540" s="321"/>
      <c r="F540" s="322"/>
      <c r="G540" s="75"/>
      <c r="H540" s="321"/>
      <c r="I540" s="321"/>
      <c r="J540" s="323"/>
      <c r="K540" s="324"/>
      <c r="L540" s="285"/>
      <c r="M540" s="285"/>
      <c r="N540" s="285"/>
      <c r="O540" s="325"/>
      <c r="P540" s="285"/>
      <c r="Q540" s="325"/>
      <c r="R540" s="325"/>
      <c r="S540" s="285"/>
      <c r="T540" s="285"/>
      <c r="U540" s="285"/>
      <c r="V540" s="285"/>
      <c r="W540" s="285"/>
      <c r="X540" s="285"/>
      <c r="Y540" s="285"/>
      <c r="Z540" s="285"/>
    </row>
    <row r="541" ht="12.75" customHeight="1">
      <c r="A541" s="285"/>
      <c r="B541" s="75"/>
      <c r="C541" s="75"/>
      <c r="D541" s="321"/>
      <c r="E541" s="321"/>
      <c r="F541" s="322"/>
      <c r="G541" s="75"/>
      <c r="H541" s="321"/>
      <c r="I541" s="321"/>
      <c r="J541" s="323"/>
      <c r="K541" s="324"/>
      <c r="L541" s="285"/>
      <c r="M541" s="285"/>
      <c r="N541" s="285"/>
      <c r="O541" s="325"/>
      <c r="P541" s="285"/>
      <c r="Q541" s="325"/>
      <c r="R541" s="325"/>
      <c r="S541" s="285"/>
      <c r="T541" s="285"/>
      <c r="U541" s="285"/>
      <c r="V541" s="285"/>
      <c r="W541" s="285"/>
      <c r="X541" s="285"/>
      <c r="Y541" s="285"/>
      <c r="Z541" s="285"/>
    </row>
    <row r="542" ht="12.75" customHeight="1">
      <c r="A542" s="285"/>
      <c r="B542" s="75"/>
      <c r="C542" s="75"/>
      <c r="D542" s="321"/>
      <c r="E542" s="321"/>
      <c r="F542" s="322"/>
      <c r="G542" s="75"/>
      <c r="H542" s="321"/>
      <c r="I542" s="321"/>
      <c r="J542" s="323"/>
      <c r="K542" s="324"/>
      <c r="L542" s="285"/>
      <c r="M542" s="285"/>
      <c r="N542" s="285"/>
      <c r="O542" s="325"/>
      <c r="P542" s="285"/>
      <c r="Q542" s="325"/>
      <c r="R542" s="325"/>
      <c r="S542" s="285"/>
      <c r="T542" s="285"/>
      <c r="U542" s="285"/>
      <c r="V542" s="285"/>
      <c r="W542" s="285"/>
      <c r="X542" s="285"/>
      <c r="Y542" s="285"/>
      <c r="Z542" s="285"/>
    </row>
    <row r="543" ht="12.75" customHeight="1">
      <c r="A543" s="285"/>
      <c r="B543" s="75"/>
      <c r="C543" s="75"/>
      <c r="D543" s="321"/>
      <c r="E543" s="321"/>
      <c r="F543" s="322"/>
      <c r="G543" s="75"/>
      <c r="H543" s="321"/>
      <c r="I543" s="321"/>
      <c r="J543" s="323"/>
      <c r="K543" s="324"/>
      <c r="L543" s="285"/>
      <c r="M543" s="285"/>
      <c r="N543" s="285"/>
      <c r="O543" s="325"/>
      <c r="P543" s="285"/>
      <c r="Q543" s="325"/>
      <c r="R543" s="325"/>
      <c r="S543" s="285"/>
      <c r="T543" s="285"/>
      <c r="U543" s="285"/>
      <c r="V543" s="285"/>
      <c r="W543" s="285"/>
      <c r="X543" s="285"/>
      <c r="Y543" s="285"/>
      <c r="Z543" s="285"/>
    </row>
    <row r="544" ht="12.75" customHeight="1">
      <c r="A544" s="285"/>
      <c r="B544" s="75"/>
      <c r="C544" s="75"/>
      <c r="D544" s="321"/>
      <c r="E544" s="321"/>
      <c r="F544" s="322"/>
      <c r="G544" s="75"/>
      <c r="H544" s="321"/>
      <c r="I544" s="321"/>
      <c r="J544" s="323"/>
      <c r="K544" s="324"/>
      <c r="L544" s="285"/>
      <c r="M544" s="285"/>
      <c r="N544" s="285"/>
      <c r="O544" s="325"/>
      <c r="P544" s="285"/>
      <c r="Q544" s="325"/>
      <c r="R544" s="325"/>
      <c r="S544" s="285"/>
      <c r="T544" s="285"/>
      <c r="U544" s="285"/>
      <c r="V544" s="285"/>
      <c r="W544" s="285"/>
      <c r="X544" s="285"/>
      <c r="Y544" s="285"/>
      <c r="Z544" s="285"/>
    </row>
    <row r="545" ht="12.75" customHeight="1">
      <c r="A545" s="285"/>
      <c r="B545" s="75"/>
      <c r="C545" s="75"/>
      <c r="D545" s="321"/>
      <c r="E545" s="321"/>
      <c r="F545" s="322"/>
      <c r="G545" s="75"/>
      <c r="H545" s="321"/>
      <c r="I545" s="321"/>
      <c r="J545" s="323"/>
      <c r="K545" s="324"/>
      <c r="L545" s="285"/>
      <c r="M545" s="285"/>
      <c r="N545" s="285"/>
      <c r="O545" s="325"/>
      <c r="P545" s="285"/>
      <c r="Q545" s="325"/>
      <c r="R545" s="325"/>
      <c r="S545" s="285"/>
      <c r="T545" s="285"/>
      <c r="U545" s="285"/>
      <c r="V545" s="285"/>
      <c r="W545" s="285"/>
      <c r="X545" s="285"/>
      <c r="Y545" s="285"/>
      <c r="Z545" s="285"/>
    </row>
    <row r="546" ht="12.75" customHeight="1">
      <c r="A546" s="285"/>
      <c r="B546" s="75"/>
      <c r="C546" s="75"/>
      <c r="D546" s="321"/>
      <c r="E546" s="321"/>
      <c r="F546" s="322"/>
      <c r="G546" s="75"/>
      <c r="H546" s="321"/>
      <c r="I546" s="321"/>
      <c r="J546" s="323"/>
      <c r="K546" s="324"/>
      <c r="L546" s="285"/>
      <c r="M546" s="285"/>
      <c r="N546" s="285"/>
      <c r="O546" s="325"/>
      <c r="P546" s="285"/>
      <c r="Q546" s="325"/>
      <c r="R546" s="325"/>
      <c r="S546" s="285"/>
      <c r="T546" s="285"/>
      <c r="U546" s="285"/>
      <c r="V546" s="285"/>
      <c r="W546" s="285"/>
      <c r="X546" s="285"/>
      <c r="Y546" s="285"/>
      <c r="Z546" s="285"/>
    </row>
    <row r="547" ht="12.75" customHeight="1">
      <c r="A547" s="285"/>
      <c r="B547" s="75"/>
      <c r="C547" s="75"/>
      <c r="D547" s="321"/>
      <c r="E547" s="321"/>
      <c r="F547" s="322"/>
      <c r="G547" s="75"/>
      <c r="H547" s="321"/>
      <c r="I547" s="321"/>
      <c r="J547" s="323"/>
      <c r="K547" s="324"/>
      <c r="L547" s="285"/>
      <c r="M547" s="285"/>
      <c r="N547" s="285"/>
      <c r="O547" s="325"/>
      <c r="P547" s="285"/>
      <c r="Q547" s="325"/>
      <c r="R547" s="325"/>
      <c r="S547" s="285"/>
      <c r="T547" s="285"/>
      <c r="U547" s="285"/>
      <c r="V547" s="285"/>
      <c r="W547" s="285"/>
      <c r="X547" s="285"/>
      <c r="Y547" s="285"/>
      <c r="Z547" s="285"/>
    </row>
    <row r="548" ht="12.75" customHeight="1">
      <c r="A548" s="285"/>
      <c r="B548" s="75"/>
      <c r="C548" s="75"/>
      <c r="D548" s="321"/>
      <c r="E548" s="321"/>
      <c r="F548" s="322"/>
      <c r="G548" s="75"/>
      <c r="H548" s="321"/>
      <c r="I548" s="321"/>
      <c r="J548" s="323"/>
      <c r="K548" s="324"/>
      <c r="L548" s="285"/>
      <c r="M548" s="285"/>
      <c r="N548" s="285"/>
      <c r="O548" s="325"/>
      <c r="P548" s="285"/>
      <c r="Q548" s="325"/>
      <c r="R548" s="325"/>
      <c r="S548" s="285"/>
      <c r="T548" s="285"/>
      <c r="U548" s="285"/>
      <c r="V548" s="285"/>
      <c r="W548" s="285"/>
      <c r="X548" s="285"/>
      <c r="Y548" s="285"/>
      <c r="Z548" s="285"/>
    </row>
    <row r="549" ht="12.75" customHeight="1">
      <c r="A549" s="285"/>
      <c r="B549" s="75"/>
      <c r="C549" s="75"/>
      <c r="D549" s="321"/>
      <c r="E549" s="321"/>
      <c r="F549" s="322"/>
      <c r="G549" s="75"/>
      <c r="H549" s="321"/>
      <c r="I549" s="321"/>
      <c r="J549" s="323"/>
      <c r="K549" s="324"/>
      <c r="L549" s="285"/>
      <c r="M549" s="285"/>
      <c r="N549" s="285"/>
      <c r="O549" s="325"/>
      <c r="P549" s="285"/>
      <c r="Q549" s="325"/>
      <c r="R549" s="325"/>
      <c r="S549" s="285"/>
      <c r="T549" s="285"/>
      <c r="U549" s="285"/>
      <c r="V549" s="285"/>
      <c r="W549" s="285"/>
      <c r="X549" s="285"/>
      <c r="Y549" s="285"/>
      <c r="Z549" s="285"/>
    </row>
    <row r="550" ht="12.75" customHeight="1">
      <c r="A550" s="285"/>
      <c r="B550" s="75"/>
      <c r="C550" s="75"/>
      <c r="D550" s="321"/>
      <c r="E550" s="321"/>
      <c r="F550" s="322"/>
      <c r="G550" s="75"/>
      <c r="H550" s="321"/>
      <c r="I550" s="321"/>
      <c r="J550" s="323"/>
      <c r="K550" s="324"/>
      <c r="L550" s="285"/>
      <c r="M550" s="285"/>
      <c r="N550" s="285"/>
      <c r="O550" s="325"/>
      <c r="P550" s="285"/>
      <c r="Q550" s="325"/>
      <c r="R550" s="325"/>
      <c r="S550" s="285"/>
      <c r="T550" s="285"/>
      <c r="U550" s="285"/>
      <c r="V550" s="285"/>
      <c r="W550" s="285"/>
      <c r="X550" s="285"/>
      <c r="Y550" s="285"/>
      <c r="Z550" s="285"/>
    </row>
    <row r="551" ht="12.75" customHeight="1">
      <c r="A551" s="285"/>
      <c r="B551" s="75"/>
      <c r="C551" s="75"/>
      <c r="D551" s="321"/>
      <c r="E551" s="321"/>
      <c r="F551" s="322"/>
      <c r="G551" s="75"/>
      <c r="H551" s="321"/>
      <c r="I551" s="321"/>
      <c r="J551" s="323"/>
      <c r="K551" s="324"/>
      <c r="L551" s="285"/>
      <c r="M551" s="285"/>
      <c r="N551" s="285"/>
      <c r="O551" s="325"/>
      <c r="P551" s="285"/>
      <c r="Q551" s="325"/>
      <c r="R551" s="325"/>
      <c r="S551" s="285"/>
      <c r="T551" s="285"/>
      <c r="U551" s="285"/>
      <c r="V551" s="285"/>
      <c r="W551" s="285"/>
      <c r="X551" s="285"/>
      <c r="Y551" s="285"/>
      <c r="Z551" s="285"/>
    </row>
    <row r="552" ht="12.75" customHeight="1">
      <c r="A552" s="285"/>
      <c r="B552" s="75"/>
      <c r="C552" s="75"/>
      <c r="D552" s="321"/>
      <c r="E552" s="321"/>
      <c r="F552" s="322"/>
      <c r="G552" s="75"/>
      <c r="H552" s="321"/>
      <c r="I552" s="321"/>
      <c r="J552" s="323"/>
      <c r="K552" s="324"/>
      <c r="L552" s="285"/>
      <c r="M552" s="285"/>
      <c r="N552" s="285"/>
      <c r="O552" s="325"/>
      <c r="P552" s="285"/>
      <c r="Q552" s="325"/>
      <c r="R552" s="325"/>
      <c r="S552" s="285"/>
      <c r="T552" s="285"/>
      <c r="U552" s="285"/>
      <c r="V552" s="285"/>
      <c r="W552" s="285"/>
      <c r="X552" s="285"/>
      <c r="Y552" s="285"/>
      <c r="Z552" s="285"/>
    </row>
    <row r="553" ht="12.75" customHeight="1">
      <c r="A553" s="285"/>
      <c r="B553" s="75"/>
      <c r="C553" s="75"/>
      <c r="D553" s="321"/>
      <c r="E553" s="321"/>
      <c r="F553" s="322"/>
      <c r="G553" s="75"/>
      <c r="H553" s="321"/>
      <c r="I553" s="321"/>
      <c r="J553" s="323"/>
      <c r="K553" s="324"/>
      <c r="L553" s="285"/>
      <c r="M553" s="285"/>
      <c r="N553" s="285"/>
      <c r="O553" s="325"/>
      <c r="P553" s="285"/>
      <c r="Q553" s="325"/>
      <c r="R553" s="325"/>
      <c r="S553" s="285"/>
      <c r="T553" s="285"/>
      <c r="U553" s="285"/>
      <c r="V553" s="285"/>
      <c r="W553" s="285"/>
      <c r="X553" s="285"/>
      <c r="Y553" s="285"/>
      <c r="Z553" s="285"/>
    </row>
    <row r="554" ht="12.75" customHeight="1">
      <c r="A554" s="285"/>
      <c r="B554" s="75"/>
      <c r="C554" s="75"/>
      <c r="D554" s="321"/>
      <c r="E554" s="321"/>
      <c r="F554" s="322"/>
      <c r="G554" s="75"/>
      <c r="H554" s="321"/>
      <c r="I554" s="321"/>
      <c r="J554" s="323"/>
      <c r="K554" s="324"/>
      <c r="L554" s="285"/>
      <c r="M554" s="285"/>
      <c r="N554" s="285"/>
      <c r="O554" s="325"/>
      <c r="P554" s="285"/>
      <c r="Q554" s="325"/>
      <c r="R554" s="325"/>
      <c r="S554" s="285"/>
      <c r="T554" s="285"/>
      <c r="U554" s="285"/>
      <c r="V554" s="285"/>
      <c r="W554" s="285"/>
      <c r="X554" s="285"/>
      <c r="Y554" s="285"/>
      <c r="Z554" s="285"/>
    </row>
    <row r="555" ht="12.75" customHeight="1">
      <c r="A555" s="285"/>
      <c r="B555" s="75"/>
      <c r="C555" s="75"/>
      <c r="D555" s="321"/>
      <c r="E555" s="321"/>
      <c r="F555" s="322"/>
      <c r="G555" s="75"/>
      <c r="H555" s="321"/>
      <c r="I555" s="321"/>
      <c r="J555" s="323"/>
      <c r="K555" s="324"/>
      <c r="L555" s="285"/>
      <c r="M555" s="285"/>
      <c r="N555" s="285"/>
      <c r="O555" s="325"/>
      <c r="P555" s="285"/>
      <c r="Q555" s="325"/>
      <c r="R555" s="325"/>
      <c r="S555" s="285"/>
      <c r="T555" s="285"/>
      <c r="U555" s="285"/>
      <c r="V555" s="285"/>
      <c r="W555" s="285"/>
      <c r="X555" s="285"/>
      <c r="Y555" s="285"/>
      <c r="Z555" s="285"/>
    </row>
    <row r="556" ht="12.75" customHeight="1">
      <c r="A556" s="285"/>
      <c r="B556" s="75"/>
      <c r="C556" s="75"/>
      <c r="D556" s="321"/>
      <c r="E556" s="321"/>
      <c r="F556" s="322"/>
      <c r="G556" s="75"/>
      <c r="H556" s="321"/>
      <c r="I556" s="321"/>
      <c r="J556" s="323"/>
      <c r="K556" s="324"/>
      <c r="L556" s="285"/>
      <c r="M556" s="285"/>
      <c r="N556" s="285"/>
      <c r="O556" s="325"/>
      <c r="P556" s="285"/>
      <c r="Q556" s="325"/>
      <c r="R556" s="325"/>
      <c r="S556" s="285"/>
      <c r="T556" s="285"/>
      <c r="U556" s="285"/>
      <c r="V556" s="285"/>
      <c r="W556" s="285"/>
      <c r="X556" s="285"/>
      <c r="Y556" s="285"/>
      <c r="Z556" s="285"/>
    </row>
    <row r="557" ht="12.75" customHeight="1">
      <c r="A557" s="285"/>
      <c r="B557" s="75"/>
      <c r="C557" s="75"/>
      <c r="D557" s="321"/>
      <c r="E557" s="321"/>
      <c r="F557" s="322"/>
      <c r="G557" s="75"/>
      <c r="H557" s="321"/>
      <c r="I557" s="321"/>
      <c r="J557" s="323"/>
      <c r="K557" s="324"/>
      <c r="L557" s="285"/>
      <c r="M557" s="285"/>
      <c r="N557" s="285"/>
      <c r="O557" s="325"/>
      <c r="P557" s="285"/>
      <c r="Q557" s="325"/>
      <c r="R557" s="325"/>
      <c r="S557" s="285"/>
      <c r="T557" s="285"/>
      <c r="U557" s="285"/>
      <c r="V557" s="285"/>
      <c r="W557" s="285"/>
      <c r="X557" s="285"/>
      <c r="Y557" s="285"/>
      <c r="Z557" s="285"/>
    </row>
    <row r="558" ht="12.75" customHeight="1">
      <c r="A558" s="285"/>
      <c r="B558" s="75"/>
      <c r="C558" s="75"/>
      <c r="D558" s="321"/>
      <c r="E558" s="321"/>
      <c r="F558" s="322"/>
      <c r="G558" s="75"/>
      <c r="H558" s="321"/>
      <c r="I558" s="321"/>
      <c r="J558" s="323"/>
      <c r="K558" s="324"/>
      <c r="L558" s="285"/>
      <c r="M558" s="285"/>
      <c r="N558" s="285"/>
      <c r="O558" s="325"/>
      <c r="P558" s="285"/>
      <c r="Q558" s="325"/>
      <c r="R558" s="325"/>
      <c r="S558" s="285"/>
      <c r="T558" s="285"/>
      <c r="U558" s="285"/>
      <c r="V558" s="285"/>
      <c r="W558" s="285"/>
      <c r="X558" s="285"/>
      <c r="Y558" s="285"/>
      <c r="Z558" s="285"/>
    </row>
    <row r="559" ht="12.75" customHeight="1">
      <c r="A559" s="285"/>
      <c r="B559" s="75"/>
      <c r="C559" s="75"/>
      <c r="D559" s="321"/>
      <c r="E559" s="321"/>
      <c r="F559" s="322"/>
      <c r="G559" s="75"/>
      <c r="H559" s="321"/>
      <c r="I559" s="321"/>
      <c r="J559" s="323"/>
      <c r="K559" s="324"/>
      <c r="L559" s="285"/>
      <c r="M559" s="285"/>
      <c r="N559" s="285"/>
      <c r="O559" s="325"/>
      <c r="P559" s="285"/>
      <c r="Q559" s="325"/>
      <c r="R559" s="325"/>
      <c r="S559" s="285"/>
      <c r="T559" s="285"/>
      <c r="U559" s="285"/>
      <c r="V559" s="285"/>
      <c r="W559" s="285"/>
      <c r="X559" s="285"/>
      <c r="Y559" s="285"/>
      <c r="Z559" s="285"/>
    </row>
    <row r="560" ht="12.75" customHeight="1">
      <c r="A560" s="285"/>
      <c r="B560" s="75"/>
      <c r="C560" s="75"/>
      <c r="D560" s="321"/>
      <c r="E560" s="321"/>
      <c r="F560" s="322"/>
      <c r="G560" s="75"/>
      <c r="H560" s="321"/>
      <c r="I560" s="321"/>
      <c r="J560" s="323"/>
      <c r="K560" s="324"/>
      <c r="L560" s="285"/>
      <c r="M560" s="285"/>
      <c r="N560" s="285"/>
      <c r="O560" s="325"/>
      <c r="P560" s="285"/>
      <c r="Q560" s="325"/>
      <c r="R560" s="325"/>
      <c r="S560" s="285"/>
      <c r="T560" s="285"/>
      <c r="U560" s="285"/>
      <c r="V560" s="285"/>
      <c r="W560" s="285"/>
      <c r="X560" s="285"/>
      <c r="Y560" s="285"/>
      <c r="Z560" s="285"/>
    </row>
    <row r="561" ht="12.75" customHeight="1">
      <c r="A561" s="285"/>
      <c r="B561" s="75"/>
      <c r="C561" s="75"/>
      <c r="D561" s="321"/>
      <c r="E561" s="321"/>
      <c r="F561" s="322"/>
      <c r="G561" s="75"/>
      <c r="H561" s="321"/>
      <c r="I561" s="321"/>
      <c r="J561" s="323"/>
      <c r="K561" s="324"/>
      <c r="L561" s="285"/>
      <c r="M561" s="285"/>
      <c r="N561" s="285"/>
      <c r="O561" s="325"/>
      <c r="P561" s="285"/>
      <c r="Q561" s="325"/>
      <c r="R561" s="325"/>
      <c r="S561" s="285"/>
      <c r="T561" s="285"/>
      <c r="U561" s="285"/>
      <c r="V561" s="285"/>
      <c r="W561" s="285"/>
      <c r="X561" s="285"/>
      <c r="Y561" s="285"/>
      <c r="Z561" s="285"/>
    </row>
    <row r="562" ht="12.75" customHeight="1">
      <c r="A562" s="285"/>
      <c r="B562" s="75"/>
      <c r="C562" s="75"/>
      <c r="D562" s="321"/>
      <c r="E562" s="321"/>
      <c r="F562" s="322"/>
      <c r="G562" s="75"/>
      <c r="H562" s="321"/>
      <c r="I562" s="321"/>
      <c r="J562" s="323"/>
      <c r="K562" s="324"/>
      <c r="L562" s="285"/>
      <c r="M562" s="285"/>
      <c r="N562" s="285"/>
      <c r="O562" s="325"/>
      <c r="P562" s="285"/>
      <c r="Q562" s="325"/>
      <c r="R562" s="325"/>
      <c r="S562" s="285"/>
      <c r="T562" s="285"/>
      <c r="U562" s="285"/>
      <c r="V562" s="285"/>
      <c r="W562" s="285"/>
      <c r="X562" s="285"/>
      <c r="Y562" s="285"/>
      <c r="Z562" s="285"/>
    </row>
    <row r="563" ht="12.75" customHeight="1">
      <c r="A563" s="285"/>
      <c r="B563" s="75"/>
      <c r="C563" s="75"/>
      <c r="D563" s="321"/>
      <c r="E563" s="321"/>
      <c r="F563" s="322"/>
      <c r="G563" s="75"/>
      <c r="H563" s="321"/>
      <c r="I563" s="321"/>
      <c r="J563" s="323"/>
      <c r="K563" s="324"/>
      <c r="L563" s="285"/>
      <c r="M563" s="285"/>
      <c r="N563" s="285"/>
      <c r="O563" s="325"/>
      <c r="P563" s="285"/>
      <c r="Q563" s="325"/>
      <c r="R563" s="325"/>
      <c r="S563" s="285"/>
      <c r="T563" s="285"/>
      <c r="U563" s="285"/>
      <c r="V563" s="285"/>
      <c r="W563" s="285"/>
      <c r="X563" s="285"/>
      <c r="Y563" s="285"/>
      <c r="Z563" s="285"/>
    </row>
    <row r="564" ht="12.75" customHeight="1">
      <c r="A564" s="285"/>
      <c r="B564" s="75"/>
      <c r="C564" s="75"/>
      <c r="D564" s="321"/>
      <c r="E564" s="321"/>
      <c r="F564" s="322"/>
      <c r="G564" s="75"/>
      <c r="H564" s="321"/>
      <c r="I564" s="321"/>
      <c r="J564" s="323"/>
      <c r="K564" s="324"/>
      <c r="L564" s="285"/>
      <c r="M564" s="285"/>
      <c r="N564" s="285"/>
      <c r="O564" s="325"/>
      <c r="P564" s="285"/>
      <c r="Q564" s="325"/>
      <c r="R564" s="325"/>
      <c r="S564" s="285"/>
      <c r="T564" s="285"/>
      <c r="U564" s="285"/>
      <c r="V564" s="285"/>
      <c r="W564" s="285"/>
      <c r="X564" s="285"/>
      <c r="Y564" s="285"/>
      <c r="Z564" s="285"/>
    </row>
    <row r="565" ht="12.75" customHeight="1">
      <c r="A565" s="285"/>
      <c r="B565" s="75"/>
      <c r="C565" s="75"/>
      <c r="D565" s="321"/>
      <c r="E565" s="321"/>
      <c r="F565" s="322"/>
      <c r="G565" s="75"/>
      <c r="H565" s="321"/>
      <c r="I565" s="321"/>
      <c r="J565" s="323"/>
      <c r="K565" s="324"/>
      <c r="L565" s="285"/>
      <c r="M565" s="285"/>
      <c r="N565" s="285"/>
      <c r="O565" s="325"/>
      <c r="P565" s="285"/>
      <c r="Q565" s="325"/>
      <c r="R565" s="325"/>
      <c r="S565" s="285"/>
      <c r="T565" s="285"/>
      <c r="U565" s="285"/>
      <c r="V565" s="285"/>
      <c r="W565" s="285"/>
      <c r="X565" s="285"/>
      <c r="Y565" s="285"/>
      <c r="Z565" s="285"/>
    </row>
    <row r="566" ht="12.75" customHeight="1">
      <c r="A566" s="285"/>
      <c r="B566" s="75"/>
      <c r="C566" s="75"/>
      <c r="D566" s="321"/>
      <c r="E566" s="321"/>
      <c r="F566" s="322"/>
      <c r="G566" s="75"/>
      <c r="H566" s="321"/>
      <c r="I566" s="321"/>
      <c r="J566" s="323"/>
      <c r="K566" s="324"/>
      <c r="L566" s="285"/>
      <c r="M566" s="285"/>
      <c r="N566" s="285"/>
      <c r="O566" s="325"/>
      <c r="P566" s="285"/>
      <c r="Q566" s="325"/>
      <c r="R566" s="325"/>
      <c r="S566" s="285"/>
      <c r="T566" s="285"/>
      <c r="U566" s="285"/>
      <c r="V566" s="285"/>
      <c r="W566" s="285"/>
      <c r="X566" s="285"/>
      <c r="Y566" s="285"/>
      <c r="Z566" s="285"/>
    </row>
    <row r="567" ht="12.75" customHeight="1">
      <c r="A567" s="285"/>
      <c r="B567" s="75"/>
      <c r="C567" s="75"/>
      <c r="D567" s="321"/>
      <c r="E567" s="321"/>
      <c r="F567" s="322"/>
      <c r="G567" s="75"/>
      <c r="H567" s="321"/>
      <c r="I567" s="321"/>
      <c r="J567" s="323"/>
      <c r="K567" s="324"/>
      <c r="L567" s="285"/>
      <c r="M567" s="285"/>
      <c r="N567" s="285"/>
      <c r="O567" s="325"/>
      <c r="P567" s="285"/>
      <c r="Q567" s="325"/>
      <c r="R567" s="325"/>
      <c r="S567" s="285"/>
      <c r="T567" s="285"/>
      <c r="U567" s="285"/>
      <c r="V567" s="285"/>
      <c r="W567" s="285"/>
      <c r="X567" s="285"/>
      <c r="Y567" s="285"/>
      <c r="Z567" s="285"/>
    </row>
    <row r="568" ht="12.75" customHeight="1">
      <c r="A568" s="285"/>
      <c r="B568" s="75"/>
      <c r="C568" s="75"/>
      <c r="D568" s="321"/>
      <c r="E568" s="321"/>
      <c r="F568" s="322"/>
      <c r="G568" s="75"/>
      <c r="H568" s="321"/>
      <c r="I568" s="321"/>
      <c r="J568" s="323"/>
      <c r="K568" s="324"/>
      <c r="L568" s="285"/>
      <c r="M568" s="285"/>
      <c r="N568" s="285"/>
      <c r="O568" s="325"/>
      <c r="P568" s="285"/>
      <c r="Q568" s="325"/>
      <c r="R568" s="325"/>
      <c r="S568" s="285"/>
      <c r="T568" s="285"/>
      <c r="U568" s="285"/>
      <c r="V568" s="285"/>
      <c r="W568" s="285"/>
      <c r="X568" s="285"/>
      <c r="Y568" s="285"/>
      <c r="Z568" s="285"/>
    </row>
    <row r="569" ht="12.75" customHeight="1">
      <c r="A569" s="285"/>
      <c r="B569" s="75"/>
      <c r="C569" s="75"/>
      <c r="D569" s="321"/>
      <c r="E569" s="321"/>
      <c r="F569" s="322"/>
      <c r="G569" s="75"/>
      <c r="H569" s="321"/>
      <c r="I569" s="321"/>
      <c r="J569" s="323"/>
      <c r="K569" s="324"/>
      <c r="L569" s="285"/>
      <c r="M569" s="285"/>
      <c r="N569" s="285"/>
      <c r="O569" s="325"/>
      <c r="P569" s="285"/>
      <c r="Q569" s="325"/>
      <c r="R569" s="325"/>
      <c r="S569" s="285"/>
      <c r="T569" s="285"/>
      <c r="U569" s="285"/>
      <c r="V569" s="285"/>
      <c r="W569" s="285"/>
      <c r="X569" s="285"/>
      <c r="Y569" s="285"/>
      <c r="Z569" s="285"/>
    </row>
    <row r="570" ht="12.75" customHeight="1">
      <c r="A570" s="285"/>
      <c r="B570" s="75"/>
      <c r="C570" s="75"/>
      <c r="D570" s="321"/>
      <c r="E570" s="321"/>
      <c r="F570" s="322"/>
      <c r="G570" s="75"/>
      <c r="H570" s="321"/>
      <c r="I570" s="321"/>
      <c r="J570" s="323"/>
      <c r="K570" s="324"/>
      <c r="L570" s="285"/>
      <c r="M570" s="285"/>
      <c r="N570" s="285"/>
      <c r="O570" s="325"/>
      <c r="P570" s="285"/>
      <c r="Q570" s="325"/>
      <c r="R570" s="325"/>
      <c r="S570" s="285"/>
      <c r="T570" s="285"/>
      <c r="U570" s="285"/>
      <c r="V570" s="285"/>
      <c r="W570" s="285"/>
      <c r="X570" s="285"/>
      <c r="Y570" s="285"/>
      <c r="Z570" s="285"/>
    </row>
    <row r="571" ht="12.75" customHeight="1">
      <c r="A571" s="285"/>
      <c r="B571" s="75"/>
      <c r="C571" s="75"/>
      <c r="D571" s="321"/>
      <c r="E571" s="321"/>
      <c r="F571" s="322"/>
      <c r="G571" s="75"/>
      <c r="H571" s="321"/>
      <c r="I571" s="321"/>
      <c r="J571" s="323"/>
      <c r="K571" s="324"/>
      <c r="L571" s="285"/>
      <c r="M571" s="285"/>
      <c r="N571" s="285"/>
      <c r="O571" s="325"/>
      <c r="P571" s="285"/>
      <c r="Q571" s="325"/>
      <c r="R571" s="325"/>
      <c r="S571" s="285"/>
      <c r="T571" s="285"/>
      <c r="U571" s="285"/>
      <c r="V571" s="285"/>
      <c r="W571" s="285"/>
      <c r="X571" s="285"/>
      <c r="Y571" s="285"/>
      <c r="Z571" s="285"/>
    </row>
    <row r="572" ht="12.75" customHeight="1">
      <c r="A572" s="285"/>
      <c r="B572" s="75"/>
      <c r="C572" s="75"/>
      <c r="D572" s="321"/>
      <c r="E572" s="321"/>
      <c r="F572" s="322"/>
      <c r="G572" s="75"/>
      <c r="H572" s="321"/>
      <c r="I572" s="321"/>
      <c r="J572" s="323"/>
      <c r="K572" s="324"/>
      <c r="L572" s="285"/>
      <c r="M572" s="285"/>
      <c r="N572" s="285"/>
      <c r="O572" s="325"/>
      <c r="P572" s="285"/>
      <c r="Q572" s="325"/>
      <c r="R572" s="325"/>
      <c r="S572" s="285"/>
      <c r="T572" s="285"/>
      <c r="U572" s="285"/>
      <c r="V572" s="285"/>
      <c r="W572" s="285"/>
      <c r="X572" s="285"/>
      <c r="Y572" s="285"/>
      <c r="Z572" s="285"/>
    </row>
    <row r="573" ht="12.75" customHeight="1">
      <c r="A573" s="285"/>
      <c r="B573" s="75"/>
      <c r="C573" s="75"/>
      <c r="D573" s="321"/>
      <c r="E573" s="321"/>
      <c r="F573" s="322"/>
      <c r="G573" s="75"/>
      <c r="H573" s="321"/>
      <c r="I573" s="321"/>
      <c r="J573" s="323"/>
      <c r="K573" s="324"/>
      <c r="L573" s="285"/>
      <c r="M573" s="285"/>
      <c r="N573" s="285"/>
      <c r="O573" s="325"/>
      <c r="P573" s="285"/>
      <c r="Q573" s="325"/>
      <c r="R573" s="325"/>
      <c r="S573" s="285"/>
      <c r="T573" s="285"/>
      <c r="U573" s="285"/>
      <c r="V573" s="285"/>
      <c r="W573" s="285"/>
      <c r="X573" s="285"/>
      <c r="Y573" s="285"/>
      <c r="Z573" s="285"/>
    </row>
    <row r="574" ht="12.75" customHeight="1">
      <c r="A574" s="285"/>
      <c r="B574" s="75"/>
      <c r="C574" s="75"/>
      <c r="D574" s="321"/>
      <c r="E574" s="321"/>
      <c r="F574" s="322"/>
      <c r="G574" s="75"/>
      <c r="H574" s="321"/>
      <c r="I574" s="321"/>
      <c r="J574" s="323"/>
      <c r="K574" s="324"/>
      <c r="L574" s="285"/>
      <c r="M574" s="285"/>
      <c r="N574" s="285"/>
      <c r="O574" s="325"/>
      <c r="P574" s="285"/>
      <c r="Q574" s="325"/>
      <c r="R574" s="325"/>
      <c r="S574" s="285"/>
      <c r="T574" s="285"/>
      <c r="U574" s="285"/>
      <c r="V574" s="285"/>
      <c r="W574" s="285"/>
      <c r="X574" s="285"/>
      <c r="Y574" s="285"/>
      <c r="Z574" s="285"/>
    </row>
    <row r="575" ht="12.75" customHeight="1">
      <c r="A575" s="285"/>
      <c r="B575" s="75"/>
      <c r="C575" s="75"/>
      <c r="D575" s="321"/>
      <c r="E575" s="321"/>
      <c r="F575" s="322"/>
      <c r="G575" s="75"/>
      <c r="H575" s="321"/>
      <c r="I575" s="321"/>
      <c r="J575" s="323"/>
      <c r="K575" s="324"/>
      <c r="L575" s="285"/>
      <c r="M575" s="285"/>
      <c r="N575" s="285"/>
      <c r="O575" s="325"/>
      <c r="P575" s="285"/>
      <c r="Q575" s="325"/>
      <c r="R575" s="325"/>
      <c r="S575" s="285"/>
      <c r="T575" s="285"/>
      <c r="U575" s="285"/>
      <c r="V575" s="285"/>
      <c r="W575" s="285"/>
      <c r="X575" s="285"/>
      <c r="Y575" s="285"/>
      <c r="Z575" s="285"/>
    </row>
    <row r="576" ht="12.75" customHeight="1">
      <c r="A576" s="285"/>
      <c r="B576" s="75"/>
      <c r="C576" s="75"/>
      <c r="D576" s="321"/>
      <c r="E576" s="321"/>
      <c r="F576" s="322"/>
      <c r="G576" s="75"/>
      <c r="H576" s="321"/>
      <c r="I576" s="321"/>
      <c r="J576" s="323"/>
      <c r="K576" s="324"/>
      <c r="L576" s="285"/>
      <c r="M576" s="285"/>
      <c r="N576" s="285"/>
      <c r="O576" s="325"/>
      <c r="P576" s="285"/>
      <c r="Q576" s="325"/>
      <c r="R576" s="325"/>
      <c r="S576" s="285"/>
      <c r="T576" s="285"/>
      <c r="U576" s="285"/>
      <c r="V576" s="285"/>
      <c r="W576" s="285"/>
      <c r="X576" s="285"/>
      <c r="Y576" s="285"/>
      <c r="Z576" s="285"/>
    </row>
    <row r="577" ht="12.75" customHeight="1">
      <c r="A577" s="285"/>
      <c r="B577" s="75"/>
      <c r="C577" s="75"/>
      <c r="D577" s="321"/>
      <c r="E577" s="321"/>
      <c r="F577" s="322"/>
      <c r="G577" s="75"/>
      <c r="H577" s="321"/>
      <c r="I577" s="321"/>
      <c r="J577" s="323"/>
      <c r="K577" s="324"/>
      <c r="L577" s="285"/>
      <c r="M577" s="285"/>
      <c r="N577" s="285"/>
      <c r="O577" s="325"/>
      <c r="P577" s="285"/>
      <c r="Q577" s="325"/>
      <c r="R577" s="325"/>
      <c r="S577" s="285"/>
      <c r="T577" s="285"/>
      <c r="U577" s="285"/>
      <c r="V577" s="285"/>
      <c r="W577" s="285"/>
      <c r="X577" s="285"/>
      <c r="Y577" s="285"/>
      <c r="Z577" s="285"/>
    </row>
    <row r="578" ht="12.75" customHeight="1">
      <c r="A578" s="285"/>
      <c r="B578" s="75"/>
      <c r="C578" s="75"/>
      <c r="D578" s="321"/>
      <c r="E578" s="321"/>
      <c r="F578" s="322"/>
      <c r="G578" s="75"/>
      <c r="H578" s="321"/>
      <c r="I578" s="321"/>
      <c r="J578" s="323"/>
      <c r="K578" s="324"/>
      <c r="L578" s="285"/>
      <c r="M578" s="285"/>
      <c r="N578" s="285"/>
      <c r="O578" s="325"/>
      <c r="P578" s="285"/>
      <c r="Q578" s="325"/>
      <c r="R578" s="325"/>
      <c r="S578" s="285"/>
      <c r="T578" s="285"/>
      <c r="U578" s="285"/>
      <c r="V578" s="285"/>
      <c r="W578" s="285"/>
      <c r="X578" s="285"/>
      <c r="Y578" s="285"/>
      <c r="Z578" s="285"/>
    </row>
    <row r="579" ht="12.75" customHeight="1">
      <c r="A579" s="285"/>
      <c r="B579" s="75"/>
      <c r="C579" s="75"/>
      <c r="D579" s="321"/>
      <c r="E579" s="321"/>
      <c r="F579" s="322"/>
      <c r="G579" s="75"/>
      <c r="H579" s="321"/>
      <c r="I579" s="321"/>
      <c r="J579" s="323"/>
      <c r="K579" s="324"/>
      <c r="L579" s="285"/>
      <c r="M579" s="285"/>
      <c r="N579" s="285"/>
      <c r="O579" s="325"/>
      <c r="P579" s="285"/>
      <c r="Q579" s="325"/>
      <c r="R579" s="325"/>
      <c r="S579" s="285"/>
      <c r="T579" s="285"/>
      <c r="U579" s="285"/>
      <c r="V579" s="285"/>
      <c r="W579" s="285"/>
      <c r="X579" s="285"/>
      <c r="Y579" s="285"/>
      <c r="Z579" s="285"/>
    </row>
    <row r="580" ht="12.75" customHeight="1">
      <c r="A580" s="285"/>
      <c r="B580" s="75"/>
      <c r="C580" s="75"/>
      <c r="D580" s="321"/>
      <c r="E580" s="321"/>
      <c r="F580" s="322"/>
      <c r="G580" s="75"/>
      <c r="H580" s="321"/>
      <c r="I580" s="321"/>
      <c r="J580" s="323"/>
      <c r="K580" s="324"/>
      <c r="L580" s="285"/>
      <c r="M580" s="285"/>
      <c r="N580" s="285"/>
      <c r="O580" s="325"/>
      <c r="P580" s="285"/>
      <c r="Q580" s="325"/>
      <c r="R580" s="325"/>
      <c r="S580" s="285"/>
      <c r="T580" s="285"/>
      <c r="U580" s="285"/>
      <c r="V580" s="285"/>
      <c r="W580" s="285"/>
      <c r="X580" s="285"/>
      <c r="Y580" s="285"/>
      <c r="Z580" s="285"/>
    </row>
    <row r="581" ht="12.75" customHeight="1">
      <c r="A581" s="285"/>
      <c r="B581" s="75"/>
      <c r="C581" s="75"/>
      <c r="D581" s="321"/>
      <c r="E581" s="321"/>
      <c r="F581" s="322"/>
      <c r="G581" s="75"/>
      <c r="H581" s="321"/>
      <c r="I581" s="321"/>
      <c r="J581" s="323"/>
      <c r="K581" s="324"/>
      <c r="L581" s="285"/>
      <c r="M581" s="285"/>
      <c r="N581" s="285"/>
      <c r="O581" s="325"/>
      <c r="P581" s="285"/>
      <c r="Q581" s="325"/>
      <c r="R581" s="325"/>
      <c r="S581" s="285"/>
      <c r="T581" s="285"/>
      <c r="U581" s="285"/>
      <c r="V581" s="285"/>
      <c r="W581" s="285"/>
      <c r="X581" s="285"/>
      <c r="Y581" s="285"/>
      <c r="Z581" s="285"/>
    </row>
    <row r="582" ht="12.75" customHeight="1">
      <c r="A582" s="285"/>
      <c r="B582" s="75"/>
      <c r="C582" s="75"/>
      <c r="D582" s="321"/>
      <c r="E582" s="321"/>
      <c r="F582" s="322"/>
      <c r="G582" s="75"/>
      <c r="H582" s="321"/>
      <c r="I582" s="321"/>
      <c r="J582" s="323"/>
      <c r="K582" s="324"/>
      <c r="L582" s="285"/>
      <c r="M582" s="285"/>
      <c r="N582" s="285"/>
      <c r="O582" s="325"/>
      <c r="P582" s="285"/>
      <c r="Q582" s="325"/>
      <c r="R582" s="325"/>
      <c r="S582" s="285"/>
      <c r="T582" s="285"/>
      <c r="U582" s="285"/>
      <c r="V582" s="285"/>
      <c r="W582" s="285"/>
      <c r="X582" s="285"/>
      <c r="Y582" s="285"/>
      <c r="Z582" s="285"/>
    </row>
    <row r="583" ht="12.75" customHeight="1">
      <c r="A583" s="285"/>
      <c r="B583" s="75"/>
      <c r="C583" s="75"/>
      <c r="D583" s="321"/>
      <c r="E583" s="321"/>
      <c r="F583" s="322"/>
      <c r="G583" s="75"/>
      <c r="H583" s="321"/>
      <c r="I583" s="321"/>
      <c r="J583" s="323"/>
      <c r="K583" s="324"/>
      <c r="L583" s="285"/>
      <c r="M583" s="285"/>
      <c r="N583" s="285"/>
      <c r="O583" s="325"/>
      <c r="P583" s="285"/>
      <c r="Q583" s="325"/>
      <c r="R583" s="325"/>
      <c r="S583" s="285"/>
      <c r="T583" s="285"/>
      <c r="U583" s="285"/>
      <c r="V583" s="285"/>
      <c r="W583" s="285"/>
      <c r="X583" s="285"/>
      <c r="Y583" s="285"/>
      <c r="Z583" s="285"/>
    </row>
    <row r="584" ht="12.75" customHeight="1">
      <c r="A584" s="285"/>
      <c r="B584" s="75"/>
      <c r="C584" s="75"/>
      <c r="D584" s="321"/>
      <c r="E584" s="321"/>
      <c r="F584" s="322"/>
      <c r="G584" s="75"/>
      <c r="H584" s="321"/>
      <c r="I584" s="321"/>
      <c r="J584" s="323"/>
      <c r="K584" s="324"/>
      <c r="L584" s="285"/>
      <c r="M584" s="285"/>
      <c r="N584" s="285"/>
      <c r="O584" s="325"/>
      <c r="P584" s="285"/>
      <c r="Q584" s="325"/>
      <c r="R584" s="325"/>
      <c r="S584" s="285"/>
      <c r="T584" s="285"/>
      <c r="U584" s="285"/>
      <c r="V584" s="285"/>
      <c r="W584" s="285"/>
      <c r="X584" s="285"/>
      <c r="Y584" s="285"/>
      <c r="Z584" s="285"/>
    </row>
    <row r="585" ht="12.75" customHeight="1">
      <c r="A585" s="285"/>
      <c r="B585" s="75"/>
      <c r="C585" s="75"/>
      <c r="D585" s="321"/>
      <c r="E585" s="321"/>
      <c r="F585" s="322"/>
      <c r="G585" s="75"/>
      <c r="H585" s="321"/>
      <c r="I585" s="321"/>
      <c r="J585" s="323"/>
      <c r="K585" s="324"/>
      <c r="L585" s="285"/>
      <c r="M585" s="285"/>
      <c r="N585" s="285"/>
      <c r="O585" s="325"/>
      <c r="P585" s="285"/>
      <c r="Q585" s="325"/>
      <c r="R585" s="325"/>
      <c r="S585" s="285"/>
      <c r="T585" s="285"/>
      <c r="U585" s="285"/>
      <c r="V585" s="285"/>
      <c r="W585" s="285"/>
      <c r="X585" s="285"/>
      <c r="Y585" s="285"/>
      <c r="Z585" s="285"/>
    </row>
    <row r="586" ht="12.75" customHeight="1">
      <c r="A586" s="285"/>
      <c r="B586" s="75"/>
      <c r="C586" s="75"/>
      <c r="D586" s="321"/>
      <c r="E586" s="321"/>
      <c r="F586" s="322"/>
      <c r="G586" s="75"/>
      <c r="H586" s="321"/>
      <c r="I586" s="321"/>
      <c r="J586" s="323"/>
      <c r="K586" s="324"/>
      <c r="L586" s="285"/>
      <c r="M586" s="285"/>
      <c r="N586" s="285"/>
      <c r="O586" s="325"/>
      <c r="P586" s="285"/>
      <c r="Q586" s="325"/>
      <c r="R586" s="325"/>
      <c r="S586" s="285"/>
      <c r="T586" s="285"/>
      <c r="U586" s="285"/>
      <c r="V586" s="285"/>
      <c r="W586" s="285"/>
      <c r="X586" s="285"/>
      <c r="Y586" s="285"/>
      <c r="Z586" s="285"/>
    </row>
    <row r="587" ht="12.75" customHeight="1">
      <c r="A587" s="285"/>
      <c r="B587" s="75"/>
      <c r="C587" s="75"/>
      <c r="D587" s="321"/>
      <c r="E587" s="321"/>
      <c r="F587" s="322"/>
      <c r="G587" s="75"/>
      <c r="H587" s="321"/>
      <c r="I587" s="321"/>
      <c r="J587" s="323"/>
      <c r="K587" s="324"/>
      <c r="L587" s="285"/>
      <c r="M587" s="285"/>
      <c r="N587" s="285"/>
      <c r="O587" s="325"/>
      <c r="P587" s="285"/>
      <c r="Q587" s="325"/>
      <c r="R587" s="325"/>
      <c r="S587" s="285"/>
      <c r="T587" s="285"/>
      <c r="U587" s="285"/>
      <c r="V587" s="285"/>
      <c r="W587" s="285"/>
      <c r="X587" s="285"/>
      <c r="Y587" s="285"/>
      <c r="Z587" s="285"/>
    </row>
    <row r="588" ht="12.75" customHeight="1">
      <c r="A588" s="285"/>
      <c r="B588" s="75"/>
      <c r="C588" s="75"/>
      <c r="D588" s="321"/>
      <c r="E588" s="321"/>
      <c r="F588" s="322"/>
      <c r="G588" s="75"/>
      <c r="H588" s="321"/>
      <c r="I588" s="321"/>
      <c r="J588" s="323"/>
      <c r="K588" s="324"/>
      <c r="L588" s="285"/>
      <c r="M588" s="285"/>
      <c r="N588" s="285"/>
      <c r="O588" s="325"/>
      <c r="P588" s="285"/>
      <c r="Q588" s="325"/>
      <c r="R588" s="325"/>
      <c r="S588" s="285"/>
      <c r="T588" s="285"/>
      <c r="U588" s="285"/>
      <c r="V588" s="285"/>
      <c r="W588" s="285"/>
      <c r="X588" s="285"/>
      <c r="Y588" s="285"/>
      <c r="Z588" s="285"/>
    </row>
    <row r="589" ht="12.75" customHeight="1">
      <c r="A589" s="285"/>
      <c r="B589" s="75"/>
      <c r="C589" s="75"/>
      <c r="D589" s="321"/>
      <c r="E589" s="321"/>
      <c r="F589" s="322"/>
      <c r="G589" s="75"/>
      <c r="H589" s="321"/>
      <c r="I589" s="321"/>
      <c r="J589" s="323"/>
      <c r="K589" s="324"/>
      <c r="L589" s="285"/>
      <c r="M589" s="285"/>
      <c r="N589" s="285"/>
      <c r="O589" s="325"/>
      <c r="P589" s="285"/>
      <c r="Q589" s="325"/>
      <c r="R589" s="325"/>
      <c r="S589" s="285"/>
      <c r="T589" s="285"/>
      <c r="U589" s="285"/>
      <c r="V589" s="285"/>
      <c r="W589" s="285"/>
      <c r="X589" s="285"/>
      <c r="Y589" s="285"/>
      <c r="Z589" s="285"/>
    </row>
    <row r="590" ht="12.75" customHeight="1">
      <c r="A590" s="285"/>
      <c r="B590" s="75"/>
      <c r="C590" s="75"/>
      <c r="D590" s="321"/>
      <c r="E590" s="321"/>
      <c r="F590" s="322"/>
      <c r="G590" s="75"/>
      <c r="H590" s="321"/>
      <c r="I590" s="321"/>
      <c r="J590" s="323"/>
      <c r="K590" s="324"/>
      <c r="L590" s="285"/>
      <c r="M590" s="285"/>
      <c r="N590" s="285"/>
      <c r="O590" s="325"/>
      <c r="P590" s="285"/>
      <c r="Q590" s="325"/>
      <c r="R590" s="325"/>
      <c r="S590" s="285"/>
      <c r="T590" s="285"/>
      <c r="U590" s="285"/>
      <c r="V590" s="285"/>
      <c r="W590" s="285"/>
      <c r="X590" s="285"/>
      <c r="Y590" s="285"/>
      <c r="Z590" s="285"/>
    </row>
    <row r="591" ht="12.75" customHeight="1">
      <c r="A591" s="285"/>
      <c r="B591" s="75"/>
      <c r="C591" s="75"/>
      <c r="D591" s="321"/>
      <c r="E591" s="321"/>
      <c r="F591" s="322"/>
      <c r="G591" s="75"/>
      <c r="H591" s="321"/>
      <c r="I591" s="321"/>
      <c r="J591" s="323"/>
      <c r="K591" s="324"/>
      <c r="L591" s="285"/>
      <c r="M591" s="285"/>
      <c r="N591" s="285"/>
      <c r="O591" s="325"/>
      <c r="P591" s="285"/>
      <c r="Q591" s="325"/>
      <c r="R591" s="325"/>
      <c r="S591" s="285"/>
      <c r="T591" s="285"/>
      <c r="U591" s="285"/>
      <c r="V591" s="285"/>
      <c r="W591" s="285"/>
      <c r="X591" s="285"/>
      <c r="Y591" s="285"/>
      <c r="Z591" s="285"/>
    </row>
    <row r="592" ht="12.75" customHeight="1">
      <c r="A592" s="285"/>
      <c r="B592" s="75"/>
      <c r="C592" s="75"/>
      <c r="D592" s="321"/>
      <c r="E592" s="321"/>
      <c r="F592" s="322"/>
      <c r="G592" s="75"/>
      <c r="H592" s="321"/>
      <c r="I592" s="321"/>
      <c r="J592" s="323"/>
      <c r="K592" s="324"/>
      <c r="L592" s="285"/>
      <c r="M592" s="285"/>
      <c r="N592" s="285"/>
      <c r="O592" s="325"/>
      <c r="P592" s="285"/>
      <c r="Q592" s="325"/>
      <c r="R592" s="325"/>
      <c r="S592" s="285"/>
      <c r="T592" s="285"/>
      <c r="U592" s="285"/>
      <c r="V592" s="285"/>
      <c r="W592" s="285"/>
      <c r="X592" s="285"/>
      <c r="Y592" s="285"/>
      <c r="Z592" s="285"/>
    </row>
    <row r="593" ht="12.75" customHeight="1">
      <c r="A593" s="285"/>
      <c r="B593" s="75"/>
      <c r="C593" s="75"/>
      <c r="D593" s="321"/>
      <c r="E593" s="321"/>
      <c r="F593" s="322"/>
      <c r="G593" s="75"/>
      <c r="H593" s="321"/>
      <c r="I593" s="321"/>
      <c r="J593" s="323"/>
      <c r="K593" s="324"/>
      <c r="L593" s="285"/>
      <c r="M593" s="285"/>
      <c r="N593" s="285"/>
      <c r="O593" s="325"/>
      <c r="P593" s="285"/>
      <c r="Q593" s="325"/>
      <c r="R593" s="325"/>
      <c r="S593" s="285"/>
      <c r="T593" s="285"/>
      <c r="U593" s="285"/>
      <c r="V593" s="285"/>
      <c r="W593" s="285"/>
      <c r="X593" s="285"/>
      <c r="Y593" s="285"/>
      <c r="Z593" s="285"/>
    </row>
    <row r="594" ht="12.75" customHeight="1">
      <c r="A594" s="285"/>
      <c r="B594" s="75"/>
      <c r="C594" s="75"/>
      <c r="D594" s="321"/>
      <c r="E594" s="321"/>
      <c r="F594" s="322"/>
      <c r="G594" s="75"/>
      <c r="H594" s="321"/>
      <c r="I594" s="321"/>
      <c r="J594" s="323"/>
      <c r="K594" s="324"/>
      <c r="L594" s="285"/>
      <c r="M594" s="285"/>
      <c r="N594" s="285"/>
      <c r="O594" s="325"/>
      <c r="P594" s="285"/>
      <c r="Q594" s="325"/>
      <c r="R594" s="325"/>
      <c r="S594" s="285"/>
      <c r="T594" s="285"/>
      <c r="U594" s="285"/>
      <c r="V594" s="285"/>
      <c r="W594" s="285"/>
      <c r="X594" s="285"/>
      <c r="Y594" s="285"/>
      <c r="Z594" s="285"/>
    </row>
    <row r="595" ht="12.75" customHeight="1">
      <c r="A595" s="285"/>
      <c r="B595" s="75"/>
      <c r="C595" s="75"/>
      <c r="D595" s="321"/>
      <c r="E595" s="321"/>
      <c r="F595" s="322"/>
      <c r="G595" s="75"/>
      <c r="H595" s="321"/>
      <c r="I595" s="321"/>
      <c r="J595" s="323"/>
      <c r="K595" s="324"/>
      <c r="L595" s="285"/>
      <c r="M595" s="285"/>
      <c r="N595" s="285"/>
      <c r="O595" s="325"/>
      <c r="P595" s="285"/>
      <c r="Q595" s="325"/>
      <c r="R595" s="325"/>
      <c r="S595" s="285"/>
      <c r="T595" s="285"/>
      <c r="U595" s="285"/>
      <c r="V595" s="285"/>
      <c r="W595" s="285"/>
      <c r="X595" s="285"/>
      <c r="Y595" s="285"/>
      <c r="Z595" s="285"/>
    </row>
    <row r="596" ht="12.75" customHeight="1">
      <c r="A596" s="285"/>
      <c r="B596" s="75"/>
      <c r="C596" s="75"/>
      <c r="D596" s="321"/>
      <c r="E596" s="321"/>
      <c r="F596" s="322"/>
      <c r="G596" s="75"/>
      <c r="H596" s="321"/>
      <c r="I596" s="321"/>
      <c r="J596" s="323"/>
      <c r="K596" s="324"/>
      <c r="L596" s="285"/>
      <c r="M596" s="285"/>
      <c r="N596" s="285"/>
      <c r="O596" s="325"/>
      <c r="P596" s="285"/>
      <c r="Q596" s="325"/>
      <c r="R596" s="325"/>
      <c r="S596" s="285"/>
      <c r="T596" s="285"/>
      <c r="U596" s="285"/>
      <c r="V596" s="285"/>
      <c r="W596" s="285"/>
      <c r="X596" s="285"/>
      <c r="Y596" s="285"/>
      <c r="Z596" s="285"/>
    </row>
    <row r="597" ht="12.75" customHeight="1">
      <c r="A597" s="285"/>
      <c r="B597" s="75"/>
      <c r="C597" s="75"/>
      <c r="D597" s="321"/>
      <c r="E597" s="321"/>
      <c r="F597" s="322"/>
      <c r="G597" s="75"/>
      <c r="H597" s="321"/>
      <c r="I597" s="321"/>
      <c r="J597" s="323"/>
      <c r="K597" s="324"/>
      <c r="L597" s="285"/>
      <c r="M597" s="285"/>
      <c r="N597" s="285"/>
      <c r="O597" s="325"/>
      <c r="P597" s="285"/>
      <c r="Q597" s="325"/>
      <c r="R597" s="325"/>
      <c r="S597" s="285"/>
      <c r="T597" s="285"/>
      <c r="U597" s="285"/>
      <c r="V597" s="285"/>
      <c r="W597" s="285"/>
      <c r="X597" s="285"/>
      <c r="Y597" s="285"/>
      <c r="Z597" s="285"/>
    </row>
    <row r="598" ht="12.75" customHeight="1">
      <c r="A598" s="285"/>
      <c r="B598" s="75"/>
      <c r="C598" s="75"/>
      <c r="D598" s="321"/>
      <c r="E598" s="321"/>
      <c r="F598" s="322"/>
      <c r="G598" s="75"/>
      <c r="H598" s="321"/>
      <c r="I598" s="321"/>
      <c r="J598" s="323"/>
      <c r="K598" s="324"/>
      <c r="L598" s="285"/>
      <c r="M598" s="285"/>
      <c r="N598" s="285"/>
      <c r="O598" s="325"/>
      <c r="P598" s="285"/>
      <c r="Q598" s="325"/>
      <c r="R598" s="325"/>
      <c r="S598" s="285"/>
      <c r="T598" s="285"/>
      <c r="U598" s="285"/>
      <c r="V598" s="285"/>
      <c r="W598" s="285"/>
      <c r="X598" s="285"/>
      <c r="Y598" s="285"/>
      <c r="Z598" s="285"/>
    </row>
    <row r="599" ht="12.75" customHeight="1">
      <c r="A599" s="285"/>
      <c r="B599" s="75"/>
      <c r="C599" s="75"/>
      <c r="D599" s="321"/>
      <c r="E599" s="321"/>
      <c r="F599" s="322"/>
      <c r="G599" s="75"/>
      <c r="H599" s="321"/>
      <c r="I599" s="321"/>
      <c r="J599" s="323"/>
      <c r="K599" s="324"/>
      <c r="L599" s="285"/>
      <c r="M599" s="285"/>
      <c r="N599" s="285"/>
      <c r="O599" s="325"/>
      <c r="P599" s="285"/>
      <c r="Q599" s="325"/>
      <c r="R599" s="325"/>
      <c r="S599" s="285"/>
      <c r="T599" s="285"/>
      <c r="U599" s="285"/>
      <c r="V599" s="285"/>
      <c r="W599" s="285"/>
      <c r="X599" s="285"/>
      <c r="Y599" s="285"/>
      <c r="Z599" s="285"/>
    </row>
    <row r="600" ht="12.75" customHeight="1">
      <c r="A600" s="285"/>
      <c r="B600" s="75"/>
      <c r="C600" s="75"/>
      <c r="D600" s="321"/>
      <c r="E600" s="321"/>
      <c r="F600" s="322"/>
      <c r="G600" s="75"/>
      <c r="H600" s="321"/>
      <c r="I600" s="321"/>
      <c r="J600" s="323"/>
      <c r="K600" s="324"/>
      <c r="L600" s="285"/>
      <c r="M600" s="285"/>
      <c r="N600" s="285"/>
      <c r="O600" s="325"/>
      <c r="P600" s="285"/>
      <c r="Q600" s="325"/>
      <c r="R600" s="325"/>
      <c r="S600" s="285"/>
      <c r="T600" s="285"/>
      <c r="U600" s="285"/>
      <c r="V600" s="285"/>
      <c r="W600" s="285"/>
      <c r="X600" s="285"/>
      <c r="Y600" s="285"/>
      <c r="Z600" s="285"/>
    </row>
    <row r="601" ht="12.75" customHeight="1">
      <c r="A601" s="285"/>
      <c r="B601" s="75"/>
      <c r="C601" s="75"/>
      <c r="D601" s="321"/>
      <c r="E601" s="321"/>
      <c r="F601" s="322"/>
      <c r="G601" s="75"/>
      <c r="H601" s="321"/>
      <c r="I601" s="321"/>
      <c r="J601" s="323"/>
      <c r="K601" s="324"/>
      <c r="L601" s="285"/>
      <c r="M601" s="285"/>
      <c r="N601" s="285"/>
      <c r="O601" s="325"/>
      <c r="P601" s="285"/>
      <c r="Q601" s="325"/>
      <c r="R601" s="325"/>
      <c r="S601" s="285"/>
      <c r="T601" s="285"/>
      <c r="U601" s="285"/>
      <c r="V601" s="285"/>
      <c r="W601" s="285"/>
      <c r="X601" s="285"/>
      <c r="Y601" s="285"/>
      <c r="Z601" s="285"/>
    </row>
    <row r="602" ht="12.75" customHeight="1">
      <c r="A602" s="285"/>
      <c r="B602" s="75"/>
      <c r="C602" s="75"/>
      <c r="D602" s="321"/>
      <c r="E602" s="321"/>
      <c r="F602" s="322"/>
      <c r="G602" s="75"/>
      <c r="H602" s="321"/>
      <c r="I602" s="321"/>
      <c r="J602" s="323"/>
      <c r="K602" s="324"/>
      <c r="L602" s="285"/>
      <c r="M602" s="285"/>
      <c r="N602" s="285"/>
      <c r="O602" s="325"/>
      <c r="P602" s="285"/>
      <c r="Q602" s="325"/>
      <c r="R602" s="325"/>
      <c r="S602" s="285"/>
      <c r="T602" s="285"/>
      <c r="U602" s="285"/>
      <c r="V602" s="285"/>
      <c r="W602" s="285"/>
      <c r="X602" s="285"/>
      <c r="Y602" s="285"/>
      <c r="Z602" s="285"/>
    </row>
    <row r="603" ht="12.75" customHeight="1">
      <c r="A603" s="285"/>
      <c r="B603" s="75"/>
      <c r="C603" s="75"/>
      <c r="D603" s="321"/>
      <c r="E603" s="321"/>
      <c r="F603" s="322"/>
      <c r="G603" s="75"/>
      <c r="H603" s="321"/>
      <c r="I603" s="321"/>
      <c r="J603" s="323"/>
      <c r="K603" s="324"/>
      <c r="L603" s="285"/>
      <c r="M603" s="285"/>
      <c r="N603" s="285"/>
      <c r="O603" s="325"/>
      <c r="P603" s="285"/>
      <c r="Q603" s="325"/>
      <c r="R603" s="325"/>
      <c r="S603" s="285"/>
      <c r="T603" s="285"/>
      <c r="U603" s="285"/>
      <c r="V603" s="285"/>
      <c r="W603" s="285"/>
      <c r="X603" s="285"/>
      <c r="Y603" s="285"/>
      <c r="Z603" s="285"/>
    </row>
    <row r="604" ht="12.75" customHeight="1">
      <c r="A604" s="285"/>
      <c r="B604" s="75"/>
      <c r="C604" s="75"/>
      <c r="D604" s="321"/>
      <c r="E604" s="321"/>
      <c r="F604" s="322"/>
      <c r="G604" s="75"/>
      <c r="H604" s="321"/>
      <c r="I604" s="321"/>
      <c r="J604" s="323"/>
      <c r="K604" s="324"/>
      <c r="L604" s="285"/>
      <c r="M604" s="285"/>
      <c r="N604" s="285"/>
      <c r="O604" s="325"/>
      <c r="P604" s="285"/>
      <c r="Q604" s="325"/>
      <c r="R604" s="325"/>
      <c r="S604" s="285"/>
      <c r="T604" s="285"/>
      <c r="U604" s="285"/>
      <c r="V604" s="285"/>
      <c r="W604" s="285"/>
      <c r="X604" s="285"/>
      <c r="Y604" s="285"/>
      <c r="Z604" s="285"/>
    </row>
    <row r="605" ht="12.75" customHeight="1">
      <c r="A605" s="285"/>
      <c r="B605" s="75"/>
      <c r="C605" s="75"/>
      <c r="D605" s="321"/>
      <c r="E605" s="321"/>
      <c r="F605" s="322"/>
      <c r="G605" s="75"/>
      <c r="H605" s="321"/>
      <c r="I605" s="321"/>
      <c r="J605" s="323"/>
      <c r="K605" s="324"/>
      <c r="L605" s="285"/>
      <c r="M605" s="285"/>
      <c r="N605" s="285"/>
      <c r="O605" s="325"/>
      <c r="P605" s="285"/>
      <c r="Q605" s="325"/>
      <c r="R605" s="325"/>
      <c r="S605" s="285"/>
      <c r="T605" s="285"/>
      <c r="U605" s="285"/>
      <c r="V605" s="285"/>
      <c r="W605" s="285"/>
      <c r="X605" s="285"/>
      <c r="Y605" s="285"/>
      <c r="Z605" s="285"/>
    </row>
    <row r="606" ht="12.75" customHeight="1">
      <c r="A606" s="285"/>
      <c r="B606" s="75"/>
      <c r="C606" s="75"/>
      <c r="D606" s="321"/>
      <c r="E606" s="321"/>
      <c r="F606" s="322"/>
      <c r="G606" s="75"/>
      <c r="H606" s="321"/>
      <c r="I606" s="321"/>
      <c r="J606" s="323"/>
      <c r="K606" s="324"/>
      <c r="L606" s="285"/>
      <c r="M606" s="285"/>
      <c r="N606" s="285"/>
      <c r="O606" s="325"/>
      <c r="P606" s="285"/>
      <c r="Q606" s="325"/>
      <c r="R606" s="325"/>
      <c r="S606" s="285"/>
      <c r="T606" s="285"/>
      <c r="U606" s="285"/>
      <c r="V606" s="285"/>
      <c r="W606" s="285"/>
      <c r="X606" s="285"/>
      <c r="Y606" s="285"/>
      <c r="Z606" s="285"/>
    </row>
    <row r="607" ht="12.75" customHeight="1">
      <c r="A607" s="285"/>
      <c r="B607" s="75"/>
      <c r="C607" s="75"/>
      <c r="D607" s="321"/>
      <c r="E607" s="321"/>
      <c r="F607" s="322"/>
      <c r="G607" s="75"/>
      <c r="H607" s="321"/>
      <c r="I607" s="321"/>
      <c r="J607" s="323"/>
      <c r="K607" s="324"/>
      <c r="L607" s="285"/>
      <c r="M607" s="285"/>
      <c r="N607" s="285"/>
      <c r="O607" s="325"/>
      <c r="P607" s="285"/>
      <c r="Q607" s="325"/>
      <c r="R607" s="325"/>
      <c r="S607" s="285"/>
      <c r="T607" s="285"/>
      <c r="U607" s="285"/>
      <c r="V607" s="285"/>
      <c r="W607" s="285"/>
      <c r="X607" s="285"/>
      <c r="Y607" s="285"/>
      <c r="Z607" s="285"/>
    </row>
    <row r="608" ht="12.75" customHeight="1">
      <c r="A608" s="285"/>
      <c r="B608" s="75"/>
      <c r="C608" s="75"/>
      <c r="D608" s="321"/>
      <c r="E608" s="321"/>
      <c r="F608" s="322"/>
      <c r="G608" s="75"/>
      <c r="H608" s="321"/>
      <c r="I608" s="321"/>
      <c r="J608" s="323"/>
      <c r="K608" s="324"/>
      <c r="L608" s="285"/>
      <c r="M608" s="285"/>
      <c r="N608" s="285"/>
      <c r="O608" s="325"/>
      <c r="P608" s="285"/>
      <c r="Q608" s="325"/>
      <c r="R608" s="325"/>
      <c r="S608" s="285"/>
      <c r="T608" s="285"/>
      <c r="U608" s="285"/>
      <c r="V608" s="285"/>
      <c r="W608" s="285"/>
      <c r="X608" s="285"/>
      <c r="Y608" s="285"/>
      <c r="Z608" s="285"/>
    </row>
    <row r="609" ht="12.75" customHeight="1">
      <c r="A609" s="285"/>
      <c r="B609" s="75"/>
      <c r="C609" s="75"/>
      <c r="D609" s="321"/>
      <c r="E609" s="321"/>
      <c r="F609" s="322"/>
      <c r="G609" s="75"/>
      <c r="H609" s="321"/>
      <c r="I609" s="321"/>
      <c r="J609" s="323"/>
      <c r="K609" s="324"/>
      <c r="L609" s="285"/>
      <c r="M609" s="285"/>
      <c r="N609" s="285"/>
      <c r="O609" s="325"/>
      <c r="P609" s="285"/>
      <c r="Q609" s="325"/>
      <c r="R609" s="325"/>
      <c r="S609" s="285"/>
      <c r="T609" s="285"/>
      <c r="U609" s="285"/>
      <c r="V609" s="285"/>
      <c r="W609" s="285"/>
      <c r="X609" s="285"/>
      <c r="Y609" s="285"/>
      <c r="Z609" s="285"/>
    </row>
    <row r="610" ht="12.75" customHeight="1">
      <c r="A610" s="285"/>
      <c r="B610" s="75"/>
      <c r="C610" s="75"/>
      <c r="D610" s="321"/>
      <c r="E610" s="321"/>
      <c r="F610" s="322"/>
      <c r="G610" s="75"/>
      <c r="H610" s="321"/>
      <c r="I610" s="321"/>
      <c r="J610" s="323"/>
      <c r="K610" s="324"/>
      <c r="L610" s="285"/>
      <c r="M610" s="285"/>
      <c r="N610" s="285"/>
      <c r="O610" s="325"/>
      <c r="P610" s="285"/>
      <c r="Q610" s="325"/>
      <c r="R610" s="325"/>
      <c r="S610" s="285"/>
      <c r="T610" s="285"/>
      <c r="U610" s="285"/>
      <c r="V610" s="285"/>
      <c r="W610" s="285"/>
      <c r="X610" s="285"/>
      <c r="Y610" s="285"/>
      <c r="Z610" s="285"/>
    </row>
    <row r="611" ht="12.75" customHeight="1">
      <c r="A611" s="285"/>
      <c r="B611" s="75"/>
      <c r="C611" s="75"/>
      <c r="D611" s="321"/>
      <c r="E611" s="321"/>
      <c r="F611" s="322"/>
      <c r="G611" s="75"/>
      <c r="H611" s="321"/>
      <c r="I611" s="321"/>
      <c r="J611" s="323"/>
      <c r="K611" s="324"/>
      <c r="L611" s="285"/>
      <c r="M611" s="285"/>
      <c r="N611" s="285"/>
      <c r="O611" s="325"/>
      <c r="P611" s="285"/>
      <c r="Q611" s="325"/>
      <c r="R611" s="325"/>
      <c r="S611" s="285"/>
      <c r="T611" s="285"/>
      <c r="U611" s="285"/>
      <c r="V611" s="285"/>
      <c r="W611" s="285"/>
      <c r="X611" s="285"/>
      <c r="Y611" s="285"/>
      <c r="Z611" s="285"/>
    </row>
    <row r="612" ht="12.75" customHeight="1">
      <c r="A612" s="285"/>
      <c r="B612" s="75"/>
      <c r="C612" s="75"/>
      <c r="D612" s="321"/>
      <c r="E612" s="321"/>
      <c r="F612" s="322"/>
      <c r="G612" s="75"/>
      <c r="H612" s="321"/>
      <c r="I612" s="321"/>
      <c r="J612" s="323"/>
      <c r="K612" s="324"/>
      <c r="L612" s="285"/>
      <c r="M612" s="285"/>
      <c r="N612" s="285"/>
      <c r="O612" s="325"/>
      <c r="P612" s="285"/>
      <c r="Q612" s="325"/>
      <c r="R612" s="325"/>
      <c r="S612" s="285"/>
      <c r="T612" s="285"/>
      <c r="U612" s="285"/>
      <c r="V612" s="285"/>
      <c r="W612" s="285"/>
      <c r="X612" s="285"/>
      <c r="Y612" s="285"/>
      <c r="Z612" s="285"/>
    </row>
    <row r="613" ht="12.75" customHeight="1">
      <c r="A613" s="285"/>
      <c r="B613" s="75"/>
      <c r="C613" s="75"/>
      <c r="D613" s="321"/>
      <c r="E613" s="321"/>
      <c r="F613" s="322"/>
      <c r="G613" s="75"/>
      <c r="H613" s="321"/>
      <c r="I613" s="321"/>
      <c r="J613" s="323"/>
      <c r="K613" s="324"/>
      <c r="L613" s="285"/>
      <c r="M613" s="285"/>
      <c r="N613" s="285"/>
      <c r="O613" s="325"/>
      <c r="P613" s="285"/>
      <c r="Q613" s="325"/>
      <c r="R613" s="325"/>
      <c r="S613" s="285"/>
      <c r="T613" s="285"/>
      <c r="U613" s="285"/>
      <c r="V613" s="285"/>
      <c r="W613" s="285"/>
      <c r="X613" s="285"/>
      <c r="Y613" s="285"/>
      <c r="Z613" s="285"/>
    </row>
    <row r="614" ht="12.75" customHeight="1">
      <c r="A614" s="285"/>
      <c r="B614" s="75"/>
      <c r="C614" s="75"/>
      <c r="D614" s="321"/>
      <c r="E614" s="321"/>
      <c r="F614" s="322"/>
      <c r="G614" s="75"/>
      <c r="H614" s="321"/>
      <c r="I614" s="321"/>
      <c r="J614" s="323"/>
      <c r="K614" s="324"/>
      <c r="L614" s="285"/>
      <c r="M614" s="285"/>
      <c r="N614" s="285"/>
      <c r="O614" s="325"/>
      <c r="P614" s="285"/>
      <c r="Q614" s="325"/>
      <c r="R614" s="325"/>
      <c r="S614" s="285"/>
      <c r="T614" s="285"/>
      <c r="U614" s="285"/>
      <c r="V614" s="285"/>
      <c r="W614" s="285"/>
      <c r="X614" s="285"/>
      <c r="Y614" s="285"/>
      <c r="Z614" s="285"/>
    </row>
    <row r="615" ht="12.75" customHeight="1">
      <c r="A615" s="285"/>
      <c r="B615" s="75"/>
      <c r="C615" s="75"/>
      <c r="D615" s="321"/>
      <c r="E615" s="321"/>
      <c r="F615" s="322"/>
      <c r="G615" s="75"/>
      <c r="H615" s="321"/>
      <c r="I615" s="321"/>
      <c r="J615" s="323"/>
      <c r="K615" s="324"/>
      <c r="L615" s="285"/>
      <c r="M615" s="285"/>
      <c r="N615" s="285"/>
      <c r="O615" s="325"/>
      <c r="P615" s="285"/>
      <c r="Q615" s="325"/>
      <c r="R615" s="325"/>
      <c r="S615" s="285"/>
      <c r="T615" s="285"/>
      <c r="U615" s="285"/>
      <c r="V615" s="285"/>
      <c r="W615" s="285"/>
      <c r="X615" s="285"/>
      <c r="Y615" s="285"/>
      <c r="Z615" s="285"/>
    </row>
    <row r="616" ht="12.75" customHeight="1">
      <c r="A616" s="285"/>
      <c r="B616" s="75"/>
      <c r="C616" s="75"/>
      <c r="D616" s="321"/>
      <c r="E616" s="321"/>
      <c r="F616" s="322"/>
      <c r="G616" s="75"/>
      <c r="H616" s="321"/>
      <c r="I616" s="321"/>
      <c r="J616" s="323"/>
      <c r="K616" s="324"/>
      <c r="L616" s="285"/>
      <c r="M616" s="285"/>
      <c r="N616" s="285"/>
      <c r="O616" s="325"/>
      <c r="P616" s="285"/>
      <c r="Q616" s="325"/>
      <c r="R616" s="325"/>
      <c r="S616" s="285"/>
      <c r="T616" s="285"/>
      <c r="U616" s="285"/>
      <c r="V616" s="285"/>
      <c r="W616" s="285"/>
      <c r="X616" s="285"/>
      <c r="Y616" s="285"/>
      <c r="Z616" s="285"/>
    </row>
    <row r="617" ht="12.75" customHeight="1">
      <c r="A617" s="285"/>
      <c r="B617" s="75"/>
      <c r="C617" s="75"/>
      <c r="D617" s="321"/>
      <c r="E617" s="321"/>
      <c r="F617" s="322"/>
      <c r="G617" s="75"/>
      <c r="H617" s="321"/>
      <c r="I617" s="321"/>
      <c r="J617" s="323"/>
      <c r="K617" s="324"/>
      <c r="L617" s="285"/>
      <c r="M617" s="285"/>
      <c r="N617" s="285"/>
      <c r="O617" s="325"/>
      <c r="P617" s="285"/>
      <c r="Q617" s="325"/>
      <c r="R617" s="325"/>
      <c r="S617" s="285"/>
      <c r="T617" s="285"/>
      <c r="U617" s="285"/>
      <c r="V617" s="285"/>
      <c r="W617" s="285"/>
      <c r="X617" s="285"/>
      <c r="Y617" s="285"/>
      <c r="Z617" s="285"/>
    </row>
    <row r="618" ht="12.75" customHeight="1">
      <c r="A618" s="285"/>
      <c r="B618" s="75"/>
      <c r="C618" s="75"/>
      <c r="D618" s="321"/>
      <c r="E618" s="321"/>
      <c r="F618" s="322"/>
      <c r="G618" s="75"/>
      <c r="H618" s="321"/>
      <c r="I618" s="321"/>
      <c r="J618" s="323"/>
      <c r="K618" s="324"/>
      <c r="L618" s="285"/>
      <c r="M618" s="285"/>
      <c r="N618" s="285"/>
      <c r="O618" s="325"/>
      <c r="P618" s="285"/>
      <c r="Q618" s="325"/>
      <c r="R618" s="325"/>
      <c r="S618" s="285"/>
      <c r="T618" s="285"/>
      <c r="U618" s="285"/>
      <c r="V618" s="285"/>
      <c r="W618" s="285"/>
      <c r="X618" s="285"/>
      <c r="Y618" s="285"/>
      <c r="Z618" s="285"/>
    </row>
    <row r="619" ht="12.75" customHeight="1">
      <c r="A619" s="285"/>
      <c r="B619" s="75"/>
      <c r="C619" s="75"/>
      <c r="D619" s="321"/>
      <c r="E619" s="321"/>
      <c r="F619" s="322"/>
      <c r="G619" s="75"/>
      <c r="H619" s="321"/>
      <c r="I619" s="321"/>
      <c r="J619" s="323"/>
      <c r="K619" s="324"/>
      <c r="L619" s="285"/>
      <c r="M619" s="285"/>
      <c r="N619" s="285"/>
      <c r="O619" s="325"/>
      <c r="P619" s="285"/>
      <c r="Q619" s="325"/>
      <c r="R619" s="325"/>
      <c r="S619" s="285"/>
      <c r="T619" s="285"/>
      <c r="U619" s="285"/>
      <c r="V619" s="285"/>
      <c r="W619" s="285"/>
      <c r="X619" s="285"/>
      <c r="Y619" s="285"/>
      <c r="Z619" s="285"/>
    </row>
    <row r="620" ht="12.75" customHeight="1">
      <c r="A620" s="285"/>
      <c r="B620" s="75"/>
      <c r="C620" s="75"/>
      <c r="D620" s="321"/>
      <c r="E620" s="321"/>
      <c r="F620" s="322"/>
      <c r="G620" s="75"/>
      <c r="H620" s="321"/>
      <c r="I620" s="321"/>
      <c r="J620" s="323"/>
      <c r="K620" s="324"/>
      <c r="L620" s="285"/>
      <c r="M620" s="285"/>
      <c r="N620" s="285"/>
      <c r="O620" s="325"/>
      <c r="P620" s="285"/>
      <c r="Q620" s="325"/>
      <c r="R620" s="325"/>
      <c r="S620" s="285"/>
      <c r="T620" s="285"/>
      <c r="U620" s="285"/>
      <c r="V620" s="285"/>
      <c r="W620" s="285"/>
      <c r="X620" s="285"/>
      <c r="Y620" s="285"/>
      <c r="Z620" s="285"/>
    </row>
    <row r="621" ht="12.75" customHeight="1">
      <c r="A621" s="285"/>
      <c r="B621" s="75"/>
      <c r="C621" s="75"/>
      <c r="D621" s="321"/>
      <c r="E621" s="321"/>
      <c r="F621" s="322"/>
      <c r="G621" s="75"/>
      <c r="H621" s="321"/>
      <c r="I621" s="321"/>
      <c r="J621" s="323"/>
      <c r="K621" s="324"/>
      <c r="L621" s="285"/>
      <c r="M621" s="285"/>
      <c r="N621" s="285"/>
      <c r="O621" s="325"/>
      <c r="P621" s="285"/>
      <c r="Q621" s="325"/>
      <c r="R621" s="325"/>
      <c r="S621" s="285"/>
      <c r="T621" s="285"/>
      <c r="U621" s="285"/>
      <c r="V621" s="285"/>
      <c r="W621" s="285"/>
      <c r="X621" s="285"/>
      <c r="Y621" s="285"/>
      <c r="Z621" s="285"/>
    </row>
    <row r="622" ht="12.75" customHeight="1">
      <c r="A622" s="285"/>
      <c r="B622" s="75"/>
      <c r="C622" s="75"/>
      <c r="D622" s="321"/>
      <c r="E622" s="321"/>
      <c r="F622" s="322"/>
      <c r="G622" s="75"/>
      <c r="H622" s="321"/>
      <c r="I622" s="321"/>
      <c r="J622" s="323"/>
      <c r="K622" s="324"/>
      <c r="L622" s="285"/>
      <c r="M622" s="285"/>
      <c r="N622" s="285"/>
      <c r="O622" s="325"/>
      <c r="P622" s="285"/>
      <c r="Q622" s="325"/>
      <c r="R622" s="325"/>
      <c r="S622" s="285"/>
      <c r="T622" s="285"/>
      <c r="U622" s="285"/>
      <c r="V622" s="285"/>
      <c r="W622" s="285"/>
      <c r="X622" s="285"/>
      <c r="Y622" s="285"/>
      <c r="Z622" s="285"/>
    </row>
    <row r="623" ht="12.75" customHeight="1">
      <c r="A623" s="285"/>
      <c r="B623" s="75"/>
      <c r="C623" s="75"/>
      <c r="D623" s="321"/>
      <c r="E623" s="321"/>
      <c r="F623" s="322"/>
      <c r="G623" s="75"/>
      <c r="H623" s="321"/>
      <c r="I623" s="321"/>
      <c r="J623" s="323"/>
      <c r="K623" s="324"/>
      <c r="L623" s="285"/>
      <c r="M623" s="285"/>
      <c r="N623" s="285"/>
      <c r="O623" s="325"/>
      <c r="P623" s="285"/>
      <c r="Q623" s="325"/>
      <c r="R623" s="325"/>
      <c r="S623" s="285"/>
      <c r="T623" s="285"/>
      <c r="U623" s="285"/>
      <c r="V623" s="285"/>
      <c r="W623" s="285"/>
      <c r="X623" s="285"/>
      <c r="Y623" s="285"/>
      <c r="Z623" s="285"/>
    </row>
    <row r="624" ht="12.75" customHeight="1">
      <c r="A624" s="285"/>
      <c r="B624" s="75"/>
      <c r="C624" s="75"/>
      <c r="D624" s="321"/>
      <c r="E624" s="321"/>
      <c r="F624" s="322"/>
      <c r="G624" s="75"/>
      <c r="H624" s="321"/>
      <c r="I624" s="321"/>
      <c r="J624" s="323"/>
      <c r="K624" s="324"/>
      <c r="L624" s="285"/>
      <c r="M624" s="285"/>
      <c r="N624" s="285"/>
      <c r="O624" s="325"/>
      <c r="P624" s="285"/>
      <c r="Q624" s="325"/>
      <c r="R624" s="325"/>
      <c r="S624" s="285"/>
      <c r="T624" s="285"/>
      <c r="U624" s="285"/>
      <c r="V624" s="285"/>
      <c r="W624" s="285"/>
      <c r="X624" s="285"/>
      <c r="Y624" s="285"/>
      <c r="Z624" s="285"/>
    </row>
    <row r="625" ht="12.75" customHeight="1">
      <c r="A625" s="285"/>
      <c r="B625" s="75"/>
      <c r="C625" s="75"/>
      <c r="D625" s="321"/>
      <c r="E625" s="321"/>
      <c r="F625" s="322"/>
      <c r="G625" s="75"/>
      <c r="H625" s="321"/>
      <c r="I625" s="321"/>
      <c r="J625" s="323"/>
      <c r="K625" s="324"/>
      <c r="L625" s="285"/>
      <c r="M625" s="285"/>
      <c r="N625" s="285"/>
      <c r="O625" s="325"/>
      <c r="P625" s="285"/>
      <c r="Q625" s="325"/>
      <c r="R625" s="325"/>
      <c r="S625" s="285"/>
      <c r="T625" s="285"/>
      <c r="U625" s="285"/>
      <c r="V625" s="285"/>
      <c r="W625" s="285"/>
      <c r="X625" s="285"/>
      <c r="Y625" s="285"/>
      <c r="Z625" s="285"/>
    </row>
    <row r="626" ht="12.75" customHeight="1">
      <c r="A626" s="285"/>
      <c r="B626" s="75"/>
      <c r="C626" s="75"/>
      <c r="D626" s="321"/>
      <c r="E626" s="321"/>
      <c r="F626" s="322"/>
      <c r="G626" s="75"/>
      <c r="H626" s="321"/>
      <c r="I626" s="321"/>
      <c r="J626" s="323"/>
      <c r="K626" s="324"/>
      <c r="L626" s="285"/>
      <c r="M626" s="285"/>
      <c r="N626" s="285"/>
      <c r="O626" s="325"/>
      <c r="P626" s="285"/>
      <c r="Q626" s="325"/>
      <c r="R626" s="325"/>
      <c r="S626" s="285"/>
      <c r="T626" s="285"/>
      <c r="U626" s="285"/>
      <c r="V626" s="285"/>
      <c r="W626" s="285"/>
      <c r="X626" s="285"/>
      <c r="Y626" s="285"/>
      <c r="Z626" s="285"/>
    </row>
    <row r="627" ht="12.75" customHeight="1">
      <c r="A627" s="285"/>
      <c r="B627" s="75"/>
      <c r="C627" s="75"/>
      <c r="D627" s="321"/>
      <c r="E627" s="321"/>
      <c r="F627" s="322"/>
      <c r="G627" s="75"/>
      <c r="H627" s="321"/>
      <c r="I627" s="321"/>
      <c r="J627" s="323"/>
      <c r="K627" s="324"/>
      <c r="L627" s="285"/>
      <c r="M627" s="285"/>
      <c r="N627" s="285"/>
      <c r="O627" s="325"/>
      <c r="P627" s="285"/>
      <c r="Q627" s="325"/>
      <c r="R627" s="325"/>
      <c r="S627" s="285"/>
      <c r="T627" s="285"/>
      <c r="U627" s="285"/>
      <c r="V627" s="285"/>
      <c r="W627" s="285"/>
      <c r="X627" s="285"/>
      <c r="Y627" s="285"/>
      <c r="Z627" s="285"/>
    </row>
    <row r="628" ht="12.75" customHeight="1">
      <c r="A628" s="285"/>
      <c r="B628" s="75"/>
      <c r="C628" s="75"/>
      <c r="D628" s="321"/>
      <c r="E628" s="321"/>
      <c r="F628" s="322"/>
      <c r="G628" s="75"/>
      <c r="H628" s="321"/>
      <c r="I628" s="321"/>
      <c r="J628" s="323"/>
      <c r="K628" s="324"/>
      <c r="L628" s="285"/>
      <c r="M628" s="285"/>
      <c r="N628" s="285"/>
      <c r="O628" s="325"/>
      <c r="P628" s="285"/>
      <c r="Q628" s="325"/>
      <c r="R628" s="325"/>
      <c r="S628" s="285"/>
      <c r="T628" s="285"/>
      <c r="U628" s="285"/>
      <c r="V628" s="285"/>
      <c r="W628" s="285"/>
      <c r="X628" s="285"/>
      <c r="Y628" s="285"/>
      <c r="Z628" s="285"/>
    </row>
    <row r="629" ht="12.75" customHeight="1">
      <c r="A629" s="285"/>
      <c r="B629" s="75"/>
      <c r="C629" s="75"/>
      <c r="D629" s="321"/>
      <c r="E629" s="321"/>
      <c r="F629" s="322"/>
      <c r="G629" s="75"/>
      <c r="H629" s="321"/>
      <c r="I629" s="321"/>
      <c r="J629" s="323"/>
      <c r="K629" s="324"/>
      <c r="L629" s="285"/>
      <c r="M629" s="285"/>
      <c r="N629" s="285"/>
      <c r="O629" s="325"/>
      <c r="P629" s="285"/>
      <c r="Q629" s="325"/>
      <c r="R629" s="325"/>
      <c r="S629" s="285"/>
      <c r="T629" s="285"/>
      <c r="U629" s="285"/>
      <c r="V629" s="285"/>
      <c r="W629" s="285"/>
      <c r="X629" s="285"/>
      <c r="Y629" s="285"/>
      <c r="Z629" s="285"/>
    </row>
    <row r="630" ht="12.75" customHeight="1">
      <c r="A630" s="285"/>
      <c r="B630" s="75"/>
      <c r="C630" s="75"/>
      <c r="D630" s="321"/>
      <c r="E630" s="321"/>
      <c r="F630" s="322"/>
      <c r="G630" s="75"/>
      <c r="H630" s="321"/>
      <c r="I630" s="321"/>
      <c r="J630" s="323"/>
      <c r="K630" s="324"/>
      <c r="L630" s="285"/>
      <c r="M630" s="285"/>
      <c r="N630" s="285"/>
      <c r="O630" s="325"/>
      <c r="P630" s="285"/>
      <c r="Q630" s="325"/>
      <c r="R630" s="325"/>
      <c r="S630" s="285"/>
      <c r="T630" s="285"/>
      <c r="U630" s="285"/>
      <c r="V630" s="285"/>
      <c r="W630" s="285"/>
      <c r="X630" s="285"/>
      <c r="Y630" s="285"/>
      <c r="Z630" s="285"/>
    </row>
    <row r="631" ht="12.75" customHeight="1">
      <c r="A631" s="285"/>
      <c r="B631" s="75"/>
      <c r="C631" s="75"/>
      <c r="D631" s="321"/>
      <c r="E631" s="321"/>
      <c r="F631" s="322"/>
      <c r="G631" s="75"/>
      <c r="H631" s="321"/>
      <c r="I631" s="321"/>
      <c r="J631" s="323"/>
      <c r="K631" s="324"/>
      <c r="L631" s="285"/>
      <c r="M631" s="285"/>
      <c r="N631" s="285"/>
      <c r="O631" s="325"/>
      <c r="P631" s="285"/>
      <c r="Q631" s="325"/>
      <c r="R631" s="325"/>
      <c r="S631" s="285"/>
      <c r="T631" s="285"/>
      <c r="U631" s="285"/>
      <c r="V631" s="285"/>
      <c r="W631" s="285"/>
      <c r="X631" s="285"/>
      <c r="Y631" s="285"/>
      <c r="Z631" s="285"/>
    </row>
    <row r="632" ht="12.75" customHeight="1">
      <c r="A632" s="285"/>
      <c r="B632" s="75"/>
      <c r="C632" s="75"/>
      <c r="D632" s="321"/>
      <c r="E632" s="321"/>
      <c r="F632" s="322"/>
      <c r="G632" s="75"/>
      <c r="H632" s="321"/>
      <c r="I632" s="321"/>
      <c r="J632" s="323"/>
      <c r="K632" s="324"/>
      <c r="L632" s="285"/>
      <c r="M632" s="285"/>
      <c r="N632" s="285"/>
      <c r="O632" s="325"/>
      <c r="P632" s="285"/>
      <c r="Q632" s="325"/>
      <c r="R632" s="325"/>
      <c r="S632" s="285"/>
      <c r="T632" s="285"/>
      <c r="U632" s="285"/>
      <c r="V632" s="285"/>
      <c r="W632" s="285"/>
      <c r="X632" s="285"/>
      <c r="Y632" s="285"/>
      <c r="Z632" s="285"/>
    </row>
    <row r="633" ht="12.75" customHeight="1">
      <c r="A633" s="285"/>
      <c r="B633" s="75"/>
      <c r="C633" s="75"/>
      <c r="D633" s="321"/>
      <c r="E633" s="321"/>
      <c r="F633" s="322"/>
      <c r="G633" s="75"/>
      <c r="H633" s="321"/>
      <c r="I633" s="321"/>
      <c r="J633" s="323"/>
      <c r="K633" s="324"/>
      <c r="L633" s="285"/>
      <c r="M633" s="285"/>
      <c r="N633" s="285"/>
      <c r="O633" s="325"/>
      <c r="P633" s="285"/>
      <c r="Q633" s="325"/>
      <c r="R633" s="325"/>
      <c r="S633" s="285"/>
      <c r="T633" s="285"/>
      <c r="U633" s="285"/>
      <c r="V633" s="285"/>
      <c r="W633" s="285"/>
      <c r="X633" s="285"/>
      <c r="Y633" s="285"/>
      <c r="Z633" s="285"/>
    </row>
    <row r="634" ht="12.75" customHeight="1">
      <c r="A634" s="285"/>
      <c r="B634" s="75"/>
      <c r="C634" s="75"/>
      <c r="D634" s="321"/>
      <c r="E634" s="321"/>
      <c r="F634" s="322"/>
      <c r="G634" s="75"/>
      <c r="H634" s="321"/>
      <c r="I634" s="321"/>
      <c r="J634" s="323"/>
      <c r="K634" s="324"/>
      <c r="L634" s="285"/>
      <c r="M634" s="285"/>
      <c r="N634" s="285"/>
      <c r="O634" s="325"/>
      <c r="P634" s="285"/>
      <c r="Q634" s="325"/>
      <c r="R634" s="325"/>
      <c r="S634" s="285"/>
      <c r="T634" s="285"/>
      <c r="U634" s="285"/>
      <c r="V634" s="285"/>
      <c r="W634" s="285"/>
      <c r="X634" s="285"/>
      <c r="Y634" s="285"/>
      <c r="Z634" s="285"/>
    </row>
    <row r="635" ht="12.75" customHeight="1">
      <c r="A635" s="285"/>
      <c r="B635" s="75"/>
      <c r="C635" s="75"/>
      <c r="D635" s="321"/>
      <c r="E635" s="321"/>
      <c r="F635" s="322"/>
      <c r="G635" s="75"/>
      <c r="H635" s="321"/>
      <c r="I635" s="321"/>
      <c r="J635" s="323"/>
      <c r="K635" s="324"/>
      <c r="L635" s="285"/>
      <c r="M635" s="285"/>
      <c r="N635" s="285"/>
      <c r="O635" s="325"/>
      <c r="P635" s="285"/>
      <c r="Q635" s="325"/>
      <c r="R635" s="325"/>
      <c r="S635" s="285"/>
      <c r="T635" s="285"/>
      <c r="U635" s="285"/>
      <c r="V635" s="285"/>
      <c r="W635" s="285"/>
      <c r="X635" s="285"/>
      <c r="Y635" s="285"/>
      <c r="Z635" s="285"/>
    </row>
    <row r="636" ht="12.75" customHeight="1">
      <c r="A636" s="285"/>
      <c r="B636" s="75"/>
      <c r="C636" s="75"/>
      <c r="D636" s="321"/>
      <c r="E636" s="321"/>
      <c r="F636" s="322"/>
      <c r="G636" s="75"/>
      <c r="H636" s="321"/>
      <c r="I636" s="321"/>
      <c r="J636" s="323"/>
      <c r="K636" s="324"/>
      <c r="L636" s="285"/>
      <c r="M636" s="285"/>
      <c r="N636" s="285"/>
      <c r="O636" s="325"/>
      <c r="P636" s="285"/>
      <c r="Q636" s="325"/>
      <c r="R636" s="325"/>
      <c r="S636" s="285"/>
      <c r="T636" s="285"/>
      <c r="U636" s="285"/>
      <c r="V636" s="285"/>
      <c r="W636" s="285"/>
      <c r="X636" s="285"/>
      <c r="Y636" s="285"/>
      <c r="Z636" s="285"/>
    </row>
    <row r="637" ht="12.75" customHeight="1">
      <c r="A637" s="285"/>
      <c r="B637" s="75"/>
      <c r="C637" s="75"/>
      <c r="D637" s="321"/>
      <c r="E637" s="321"/>
      <c r="F637" s="322"/>
      <c r="G637" s="75"/>
      <c r="H637" s="321"/>
      <c r="I637" s="321"/>
      <c r="J637" s="323"/>
      <c r="K637" s="324"/>
      <c r="L637" s="285"/>
      <c r="M637" s="285"/>
      <c r="N637" s="285"/>
      <c r="O637" s="325"/>
      <c r="P637" s="285"/>
      <c r="Q637" s="325"/>
      <c r="R637" s="325"/>
      <c r="S637" s="285"/>
      <c r="T637" s="285"/>
      <c r="U637" s="285"/>
      <c r="V637" s="285"/>
      <c r="W637" s="285"/>
      <c r="X637" s="285"/>
      <c r="Y637" s="285"/>
      <c r="Z637" s="285"/>
    </row>
    <row r="638" ht="12.75" customHeight="1">
      <c r="A638" s="285"/>
      <c r="B638" s="75"/>
      <c r="C638" s="75"/>
      <c r="D638" s="321"/>
      <c r="E638" s="321"/>
      <c r="F638" s="322"/>
      <c r="G638" s="75"/>
      <c r="H638" s="321"/>
      <c r="I638" s="321"/>
      <c r="J638" s="323"/>
      <c r="K638" s="324"/>
      <c r="L638" s="285"/>
      <c r="M638" s="285"/>
      <c r="N638" s="285"/>
      <c r="O638" s="325"/>
      <c r="P638" s="285"/>
      <c r="Q638" s="325"/>
      <c r="R638" s="325"/>
      <c r="S638" s="285"/>
      <c r="T638" s="285"/>
      <c r="U638" s="285"/>
      <c r="V638" s="285"/>
      <c r="W638" s="285"/>
      <c r="X638" s="285"/>
      <c r="Y638" s="285"/>
      <c r="Z638" s="285"/>
    </row>
    <row r="639" ht="12.75" customHeight="1">
      <c r="A639" s="285"/>
      <c r="B639" s="75"/>
      <c r="C639" s="75"/>
      <c r="D639" s="321"/>
      <c r="E639" s="321"/>
      <c r="F639" s="322"/>
      <c r="G639" s="75"/>
      <c r="H639" s="321"/>
      <c r="I639" s="321"/>
      <c r="J639" s="323"/>
      <c r="K639" s="324"/>
      <c r="L639" s="285"/>
      <c r="M639" s="285"/>
      <c r="N639" s="285"/>
      <c r="O639" s="325"/>
      <c r="P639" s="285"/>
      <c r="Q639" s="325"/>
      <c r="R639" s="325"/>
      <c r="S639" s="285"/>
      <c r="T639" s="285"/>
      <c r="U639" s="285"/>
      <c r="V639" s="285"/>
      <c r="W639" s="285"/>
      <c r="X639" s="285"/>
      <c r="Y639" s="285"/>
      <c r="Z639" s="285"/>
    </row>
    <row r="640" ht="12.75" customHeight="1">
      <c r="A640" s="285"/>
      <c r="B640" s="75"/>
      <c r="C640" s="75"/>
      <c r="D640" s="321"/>
      <c r="E640" s="321"/>
      <c r="F640" s="322"/>
      <c r="G640" s="75"/>
      <c r="H640" s="321"/>
      <c r="I640" s="321"/>
      <c r="J640" s="323"/>
      <c r="K640" s="324"/>
      <c r="L640" s="285"/>
      <c r="M640" s="285"/>
      <c r="N640" s="285"/>
      <c r="O640" s="325"/>
      <c r="P640" s="285"/>
      <c r="Q640" s="325"/>
      <c r="R640" s="325"/>
      <c r="S640" s="285"/>
      <c r="T640" s="285"/>
      <c r="U640" s="285"/>
      <c r="V640" s="285"/>
      <c r="W640" s="285"/>
      <c r="X640" s="285"/>
      <c r="Y640" s="285"/>
      <c r="Z640" s="285"/>
    </row>
    <row r="641" ht="12.75" customHeight="1">
      <c r="A641" s="285"/>
      <c r="B641" s="75"/>
      <c r="C641" s="75"/>
      <c r="D641" s="321"/>
      <c r="E641" s="321"/>
      <c r="F641" s="322"/>
      <c r="G641" s="75"/>
      <c r="H641" s="321"/>
      <c r="I641" s="321"/>
      <c r="J641" s="323"/>
      <c r="K641" s="324"/>
      <c r="L641" s="285"/>
      <c r="M641" s="285"/>
      <c r="N641" s="285"/>
      <c r="O641" s="325"/>
      <c r="P641" s="285"/>
      <c r="Q641" s="325"/>
      <c r="R641" s="325"/>
      <c r="S641" s="285"/>
      <c r="T641" s="285"/>
      <c r="U641" s="285"/>
      <c r="V641" s="285"/>
      <c r="W641" s="285"/>
      <c r="X641" s="285"/>
      <c r="Y641" s="285"/>
      <c r="Z641" s="285"/>
    </row>
    <row r="642" ht="12.75" customHeight="1">
      <c r="A642" s="285"/>
      <c r="B642" s="75"/>
      <c r="C642" s="75"/>
      <c r="D642" s="321"/>
      <c r="E642" s="321"/>
      <c r="F642" s="322"/>
      <c r="G642" s="75"/>
      <c r="H642" s="321"/>
      <c r="I642" s="321"/>
      <c r="J642" s="323"/>
      <c r="K642" s="324"/>
      <c r="L642" s="285"/>
      <c r="M642" s="285"/>
      <c r="N642" s="285"/>
      <c r="O642" s="325"/>
      <c r="P642" s="285"/>
      <c r="Q642" s="325"/>
      <c r="R642" s="325"/>
      <c r="S642" s="285"/>
      <c r="T642" s="285"/>
      <c r="U642" s="285"/>
      <c r="V642" s="285"/>
      <c r="W642" s="285"/>
      <c r="X642" s="285"/>
      <c r="Y642" s="285"/>
      <c r="Z642" s="285"/>
    </row>
    <row r="643" ht="12.75" customHeight="1">
      <c r="A643" s="285"/>
      <c r="B643" s="75"/>
      <c r="C643" s="75"/>
      <c r="D643" s="321"/>
      <c r="E643" s="321"/>
      <c r="F643" s="322"/>
      <c r="G643" s="75"/>
      <c r="H643" s="321"/>
      <c r="I643" s="321"/>
      <c r="J643" s="323"/>
      <c r="K643" s="324"/>
      <c r="L643" s="285"/>
      <c r="M643" s="285"/>
      <c r="N643" s="285"/>
      <c r="O643" s="325"/>
      <c r="P643" s="285"/>
      <c r="Q643" s="325"/>
      <c r="R643" s="325"/>
      <c r="S643" s="285"/>
      <c r="T643" s="285"/>
      <c r="U643" s="285"/>
      <c r="V643" s="285"/>
      <c r="W643" s="285"/>
      <c r="X643" s="285"/>
      <c r="Y643" s="285"/>
      <c r="Z643" s="285"/>
    </row>
    <row r="644" ht="12.75" customHeight="1">
      <c r="A644" s="285"/>
      <c r="B644" s="75"/>
      <c r="C644" s="75"/>
      <c r="D644" s="321"/>
      <c r="E644" s="321"/>
      <c r="F644" s="322"/>
      <c r="G644" s="75"/>
      <c r="H644" s="321"/>
      <c r="I644" s="321"/>
      <c r="J644" s="323"/>
      <c r="K644" s="324"/>
      <c r="L644" s="285"/>
      <c r="M644" s="285"/>
      <c r="N644" s="285"/>
      <c r="O644" s="325"/>
      <c r="P644" s="285"/>
      <c r="Q644" s="325"/>
      <c r="R644" s="325"/>
      <c r="S644" s="285"/>
      <c r="T644" s="285"/>
      <c r="U644" s="285"/>
      <c r="V644" s="285"/>
      <c r="W644" s="285"/>
      <c r="X644" s="285"/>
      <c r="Y644" s="285"/>
      <c r="Z644" s="285"/>
    </row>
    <row r="645" ht="12.75" customHeight="1">
      <c r="A645" s="285"/>
      <c r="B645" s="75"/>
      <c r="C645" s="75"/>
      <c r="D645" s="321"/>
      <c r="E645" s="321"/>
      <c r="F645" s="322"/>
      <c r="G645" s="75"/>
      <c r="H645" s="321"/>
      <c r="I645" s="321"/>
      <c r="J645" s="323"/>
      <c r="K645" s="324"/>
      <c r="L645" s="285"/>
      <c r="M645" s="285"/>
      <c r="N645" s="285"/>
      <c r="O645" s="325"/>
      <c r="P645" s="285"/>
      <c r="Q645" s="325"/>
      <c r="R645" s="325"/>
      <c r="S645" s="285"/>
      <c r="T645" s="285"/>
      <c r="U645" s="285"/>
      <c r="V645" s="285"/>
      <c r="W645" s="285"/>
      <c r="X645" s="285"/>
      <c r="Y645" s="285"/>
      <c r="Z645" s="285"/>
    </row>
    <row r="646" ht="12.75" customHeight="1">
      <c r="A646" s="285"/>
      <c r="B646" s="75"/>
      <c r="C646" s="75"/>
      <c r="D646" s="321"/>
      <c r="E646" s="321"/>
      <c r="F646" s="322"/>
      <c r="G646" s="75"/>
      <c r="H646" s="321"/>
      <c r="I646" s="321"/>
      <c r="J646" s="323"/>
      <c r="K646" s="324"/>
      <c r="L646" s="285"/>
      <c r="M646" s="285"/>
      <c r="N646" s="285"/>
      <c r="O646" s="325"/>
      <c r="P646" s="285"/>
      <c r="Q646" s="325"/>
      <c r="R646" s="325"/>
      <c r="S646" s="285"/>
      <c r="T646" s="285"/>
      <c r="U646" s="285"/>
      <c r="V646" s="285"/>
      <c r="W646" s="285"/>
      <c r="X646" s="285"/>
      <c r="Y646" s="285"/>
      <c r="Z646" s="285"/>
    </row>
    <row r="647" ht="12.75" customHeight="1">
      <c r="A647" s="285"/>
      <c r="B647" s="75"/>
      <c r="C647" s="75"/>
      <c r="D647" s="321"/>
      <c r="E647" s="321"/>
      <c r="F647" s="322"/>
      <c r="G647" s="75"/>
      <c r="H647" s="321"/>
      <c r="I647" s="321"/>
      <c r="J647" s="323"/>
      <c r="K647" s="324"/>
      <c r="L647" s="285"/>
      <c r="M647" s="285"/>
      <c r="N647" s="285"/>
      <c r="O647" s="325"/>
      <c r="P647" s="285"/>
      <c r="Q647" s="325"/>
      <c r="R647" s="325"/>
      <c r="S647" s="285"/>
      <c r="T647" s="285"/>
      <c r="U647" s="285"/>
      <c r="V647" s="285"/>
      <c r="W647" s="285"/>
      <c r="X647" s="285"/>
      <c r="Y647" s="285"/>
      <c r="Z647" s="285"/>
    </row>
    <row r="648" ht="12.75" customHeight="1">
      <c r="A648" s="285"/>
      <c r="B648" s="75"/>
      <c r="C648" s="75"/>
      <c r="D648" s="321"/>
      <c r="E648" s="321"/>
      <c r="F648" s="322"/>
      <c r="G648" s="75"/>
      <c r="H648" s="321"/>
      <c r="I648" s="321"/>
      <c r="J648" s="323"/>
      <c r="K648" s="324"/>
      <c r="L648" s="285"/>
      <c r="M648" s="285"/>
      <c r="N648" s="285"/>
      <c r="O648" s="325"/>
      <c r="P648" s="285"/>
      <c r="Q648" s="325"/>
      <c r="R648" s="325"/>
      <c r="S648" s="285"/>
      <c r="T648" s="285"/>
      <c r="U648" s="285"/>
      <c r="V648" s="285"/>
      <c r="W648" s="285"/>
      <c r="X648" s="285"/>
      <c r="Y648" s="285"/>
      <c r="Z648" s="285"/>
    </row>
    <row r="649" ht="12.75" customHeight="1">
      <c r="A649" s="285"/>
      <c r="B649" s="75"/>
      <c r="C649" s="75"/>
      <c r="D649" s="321"/>
      <c r="E649" s="321"/>
      <c r="F649" s="322"/>
      <c r="G649" s="75"/>
      <c r="H649" s="321"/>
      <c r="I649" s="321"/>
      <c r="J649" s="323"/>
      <c r="K649" s="324"/>
      <c r="L649" s="285"/>
      <c r="M649" s="285"/>
      <c r="N649" s="285"/>
      <c r="O649" s="325"/>
      <c r="P649" s="285"/>
      <c r="Q649" s="325"/>
      <c r="R649" s="325"/>
      <c r="S649" s="285"/>
      <c r="T649" s="285"/>
      <c r="U649" s="285"/>
      <c r="V649" s="285"/>
      <c r="W649" s="285"/>
      <c r="X649" s="285"/>
      <c r="Y649" s="285"/>
      <c r="Z649" s="285"/>
    </row>
    <row r="650" ht="12.75" customHeight="1">
      <c r="A650" s="285"/>
      <c r="B650" s="75"/>
      <c r="C650" s="75"/>
      <c r="D650" s="321"/>
      <c r="E650" s="321"/>
      <c r="F650" s="322"/>
      <c r="G650" s="75"/>
      <c r="H650" s="321"/>
      <c r="I650" s="321"/>
      <c r="J650" s="323"/>
      <c r="K650" s="324"/>
      <c r="L650" s="285"/>
      <c r="M650" s="285"/>
      <c r="N650" s="285"/>
      <c r="O650" s="325"/>
      <c r="P650" s="285"/>
      <c r="Q650" s="325"/>
      <c r="R650" s="325"/>
      <c r="S650" s="285"/>
      <c r="T650" s="285"/>
      <c r="U650" s="285"/>
      <c r="V650" s="285"/>
      <c r="W650" s="285"/>
      <c r="X650" s="285"/>
      <c r="Y650" s="285"/>
      <c r="Z650" s="285"/>
    </row>
    <row r="651" ht="12.75" customHeight="1">
      <c r="A651" s="285"/>
      <c r="B651" s="75"/>
      <c r="C651" s="75"/>
      <c r="D651" s="321"/>
      <c r="E651" s="321"/>
      <c r="F651" s="322"/>
      <c r="G651" s="75"/>
      <c r="H651" s="321"/>
      <c r="I651" s="321"/>
      <c r="J651" s="323"/>
      <c r="K651" s="324"/>
      <c r="L651" s="285"/>
      <c r="M651" s="285"/>
      <c r="N651" s="285"/>
      <c r="O651" s="325"/>
      <c r="P651" s="285"/>
      <c r="Q651" s="325"/>
      <c r="R651" s="325"/>
      <c r="S651" s="285"/>
      <c r="T651" s="285"/>
      <c r="U651" s="285"/>
      <c r="V651" s="285"/>
      <c r="W651" s="285"/>
      <c r="X651" s="285"/>
      <c r="Y651" s="285"/>
      <c r="Z651" s="285"/>
    </row>
    <row r="652" ht="12.75" customHeight="1">
      <c r="A652" s="285"/>
      <c r="B652" s="75"/>
      <c r="C652" s="75"/>
      <c r="D652" s="321"/>
      <c r="E652" s="321"/>
      <c r="F652" s="322"/>
      <c r="G652" s="75"/>
      <c r="H652" s="321"/>
      <c r="I652" s="321"/>
      <c r="J652" s="323"/>
      <c r="K652" s="324"/>
      <c r="L652" s="285"/>
      <c r="M652" s="285"/>
      <c r="N652" s="285"/>
      <c r="O652" s="325"/>
      <c r="P652" s="285"/>
      <c r="Q652" s="325"/>
      <c r="R652" s="325"/>
      <c r="S652" s="285"/>
      <c r="T652" s="285"/>
      <c r="U652" s="285"/>
      <c r="V652" s="285"/>
      <c r="W652" s="285"/>
      <c r="X652" s="285"/>
      <c r="Y652" s="285"/>
      <c r="Z652" s="285"/>
    </row>
    <row r="653" ht="12.75" customHeight="1">
      <c r="A653" s="285"/>
      <c r="B653" s="75"/>
      <c r="C653" s="75"/>
      <c r="D653" s="321"/>
      <c r="E653" s="321"/>
      <c r="F653" s="322"/>
      <c r="G653" s="75"/>
      <c r="H653" s="321"/>
      <c r="I653" s="321"/>
      <c r="J653" s="323"/>
      <c r="K653" s="324"/>
      <c r="L653" s="285"/>
      <c r="M653" s="285"/>
      <c r="N653" s="285"/>
      <c r="O653" s="325"/>
      <c r="P653" s="285"/>
      <c r="Q653" s="325"/>
      <c r="R653" s="325"/>
      <c r="S653" s="285"/>
      <c r="T653" s="285"/>
      <c r="U653" s="285"/>
      <c r="V653" s="285"/>
      <c r="W653" s="285"/>
      <c r="X653" s="285"/>
      <c r="Y653" s="285"/>
      <c r="Z653" s="285"/>
    </row>
    <row r="654" ht="12.75" customHeight="1">
      <c r="A654" s="285"/>
      <c r="B654" s="75"/>
      <c r="C654" s="75"/>
      <c r="D654" s="321"/>
      <c r="E654" s="321"/>
      <c r="F654" s="322"/>
      <c r="G654" s="75"/>
      <c r="H654" s="321"/>
      <c r="I654" s="321"/>
      <c r="J654" s="323"/>
      <c r="K654" s="324"/>
      <c r="L654" s="285"/>
      <c r="M654" s="285"/>
      <c r="N654" s="285"/>
      <c r="O654" s="325"/>
      <c r="P654" s="285"/>
      <c r="Q654" s="325"/>
      <c r="R654" s="325"/>
      <c r="S654" s="285"/>
      <c r="T654" s="285"/>
      <c r="U654" s="285"/>
      <c r="V654" s="285"/>
      <c r="W654" s="285"/>
      <c r="X654" s="285"/>
      <c r="Y654" s="285"/>
      <c r="Z654" s="285"/>
    </row>
    <row r="655" ht="12.75" customHeight="1">
      <c r="A655" s="285"/>
      <c r="B655" s="75"/>
      <c r="C655" s="75"/>
      <c r="D655" s="321"/>
      <c r="E655" s="321"/>
      <c r="F655" s="322"/>
      <c r="G655" s="75"/>
      <c r="H655" s="321"/>
      <c r="I655" s="321"/>
      <c r="J655" s="323"/>
      <c r="K655" s="324"/>
      <c r="L655" s="285"/>
      <c r="M655" s="285"/>
      <c r="N655" s="285"/>
      <c r="O655" s="325"/>
      <c r="P655" s="285"/>
      <c r="Q655" s="325"/>
      <c r="R655" s="325"/>
      <c r="S655" s="285"/>
      <c r="T655" s="285"/>
      <c r="U655" s="285"/>
      <c r="V655" s="285"/>
      <c r="W655" s="285"/>
      <c r="X655" s="285"/>
      <c r="Y655" s="285"/>
      <c r="Z655" s="285"/>
    </row>
    <row r="656" ht="12.75" customHeight="1">
      <c r="A656" s="285"/>
      <c r="B656" s="75"/>
      <c r="C656" s="75"/>
      <c r="D656" s="321"/>
      <c r="E656" s="321"/>
      <c r="F656" s="322"/>
      <c r="G656" s="75"/>
      <c r="H656" s="321"/>
      <c r="I656" s="321"/>
      <c r="J656" s="323"/>
      <c r="K656" s="324"/>
      <c r="L656" s="285"/>
      <c r="M656" s="285"/>
      <c r="N656" s="285"/>
      <c r="O656" s="325"/>
      <c r="P656" s="285"/>
      <c r="Q656" s="325"/>
      <c r="R656" s="325"/>
      <c r="S656" s="285"/>
      <c r="T656" s="285"/>
      <c r="U656" s="285"/>
      <c r="V656" s="285"/>
      <c r="W656" s="285"/>
      <c r="X656" s="285"/>
      <c r="Y656" s="285"/>
      <c r="Z656" s="285"/>
    </row>
    <row r="657" ht="12.75" customHeight="1">
      <c r="A657" s="285"/>
      <c r="B657" s="75"/>
      <c r="C657" s="75"/>
      <c r="D657" s="321"/>
      <c r="E657" s="321"/>
      <c r="F657" s="322"/>
      <c r="G657" s="75"/>
      <c r="H657" s="321"/>
      <c r="I657" s="321"/>
      <c r="J657" s="323"/>
      <c r="K657" s="324"/>
      <c r="L657" s="285"/>
      <c r="M657" s="285"/>
      <c r="N657" s="285"/>
      <c r="O657" s="325"/>
      <c r="P657" s="285"/>
      <c r="Q657" s="325"/>
      <c r="R657" s="325"/>
      <c r="S657" s="285"/>
      <c r="T657" s="285"/>
      <c r="U657" s="285"/>
      <c r="V657" s="285"/>
      <c r="W657" s="285"/>
      <c r="X657" s="285"/>
      <c r="Y657" s="285"/>
      <c r="Z657" s="285"/>
    </row>
    <row r="658" ht="12.75" customHeight="1">
      <c r="A658" s="285"/>
      <c r="B658" s="75"/>
      <c r="C658" s="75"/>
      <c r="D658" s="321"/>
      <c r="E658" s="321"/>
      <c r="F658" s="322"/>
      <c r="G658" s="75"/>
      <c r="H658" s="321"/>
      <c r="I658" s="321"/>
      <c r="J658" s="323"/>
      <c r="K658" s="324"/>
      <c r="L658" s="285"/>
      <c r="M658" s="285"/>
      <c r="N658" s="285"/>
      <c r="O658" s="325"/>
      <c r="P658" s="285"/>
      <c r="Q658" s="325"/>
      <c r="R658" s="325"/>
      <c r="S658" s="285"/>
      <c r="T658" s="285"/>
      <c r="U658" s="285"/>
      <c r="V658" s="285"/>
      <c r="W658" s="285"/>
      <c r="X658" s="285"/>
      <c r="Y658" s="285"/>
      <c r="Z658" s="285"/>
    </row>
    <row r="659" ht="12.75" customHeight="1">
      <c r="A659" s="285"/>
      <c r="B659" s="75"/>
      <c r="C659" s="75"/>
      <c r="D659" s="321"/>
      <c r="E659" s="321"/>
      <c r="F659" s="322"/>
      <c r="G659" s="75"/>
      <c r="H659" s="321"/>
      <c r="I659" s="321"/>
      <c r="J659" s="323"/>
      <c r="K659" s="324"/>
      <c r="L659" s="285"/>
      <c r="M659" s="285"/>
      <c r="N659" s="285"/>
      <c r="O659" s="325"/>
      <c r="P659" s="285"/>
      <c r="Q659" s="325"/>
      <c r="R659" s="325"/>
      <c r="S659" s="285"/>
      <c r="T659" s="285"/>
      <c r="U659" s="285"/>
      <c r="V659" s="285"/>
      <c r="W659" s="285"/>
      <c r="X659" s="285"/>
      <c r="Y659" s="285"/>
      <c r="Z659" s="285"/>
    </row>
    <row r="660" ht="12.75" customHeight="1">
      <c r="A660" s="285"/>
      <c r="B660" s="75"/>
      <c r="C660" s="75"/>
      <c r="D660" s="321"/>
      <c r="E660" s="321"/>
      <c r="F660" s="322"/>
      <c r="G660" s="75"/>
      <c r="H660" s="321"/>
      <c r="I660" s="321"/>
      <c r="J660" s="323"/>
      <c r="K660" s="324"/>
      <c r="L660" s="285"/>
      <c r="M660" s="285"/>
      <c r="N660" s="285"/>
      <c r="O660" s="325"/>
      <c r="P660" s="285"/>
      <c r="Q660" s="325"/>
      <c r="R660" s="325"/>
      <c r="S660" s="285"/>
      <c r="T660" s="285"/>
      <c r="U660" s="285"/>
      <c r="V660" s="285"/>
      <c r="W660" s="285"/>
      <c r="X660" s="285"/>
      <c r="Y660" s="285"/>
      <c r="Z660" s="285"/>
    </row>
    <row r="661" ht="12.75" customHeight="1">
      <c r="A661" s="285"/>
      <c r="B661" s="75"/>
      <c r="C661" s="75"/>
      <c r="D661" s="321"/>
      <c r="E661" s="321"/>
      <c r="F661" s="322"/>
      <c r="G661" s="75"/>
      <c r="H661" s="321"/>
      <c r="I661" s="321"/>
      <c r="J661" s="323"/>
      <c r="K661" s="324"/>
      <c r="L661" s="285"/>
      <c r="M661" s="285"/>
      <c r="N661" s="285"/>
      <c r="O661" s="325"/>
      <c r="P661" s="285"/>
      <c r="Q661" s="325"/>
      <c r="R661" s="325"/>
      <c r="S661" s="285"/>
      <c r="T661" s="285"/>
      <c r="U661" s="285"/>
      <c r="V661" s="285"/>
      <c r="W661" s="285"/>
      <c r="X661" s="285"/>
      <c r="Y661" s="285"/>
      <c r="Z661" s="285"/>
    </row>
    <row r="662" ht="12.75" customHeight="1">
      <c r="A662" s="285"/>
      <c r="B662" s="75"/>
      <c r="C662" s="75"/>
      <c r="D662" s="321"/>
      <c r="E662" s="321"/>
      <c r="F662" s="322"/>
      <c r="G662" s="75"/>
      <c r="H662" s="321"/>
      <c r="I662" s="321"/>
      <c r="J662" s="323"/>
      <c r="K662" s="324"/>
      <c r="L662" s="285"/>
      <c r="M662" s="285"/>
      <c r="N662" s="285"/>
      <c r="O662" s="325"/>
      <c r="P662" s="285"/>
      <c r="Q662" s="325"/>
      <c r="R662" s="325"/>
      <c r="S662" s="285"/>
      <c r="T662" s="285"/>
      <c r="U662" s="285"/>
      <c r="V662" s="285"/>
      <c r="W662" s="285"/>
      <c r="X662" s="285"/>
      <c r="Y662" s="285"/>
      <c r="Z662" s="285"/>
    </row>
    <row r="663" ht="12.75" customHeight="1">
      <c r="A663" s="285"/>
      <c r="B663" s="75"/>
      <c r="C663" s="75"/>
      <c r="D663" s="321"/>
      <c r="E663" s="321"/>
      <c r="F663" s="322"/>
      <c r="G663" s="75"/>
      <c r="H663" s="321"/>
      <c r="I663" s="321"/>
      <c r="J663" s="323"/>
      <c r="K663" s="324"/>
      <c r="L663" s="285"/>
      <c r="M663" s="285"/>
      <c r="N663" s="285"/>
      <c r="O663" s="325"/>
      <c r="P663" s="285"/>
      <c r="Q663" s="325"/>
      <c r="R663" s="325"/>
      <c r="S663" s="285"/>
      <c r="T663" s="285"/>
      <c r="U663" s="285"/>
      <c r="V663" s="285"/>
      <c r="W663" s="285"/>
      <c r="X663" s="285"/>
      <c r="Y663" s="285"/>
      <c r="Z663" s="285"/>
    </row>
    <row r="664" ht="12.75" customHeight="1">
      <c r="A664" s="285"/>
      <c r="B664" s="75"/>
      <c r="C664" s="75"/>
      <c r="D664" s="321"/>
      <c r="E664" s="321"/>
      <c r="F664" s="322"/>
      <c r="G664" s="75"/>
      <c r="H664" s="321"/>
      <c r="I664" s="321"/>
      <c r="J664" s="323"/>
      <c r="K664" s="324"/>
      <c r="L664" s="285"/>
      <c r="M664" s="285"/>
      <c r="N664" s="285"/>
      <c r="O664" s="325"/>
      <c r="P664" s="285"/>
      <c r="Q664" s="325"/>
      <c r="R664" s="325"/>
      <c r="S664" s="285"/>
      <c r="T664" s="285"/>
      <c r="U664" s="285"/>
      <c r="V664" s="285"/>
      <c r="W664" s="285"/>
      <c r="X664" s="285"/>
      <c r="Y664" s="285"/>
      <c r="Z664" s="285"/>
    </row>
    <row r="665" ht="12.75" customHeight="1">
      <c r="A665" s="285"/>
      <c r="B665" s="75"/>
      <c r="C665" s="75"/>
      <c r="D665" s="321"/>
      <c r="E665" s="321"/>
      <c r="F665" s="322"/>
      <c r="G665" s="75"/>
      <c r="H665" s="321"/>
      <c r="I665" s="321"/>
      <c r="J665" s="323"/>
      <c r="K665" s="324"/>
      <c r="L665" s="285"/>
      <c r="M665" s="285"/>
      <c r="N665" s="285"/>
      <c r="O665" s="325"/>
      <c r="P665" s="285"/>
      <c r="Q665" s="325"/>
      <c r="R665" s="325"/>
      <c r="S665" s="285"/>
      <c r="T665" s="285"/>
      <c r="U665" s="285"/>
      <c r="V665" s="285"/>
      <c r="W665" s="285"/>
      <c r="X665" s="285"/>
      <c r="Y665" s="285"/>
      <c r="Z665" s="285"/>
    </row>
    <row r="666" ht="12.75" customHeight="1">
      <c r="A666" s="285"/>
      <c r="B666" s="75"/>
      <c r="C666" s="75"/>
      <c r="D666" s="321"/>
      <c r="E666" s="321"/>
      <c r="F666" s="322"/>
      <c r="G666" s="75"/>
      <c r="H666" s="321"/>
      <c r="I666" s="321"/>
      <c r="J666" s="323"/>
      <c r="K666" s="324"/>
      <c r="L666" s="285"/>
      <c r="M666" s="285"/>
      <c r="N666" s="285"/>
      <c r="O666" s="325"/>
      <c r="P666" s="285"/>
      <c r="Q666" s="325"/>
      <c r="R666" s="325"/>
      <c r="S666" s="285"/>
      <c r="T666" s="285"/>
      <c r="U666" s="285"/>
      <c r="V666" s="285"/>
      <c r="W666" s="285"/>
      <c r="X666" s="285"/>
      <c r="Y666" s="285"/>
      <c r="Z666" s="285"/>
    </row>
    <row r="667" ht="12.75" customHeight="1">
      <c r="A667" s="285"/>
      <c r="B667" s="75"/>
      <c r="C667" s="75"/>
      <c r="D667" s="321"/>
      <c r="E667" s="321"/>
      <c r="F667" s="322"/>
      <c r="G667" s="75"/>
      <c r="H667" s="321"/>
      <c r="I667" s="321"/>
      <c r="J667" s="323"/>
      <c r="K667" s="324"/>
      <c r="L667" s="285"/>
      <c r="M667" s="285"/>
      <c r="N667" s="285"/>
      <c r="O667" s="325"/>
      <c r="P667" s="285"/>
      <c r="Q667" s="325"/>
      <c r="R667" s="325"/>
      <c r="S667" s="285"/>
      <c r="T667" s="285"/>
      <c r="U667" s="285"/>
      <c r="V667" s="285"/>
      <c r="W667" s="285"/>
      <c r="X667" s="285"/>
      <c r="Y667" s="285"/>
      <c r="Z667" s="285"/>
    </row>
    <row r="668" ht="12.75" customHeight="1">
      <c r="A668" s="285"/>
      <c r="B668" s="75"/>
      <c r="C668" s="75"/>
      <c r="D668" s="321"/>
      <c r="E668" s="321"/>
      <c r="F668" s="322"/>
      <c r="G668" s="75"/>
      <c r="H668" s="321"/>
      <c r="I668" s="321"/>
      <c r="J668" s="323"/>
      <c r="K668" s="324"/>
      <c r="L668" s="285"/>
      <c r="M668" s="285"/>
      <c r="N668" s="285"/>
      <c r="O668" s="325"/>
      <c r="P668" s="285"/>
      <c r="Q668" s="325"/>
      <c r="R668" s="325"/>
      <c r="S668" s="285"/>
      <c r="T668" s="285"/>
      <c r="U668" s="285"/>
      <c r="V668" s="285"/>
      <c r="W668" s="285"/>
      <c r="X668" s="285"/>
      <c r="Y668" s="285"/>
      <c r="Z668" s="285"/>
    </row>
    <row r="669" ht="12.75" customHeight="1">
      <c r="A669" s="285"/>
      <c r="B669" s="75"/>
      <c r="C669" s="75"/>
      <c r="D669" s="321"/>
      <c r="E669" s="321"/>
      <c r="F669" s="322"/>
      <c r="G669" s="75"/>
      <c r="H669" s="321"/>
      <c r="I669" s="321"/>
      <c r="J669" s="323"/>
      <c r="K669" s="324"/>
      <c r="L669" s="285"/>
      <c r="M669" s="285"/>
      <c r="N669" s="285"/>
      <c r="O669" s="325"/>
      <c r="P669" s="285"/>
      <c r="Q669" s="325"/>
      <c r="R669" s="325"/>
      <c r="S669" s="285"/>
      <c r="T669" s="285"/>
      <c r="U669" s="285"/>
      <c r="V669" s="285"/>
      <c r="W669" s="285"/>
      <c r="X669" s="285"/>
      <c r="Y669" s="285"/>
      <c r="Z669" s="285"/>
    </row>
    <row r="670" ht="12.75" customHeight="1">
      <c r="A670" s="285"/>
      <c r="B670" s="75"/>
      <c r="C670" s="75"/>
      <c r="D670" s="321"/>
      <c r="E670" s="321"/>
      <c r="F670" s="322"/>
      <c r="G670" s="75"/>
      <c r="H670" s="321"/>
      <c r="I670" s="321"/>
      <c r="J670" s="323"/>
      <c r="K670" s="324"/>
      <c r="L670" s="285"/>
      <c r="M670" s="285"/>
      <c r="N670" s="285"/>
      <c r="O670" s="325"/>
      <c r="P670" s="285"/>
      <c r="Q670" s="325"/>
      <c r="R670" s="325"/>
      <c r="S670" s="285"/>
      <c r="T670" s="285"/>
      <c r="U670" s="285"/>
      <c r="V670" s="285"/>
      <c r="W670" s="285"/>
      <c r="X670" s="285"/>
      <c r="Y670" s="285"/>
      <c r="Z670" s="285"/>
    </row>
    <row r="671" ht="12.75" customHeight="1">
      <c r="A671" s="285"/>
      <c r="B671" s="75"/>
      <c r="C671" s="75"/>
      <c r="D671" s="321"/>
      <c r="E671" s="321"/>
      <c r="F671" s="322"/>
      <c r="G671" s="75"/>
      <c r="H671" s="321"/>
      <c r="I671" s="321"/>
      <c r="J671" s="323"/>
      <c r="K671" s="324"/>
      <c r="L671" s="285"/>
      <c r="M671" s="285"/>
      <c r="N671" s="285"/>
      <c r="O671" s="325"/>
      <c r="P671" s="285"/>
      <c r="Q671" s="325"/>
      <c r="R671" s="325"/>
      <c r="S671" s="285"/>
      <c r="T671" s="285"/>
      <c r="U671" s="285"/>
      <c r="V671" s="285"/>
      <c r="W671" s="285"/>
      <c r="X671" s="285"/>
      <c r="Y671" s="285"/>
      <c r="Z671" s="285"/>
    </row>
    <row r="672" ht="12.75" customHeight="1">
      <c r="A672" s="285"/>
      <c r="B672" s="75"/>
      <c r="C672" s="75"/>
      <c r="D672" s="321"/>
      <c r="E672" s="321"/>
      <c r="F672" s="322"/>
      <c r="G672" s="75"/>
      <c r="H672" s="321"/>
      <c r="I672" s="321"/>
      <c r="J672" s="323"/>
      <c r="K672" s="324"/>
      <c r="L672" s="285"/>
      <c r="M672" s="285"/>
      <c r="N672" s="285"/>
      <c r="O672" s="325"/>
      <c r="P672" s="285"/>
      <c r="Q672" s="325"/>
      <c r="R672" s="325"/>
      <c r="S672" s="285"/>
      <c r="T672" s="285"/>
      <c r="U672" s="285"/>
      <c r="V672" s="285"/>
      <c r="W672" s="285"/>
      <c r="X672" s="285"/>
      <c r="Y672" s="285"/>
      <c r="Z672" s="285"/>
    </row>
    <row r="673" ht="12.75" customHeight="1">
      <c r="A673" s="285"/>
      <c r="B673" s="75"/>
      <c r="C673" s="75"/>
      <c r="D673" s="321"/>
      <c r="E673" s="321"/>
      <c r="F673" s="322"/>
      <c r="G673" s="75"/>
      <c r="H673" s="321"/>
      <c r="I673" s="321"/>
      <c r="J673" s="323"/>
      <c r="K673" s="324"/>
      <c r="L673" s="285"/>
      <c r="M673" s="285"/>
      <c r="N673" s="285"/>
      <c r="O673" s="325"/>
      <c r="P673" s="285"/>
      <c r="Q673" s="325"/>
      <c r="R673" s="325"/>
      <c r="S673" s="285"/>
      <c r="T673" s="285"/>
      <c r="U673" s="285"/>
      <c r="V673" s="285"/>
      <c r="W673" s="285"/>
      <c r="X673" s="285"/>
      <c r="Y673" s="285"/>
      <c r="Z673" s="285"/>
    </row>
    <row r="674" ht="12.75" customHeight="1">
      <c r="A674" s="285"/>
      <c r="B674" s="75"/>
      <c r="C674" s="75"/>
      <c r="D674" s="321"/>
      <c r="E674" s="321"/>
      <c r="F674" s="322"/>
      <c r="G674" s="75"/>
      <c r="H674" s="321"/>
      <c r="I674" s="321"/>
      <c r="J674" s="323"/>
      <c r="K674" s="324"/>
      <c r="L674" s="285"/>
      <c r="M674" s="285"/>
      <c r="N674" s="285"/>
      <c r="O674" s="325"/>
      <c r="P674" s="285"/>
      <c r="Q674" s="325"/>
      <c r="R674" s="325"/>
      <c r="S674" s="285"/>
      <c r="T674" s="285"/>
      <c r="U674" s="285"/>
      <c r="V674" s="285"/>
      <c r="W674" s="285"/>
      <c r="X674" s="285"/>
      <c r="Y674" s="285"/>
      <c r="Z674" s="285"/>
    </row>
    <row r="675" ht="12.75" customHeight="1">
      <c r="A675" s="285"/>
      <c r="B675" s="75"/>
      <c r="C675" s="75"/>
      <c r="D675" s="321"/>
      <c r="E675" s="321"/>
      <c r="F675" s="322"/>
      <c r="G675" s="75"/>
      <c r="H675" s="321"/>
      <c r="I675" s="321"/>
      <c r="J675" s="323"/>
      <c r="K675" s="324"/>
      <c r="L675" s="285"/>
      <c r="M675" s="285"/>
      <c r="N675" s="285"/>
      <c r="O675" s="325"/>
      <c r="P675" s="285"/>
      <c r="Q675" s="325"/>
      <c r="R675" s="325"/>
      <c r="S675" s="285"/>
      <c r="T675" s="285"/>
      <c r="U675" s="285"/>
      <c r="V675" s="285"/>
      <c r="W675" s="285"/>
      <c r="X675" s="285"/>
      <c r="Y675" s="285"/>
      <c r="Z675" s="285"/>
    </row>
    <row r="676" ht="12.75" customHeight="1">
      <c r="A676" s="285"/>
      <c r="B676" s="75"/>
      <c r="C676" s="75"/>
      <c r="D676" s="321"/>
      <c r="E676" s="321"/>
      <c r="F676" s="322"/>
      <c r="G676" s="75"/>
      <c r="H676" s="321"/>
      <c r="I676" s="321"/>
      <c r="J676" s="323"/>
      <c r="K676" s="324"/>
      <c r="L676" s="285"/>
      <c r="M676" s="285"/>
      <c r="N676" s="285"/>
      <c r="O676" s="325"/>
      <c r="P676" s="285"/>
      <c r="Q676" s="325"/>
      <c r="R676" s="325"/>
      <c r="S676" s="285"/>
      <c r="T676" s="285"/>
      <c r="U676" s="285"/>
      <c r="V676" s="285"/>
      <c r="W676" s="285"/>
      <c r="X676" s="285"/>
      <c r="Y676" s="285"/>
      <c r="Z676" s="285"/>
    </row>
    <row r="677" ht="12.75" customHeight="1">
      <c r="A677" s="285"/>
      <c r="B677" s="75"/>
      <c r="C677" s="75"/>
      <c r="D677" s="321"/>
      <c r="E677" s="321"/>
      <c r="F677" s="322"/>
      <c r="G677" s="75"/>
      <c r="H677" s="321"/>
      <c r="I677" s="321"/>
      <c r="J677" s="323"/>
      <c r="K677" s="324"/>
      <c r="L677" s="285"/>
      <c r="M677" s="285"/>
      <c r="N677" s="285"/>
      <c r="O677" s="325"/>
      <c r="P677" s="285"/>
      <c r="Q677" s="325"/>
      <c r="R677" s="325"/>
      <c r="S677" s="285"/>
      <c r="T677" s="285"/>
      <c r="U677" s="285"/>
      <c r="V677" s="285"/>
      <c r="W677" s="285"/>
      <c r="X677" s="285"/>
      <c r="Y677" s="285"/>
      <c r="Z677" s="285"/>
    </row>
    <row r="678" ht="12.75" customHeight="1">
      <c r="A678" s="285"/>
      <c r="B678" s="75"/>
      <c r="C678" s="75"/>
      <c r="D678" s="321"/>
      <c r="E678" s="321"/>
      <c r="F678" s="322"/>
      <c r="G678" s="75"/>
      <c r="H678" s="321"/>
      <c r="I678" s="321"/>
      <c r="J678" s="323"/>
      <c r="K678" s="324"/>
      <c r="L678" s="285"/>
      <c r="M678" s="285"/>
      <c r="N678" s="285"/>
      <c r="O678" s="325"/>
      <c r="P678" s="285"/>
      <c r="Q678" s="325"/>
      <c r="R678" s="325"/>
      <c r="S678" s="285"/>
      <c r="T678" s="285"/>
      <c r="U678" s="285"/>
      <c r="V678" s="285"/>
      <c r="W678" s="285"/>
      <c r="X678" s="285"/>
      <c r="Y678" s="285"/>
      <c r="Z678" s="285"/>
    </row>
    <row r="679" ht="12.75" customHeight="1">
      <c r="A679" s="285"/>
      <c r="B679" s="75"/>
      <c r="C679" s="75"/>
      <c r="D679" s="321"/>
      <c r="E679" s="321"/>
      <c r="F679" s="322"/>
      <c r="G679" s="75"/>
      <c r="H679" s="321"/>
      <c r="I679" s="321"/>
      <c r="J679" s="323"/>
      <c r="K679" s="324"/>
      <c r="L679" s="285"/>
      <c r="M679" s="285"/>
      <c r="N679" s="285"/>
      <c r="O679" s="325"/>
      <c r="P679" s="285"/>
      <c r="Q679" s="325"/>
      <c r="R679" s="325"/>
      <c r="S679" s="285"/>
      <c r="T679" s="285"/>
      <c r="U679" s="285"/>
      <c r="V679" s="285"/>
      <c r="W679" s="285"/>
      <c r="X679" s="285"/>
      <c r="Y679" s="285"/>
      <c r="Z679" s="285"/>
    </row>
    <row r="680" ht="12.75" customHeight="1">
      <c r="A680" s="285"/>
      <c r="B680" s="75"/>
      <c r="C680" s="75"/>
      <c r="D680" s="321"/>
      <c r="E680" s="321"/>
      <c r="F680" s="322"/>
      <c r="G680" s="75"/>
      <c r="H680" s="321"/>
      <c r="I680" s="321"/>
      <c r="J680" s="323"/>
      <c r="K680" s="324"/>
      <c r="L680" s="285"/>
      <c r="M680" s="285"/>
      <c r="N680" s="285"/>
      <c r="O680" s="325"/>
      <c r="P680" s="285"/>
      <c r="Q680" s="325"/>
      <c r="R680" s="325"/>
      <c r="S680" s="285"/>
      <c r="T680" s="285"/>
      <c r="U680" s="285"/>
      <c r="V680" s="285"/>
      <c r="W680" s="285"/>
      <c r="X680" s="285"/>
      <c r="Y680" s="285"/>
      <c r="Z680" s="285"/>
    </row>
    <row r="681" ht="12.75" customHeight="1">
      <c r="A681" s="285"/>
      <c r="B681" s="75"/>
      <c r="C681" s="75"/>
      <c r="D681" s="321"/>
      <c r="E681" s="321"/>
      <c r="F681" s="322"/>
      <c r="G681" s="75"/>
      <c r="H681" s="321"/>
      <c r="I681" s="321"/>
      <c r="J681" s="323"/>
      <c r="K681" s="324"/>
      <c r="L681" s="285"/>
      <c r="M681" s="285"/>
      <c r="N681" s="285"/>
      <c r="O681" s="325"/>
      <c r="P681" s="285"/>
      <c r="Q681" s="325"/>
      <c r="R681" s="325"/>
      <c r="S681" s="285"/>
      <c r="T681" s="285"/>
      <c r="U681" s="285"/>
      <c r="V681" s="285"/>
      <c r="W681" s="285"/>
      <c r="X681" s="285"/>
      <c r="Y681" s="285"/>
      <c r="Z681" s="285"/>
    </row>
    <row r="682" ht="12.75" customHeight="1">
      <c r="A682" s="285"/>
      <c r="B682" s="75"/>
      <c r="C682" s="75"/>
      <c r="D682" s="321"/>
      <c r="E682" s="321"/>
      <c r="F682" s="322"/>
      <c r="G682" s="75"/>
      <c r="H682" s="321"/>
      <c r="I682" s="321"/>
      <c r="J682" s="323"/>
      <c r="K682" s="324"/>
      <c r="L682" s="285"/>
      <c r="M682" s="285"/>
      <c r="N682" s="285"/>
      <c r="O682" s="325"/>
      <c r="P682" s="285"/>
      <c r="Q682" s="325"/>
      <c r="R682" s="325"/>
      <c r="S682" s="285"/>
      <c r="T682" s="285"/>
      <c r="U682" s="285"/>
      <c r="V682" s="285"/>
      <c r="W682" s="285"/>
      <c r="X682" s="285"/>
      <c r="Y682" s="285"/>
      <c r="Z682" s="285"/>
    </row>
    <row r="683" ht="12.75" customHeight="1">
      <c r="A683" s="285"/>
      <c r="B683" s="75"/>
      <c r="C683" s="75"/>
      <c r="D683" s="321"/>
      <c r="E683" s="321"/>
      <c r="F683" s="322"/>
      <c r="G683" s="75"/>
      <c r="H683" s="321"/>
      <c r="I683" s="321"/>
      <c r="J683" s="323"/>
      <c r="K683" s="324"/>
      <c r="L683" s="285"/>
      <c r="M683" s="285"/>
      <c r="N683" s="285"/>
      <c r="O683" s="325"/>
      <c r="P683" s="285"/>
      <c r="Q683" s="325"/>
      <c r="R683" s="325"/>
      <c r="S683" s="285"/>
      <c r="T683" s="285"/>
      <c r="U683" s="285"/>
      <c r="V683" s="285"/>
      <c r="W683" s="285"/>
      <c r="X683" s="285"/>
      <c r="Y683" s="285"/>
      <c r="Z683" s="285"/>
    </row>
    <row r="684" ht="12.75" customHeight="1">
      <c r="A684" s="285"/>
      <c r="B684" s="75"/>
      <c r="C684" s="75"/>
      <c r="D684" s="321"/>
      <c r="E684" s="321"/>
      <c r="F684" s="322"/>
      <c r="G684" s="75"/>
      <c r="H684" s="321"/>
      <c r="I684" s="321"/>
      <c r="J684" s="323"/>
      <c r="K684" s="324"/>
      <c r="L684" s="285"/>
      <c r="M684" s="285"/>
      <c r="N684" s="285"/>
      <c r="O684" s="325"/>
      <c r="P684" s="285"/>
      <c r="Q684" s="325"/>
      <c r="R684" s="325"/>
      <c r="S684" s="285"/>
      <c r="T684" s="285"/>
      <c r="U684" s="285"/>
      <c r="V684" s="285"/>
      <c r="W684" s="285"/>
      <c r="X684" s="285"/>
      <c r="Y684" s="285"/>
      <c r="Z684" s="285"/>
    </row>
    <row r="685" ht="12.75" customHeight="1">
      <c r="A685" s="285"/>
      <c r="B685" s="75"/>
      <c r="C685" s="75"/>
      <c r="D685" s="321"/>
      <c r="E685" s="321"/>
      <c r="F685" s="322"/>
      <c r="G685" s="75"/>
      <c r="H685" s="321"/>
      <c r="I685" s="321"/>
      <c r="J685" s="323"/>
      <c r="K685" s="324"/>
      <c r="L685" s="285"/>
      <c r="M685" s="285"/>
      <c r="N685" s="285"/>
      <c r="O685" s="325"/>
      <c r="P685" s="285"/>
      <c r="Q685" s="325"/>
      <c r="R685" s="325"/>
      <c r="S685" s="285"/>
      <c r="T685" s="285"/>
      <c r="U685" s="285"/>
      <c r="V685" s="285"/>
      <c r="W685" s="285"/>
      <c r="X685" s="285"/>
      <c r="Y685" s="285"/>
      <c r="Z685" s="285"/>
    </row>
    <row r="686" ht="12.75" customHeight="1">
      <c r="A686" s="285"/>
      <c r="B686" s="75"/>
      <c r="C686" s="75"/>
      <c r="D686" s="321"/>
      <c r="E686" s="321"/>
      <c r="F686" s="322"/>
      <c r="G686" s="75"/>
      <c r="H686" s="321"/>
      <c r="I686" s="321"/>
      <c r="J686" s="323"/>
      <c r="K686" s="324"/>
      <c r="L686" s="285"/>
      <c r="M686" s="285"/>
      <c r="N686" s="285"/>
      <c r="O686" s="325"/>
      <c r="P686" s="285"/>
      <c r="Q686" s="325"/>
      <c r="R686" s="325"/>
      <c r="S686" s="285"/>
      <c r="T686" s="285"/>
      <c r="U686" s="285"/>
      <c r="V686" s="285"/>
      <c r="W686" s="285"/>
      <c r="X686" s="285"/>
      <c r="Y686" s="285"/>
      <c r="Z686" s="285"/>
    </row>
    <row r="687" ht="12.75" customHeight="1">
      <c r="A687" s="285"/>
      <c r="B687" s="75"/>
      <c r="C687" s="75"/>
      <c r="D687" s="321"/>
      <c r="E687" s="321"/>
      <c r="F687" s="322"/>
      <c r="G687" s="75"/>
      <c r="H687" s="321"/>
      <c r="I687" s="321"/>
      <c r="J687" s="323"/>
      <c r="K687" s="324"/>
      <c r="L687" s="285"/>
      <c r="M687" s="285"/>
      <c r="N687" s="285"/>
      <c r="O687" s="325"/>
      <c r="P687" s="285"/>
      <c r="Q687" s="325"/>
      <c r="R687" s="325"/>
      <c r="S687" s="285"/>
      <c r="T687" s="285"/>
      <c r="U687" s="285"/>
      <c r="V687" s="285"/>
      <c r="W687" s="285"/>
      <c r="X687" s="285"/>
      <c r="Y687" s="285"/>
      <c r="Z687" s="285"/>
    </row>
    <row r="688" ht="12.75" customHeight="1">
      <c r="A688" s="285"/>
      <c r="B688" s="75"/>
      <c r="C688" s="75"/>
      <c r="D688" s="321"/>
      <c r="E688" s="321"/>
      <c r="F688" s="322"/>
      <c r="G688" s="75"/>
      <c r="H688" s="321"/>
      <c r="I688" s="321"/>
      <c r="J688" s="323"/>
      <c r="K688" s="324"/>
      <c r="L688" s="285"/>
      <c r="M688" s="285"/>
      <c r="N688" s="285"/>
      <c r="O688" s="325"/>
      <c r="P688" s="285"/>
      <c r="Q688" s="325"/>
      <c r="R688" s="325"/>
      <c r="S688" s="285"/>
      <c r="T688" s="285"/>
      <c r="U688" s="285"/>
      <c r="V688" s="285"/>
      <c r="W688" s="285"/>
      <c r="X688" s="285"/>
      <c r="Y688" s="285"/>
      <c r="Z688" s="285"/>
    </row>
    <row r="689" ht="12.75" customHeight="1">
      <c r="A689" s="285"/>
      <c r="B689" s="75"/>
      <c r="C689" s="75"/>
      <c r="D689" s="321"/>
      <c r="E689" s="321"/>
      <c r="F689" s="322"/>
      <c r="G689" s="75"/>
      <c r="H689" s="321"/>
      <c r="I689" s="321"/>
      <c r="J689" s="323"/>
      <c r="K689" s="324"/>
      <c r="L689" s="285"/>
      <c r="M689" s="285"/>
      <c r="N689" s="285"/>
      <c r="O689" s="325"/>
      <c r="P689" s="285"/>
      <c r="Q689" s="325"/>
      <c r="R689" s="325"/>
      <c r="S689" s="285"/>
      <c r="T689" s="285"/>
      <c r="U689" s="285"/>
      <c r="V689" s="285"/>
      <c r="W689" s="285"/>
      <c r="X689" s="285"/>
      <c r="Y689" s="285"/>
      <c r="Z689" s="285"/>
    </row>
    <row r="690" ht="12.75" customHeight="1">
      <c r="A690" s="285"/>
      <c r="B690" s="75"/>
      <c r="C690" s="75"/>
      <c r="D690" s="321"/>
      <c r="E690" s="321"/>
      <c r="F690" s="322"/>
      <c r="G690" s="75"/>
      <c r="H690" s="321"/>
      <c r="I690" s="321"/>
      <c r="J690" s="323"/>
      <c r="K690" s="324"/>
      <c r="L690" s="285"/>
      <c r="M690" s="285"/>
      <c r="N690" s="285"/>
      <c r="O690" s="325"/>
      <c r="P690" s="285"/>
      <c r="Q690" s="325"/>
      <c r="R690" s="325"/>
      <c r="S690" s="285"/>
      <c r="T690" s="285"/>
      <c r="U690" s="285"/>
      <c r="V690" s="285"/>
      <c r="W690" s="285"/>
      <c r="X690" s="285"/>
      <c r="Y690" s="285"/>
      <c r="Z690" s="285"/>
    </row>
    <row r="691" ht="12.75" customHeight="1">
      <c r="A691" s="285"/>
      <c r="B691" s="75"/>
      <c r="C691" s="75"/>
      <c r="D691" s="321"/>
      <c r="E691" s="321"/>
      <c r="F691" s="322"/>
      <c r="G691" s="75"/>
      <c r="H691" s="321"/>
      <c r="I691" s="321"/>
      <c r="J691" s="323"/>
      <c r="K691" s="324"/>
      <c r="L691" s="285"/>
      <c r="M691" s="285"/>
      <c r="N691" s="285"/>
      <c r="O691" s="325"/>
      <c r="P691" s="285"/>
      <c r="Q691" s="325"/>
      <c r="R691" s="325"/>
      <c r="S691" s="285"/>
      <c r="T691" s="285"/>
      <c r="U691" s="285"/>
      <c r="V691" s="285"/>
      <c r="W691" s="285"/>
      <c r="X691" s="285"/>
      <c r="Y691" s="285"/>
      <c r="Z691" s="285"/>
    </row>
    <row r="692" ht="12.75" customHeight="1">
      <c r="A692" s="285"/>
      <c r="B692" s="75"/>
      <c r="C692" s="75"/>
      <c r="D692" s="321"/>
      <c r="E692" s="321"/>
      <c r="F692" s="322"/>
      <c r="G692" s="75"/>
      <c r="H692" s="321"/>
      <c r="I692" s="321"/>
      <c r="J692" s="323"/>
      <c r="K692" s="324"/>
      <c r="L692" s="285"/>
      <c r="M692" s="285"/>
      <c r="N692" s="285"/>
      <c r="O692" s="325"/>
      <c r="P692" s="285"/>
      <c r="Q692" s="325"/>
      <c r="R692" s="325"/>
      <c r="S692" s="285"/>
      <c r="T692" s="285"/>
      <c r="U692" s="285"/>
      <c r="V692" s="285"/>
      <c r="W692" s="285"/>
      <c r="X692" s="285"/>
      <c r="Y692" s="285"/>
      <c r="Z692" s="285"/>
    </row>
    <row r="693" ht="12.75" customHeight="1">
      <c r="A693" s="285"/>
      <c r="B693" s="75"/>
      <c r="C693" s="75"/>
      <c r="D693" s="321"/>
      <c r="E693" s="321"/>
      <c r="F693" s="322"/>
      <c r="G693" s="75"/>
      <c r="H693" s="321"/>
      <c r="I693" s="321"/>
      <c r="J693" s="323"/>
      <c r="K693" s="324"/>
      <c r="L693" s="285"/>
      <c r="M693" s="285"/>
      <c r="N693" s="285"/>
      <c r="O693" s="325"/>
      <c r="P693" s="285"/>
      <c r="Q693" s="325"/>
      <c r="R693" s="325"/>
      <c r="S693" s="285"/>
      <c r="T693" s="285"/>
      <c r="U693" s="285"/>
      <c r="V693" s="285"/>
      <c r="W693" s="285"/>
      <c r="X693" s="285"/>
      <c r="Y693" s="285"/>
      <c r="Z693" s="285"/>
    </row>
    <row r="694" ht="12.75" customHeight="1">
      <c r="A694" s="285"/>
      <c r="B694" s="75"/>
      <c r="C694" s="75"/>
      <c r="D694" s="321"/>
      <c r="E694" s="321"/>
      <c r="F694" s="322"/>
      <c r="G694" s="75"/>
      <c r="H694" s="321"/>
      <c r="I694" s="321"/>
      <c r="J694" s="323"/>
      <c r="K694" s="324"/>
      <c r="L694" s="285"/>
      <c r="M694" s="285"/>
      <c r="N694" s="285"/>
      <c r="O694" s="325"/>
      <c r="P694" s="285"/>
      <c r="Q694" s="325"/>
      <c r="R694" s="325"/>
      <c r="S694" s="285"/>
      <c r="T694" s="285"/>
      <c r="U694" s="285"/>
      <c r="V694" s="285"/>
      <c r="W694" s="285"/>
      <c r="X694" s="285"/>
      <c r="Y694" s="285"/>
      <c r="Z694" s="285"/>
    </row>
    <row r="695" ht="12.75" customHeight="1">
      <c r="A695" s="285"/>
      <c r="B695" s="75"/>
      <c r="C695" s="75"/>
      <c r="D695" s="321"/>
      <c r="E695" s="321"/>
      <c r="F695" s="322"/>
      <c r="G695" s="75"/>
      <c r="H695" s="321"/>
      <c r="I695" s="321"/>
      <c r="J695" s="323"/>
      <c r="K695" s="324"/>
      <c r="L695" s="285"/>
      <c r="M695" s="285"/>
      <c r="N695" s="285"/>
      <c r="O695" s="325"/>
      <c r="P695" s="285"/>
      <c r="Q695" s="325"/>
      <c r="R695" s="325"/>
      <c r="S695" s="285"/>
      <c r="T695" s="285"/>
      <c r="U695" s="285"/>
      <c r="V695" s="285"/>
      <c r="W695" s="285"/>
      <c r="X695" s="285"/>
      <c r="Y695" s="285"/>
      <c r="Z695" s="285"/>
    </row>
    <row r="696" ht="12.75" customHeight="1">
      <c r="A696" s="285"/>
      <c r="B696" s="75"/>
      <c r="C696" s="75"/>
      <c r="D696" s="321"/>
      <c r="E696" s="321"/>
      <c r="F696" s="322"/>
      <c r="G696" s="75"/>
      <c r="H696" s="321"/>
      <c r="I696" s="321"/>
      <c r="J696" s="323"/>
      <c r="K696" s="324"/>
      <c r="L696" s="285"/>
      <c r="M696" s="285"/>
      <c r="N696" s="285"/>
      <c r="O696" s="325"/>
      <c r="P696" s="285"/>
      <c r="Q696" s="325"/>
      <c r="R696" s="325"/>
      <c r="S696" s="285"/>
      <c r="T696" s="285"/>
      <c r="U696" s="285"/>
      <c r="V696" s="285"/>
      <c r="W696" s="285"/>
      <c r="X696" s="285"/>
      <c r="Y696" s="285"/>
      <c r="Z696" s="285"/>
    </row>
    <row r="697" ht="12.75" customHeight="1">
      <c r="A697" s="285"/>
      <c r="B697" s="75"/>
      <c r="C697" s="75"/>
      <c r="D697" s="321"/>
      <c r="E697" s="321"/>
      <c r="F697" s="322"/>
      <c r="G697" s="75"/>
      <c r="H697" s="321"/>
      <c r="I697" s="321"/>
      <c r="J697" s="323"/>
      <c r="K697" s="324"/>
      <c r="L697" s="285"/>
      <c r="M697" s="285"/>
      <c r="N697" s="285"/>
      <c r="O697" s="325"/>
      <c r="P697" s="285"/>
      <c r="Q697" s="325"/>
      <c r="R697" s="325"/>
      <c r="S697" s="285"/>
      <c r="T697" s="285"/>
      <c r="U697" s="285"/>
      <c r="V697" s="285"/>
      <c r="W697" s="285"/>
      <c r="X697" s="285"/>
      <c r="Y697" s="285"/>
      <c r="Z697" s="285"/>
    </row>
    <row r="698" ht="12.75" customHeight="1">
      <c r="A698" s="285"/>
      <c r="B698" s="75"/>
      <c r="C698" s="75"/>
      <c r="D698" s="321"/>
      <c r="E698" s="321"/>
      <c r="F698" s="322"/>
      <c r="G698" s="75"/>
      <c r="H698" s="321"/>
      <c r="I698" s="321"/>
      <c r="J698" s="323"/>
      <c r="K698" s="324"/>
      <c r="L698" s="285"/>
      <c r="M698" s="285"/>
      <c r="N698" s="285"/>
      <c r="O698" s="325"/>
      <c r="P698" s="285"/>
      <c r="Q698" s="325"/>
      <c r="R698" s="325"/>
      <c r="S698" s="285"/>
      <c r="T698" s="285"/>
      <c r="U698" s="285"/>
      <c r="V698" s="285"/>
      <c r="W698" s="285"/>
      <c r="X698" s="285"/>
      <c r="Y698" s="285"/>
      <c r="Z698" s="285"/>
    </row>
    <row r="699" ht="12.75" customHeight="1">
      <c r="A699" s="285"/>
      <c r="B699" s="75"/>
      <c r="C699" s="75"/>
      <c r="D699" s="321"/>
      <c r="E699" s="321"/>
      <c r="F699" s="322"/>
      <c r="G699" s="75"/>
      <c r="H699" s="321"/>
      <c r="I699" s="321"/>
      <c r="J699" s="323"/>
      <c r="K699" s="324"/>
      <c r="L699" s="285"/>
      <c r="M699" s="285"/>
      <c r="N699" s="285"/>
      <c r="O699" s="325"/>
      <c r="P699" s="285"/>
      <c r="Q699" s="325"/>
      <c r="R699" s="325"/>
      <c r="S699" s="285"/>
      <c r="T699" s="285"/>
      <c r="U699" s="285"/>
      <c r="V699" s="285"/>
      <c r="W699" s="285"/>
      <c r="X699" s="285"/>
      <c r="Y699" s="285"/>
      <c r="Z699" s="285"/>
    </row>
    <row r="700" ht="12.75" customHeight="1">
      <c r="A700" s="285"/>
      <c r="B700" s="75"/>
      <c r="C700" s="75"/>
      <c r="D700" s="321"/>
      <c r="E700" s="321"/>
      <c r="F700" s="322"/>
      <c r="G700" s="75"/>
      <c r="H700" s="321"/>
      <c r="I700" s="321"/>
      <c r="J700" s="323"/>
      <c r="K700" s="324"/>
      <c r="L700" s="285"/>
      <c r="M700" s="285"/>
      <c r="N700" s="285"/>
      <c r="O700" s="325"/>
      <c r="P700" s="285"/>
      <c r="Q700" s="325"/>
      <c r="R700" s="325"/>
      <c r="S700" s="285"/>
      <c r="T700" s="285"/>
      <c r="U700" s="285"/>
      <c r="V700" s="285"/>
      <c r="W700" s="285"/>
      <c r="X700" s="285"/>
      <c r="Y700" s="285"/>
      <c r="Z700" s="285"/>
    </row>
    <row r="701" ht="12.75" customHeight="1">
      <c r="A701" s="285"/>
      <c r="B701" s="75"/>
      <c r="C701" s="75"/>
      <c r="D701" s="321"/>
      <c r="E701" s="321"/>
      <c r="F701" s="322"/>
      <c r="G701" s="75"/>
      <c r="H701" s="321"/>
      <c r="I701" s="321"/>
      <c r="J701" s="323"/>
      <c r="K701" s="324"/>
      <c r="L701" s="285"/>
      <c r="M701" s="285"/>
      <c r="N701" s="285"/>
      <c r="O701" s="325"/>
      <c r="P701" s="285"/>
      <c r="Q701" s="325"/>
      <c r="R701" s="325"/>
      <c r="S701" s="285"/>
      <c r="T701" s="285"/>
      <c r="U701" s="285"/>
      <c r="V701" s="285"/>
      <c r="W701" s="285"/>
      <c r="X701" s="285"/>
      <c r="Y701" s="285"/>
      <c r="Z701" s="285"/>
    </row>
    <row r="702" ht="12.75" customHeight="1">
      <c r="A702" s="285"/>
      <c r="B702" s="75"/>
      <c r="C702" s="75"/>
      <c r="D702" s="321"/>
      <c r="E702" s="321"/>
      <c r="F702" s="322"/>
      <c r="G702" s="75"/>
      <c r="H702" s="321"/>
      <c r="I702" s="321"/>
      <c r="J702" s="323"/>
      <c r="K702" s="324"/>
      <c r="L702" s="285"/>
      <c r="M702" s="285"/>
      <c r="N702" s="285"/>
      <c r="O702" s="325"/>
      <c r="P702" s="285"/>
      <c r="Q702" s="325"/>
      <c r="R702" s="325"/>
      <c r="S702" s="285"/>
      <c r="T702" s="285"/>
      <c r="U702" s="285"/>
      <c r="V702" s="285"/>
      <c r="W702" s="285"/>
      <c r="X702" s="285"/>
      <c r="Y702" s="285"/>
      <c r="Z702" s="285"/>
    </row>
    <row r="703" ht="12.75" customHeight="1">
      <c r="A703" s="285"/>
      <c r="B703" s="75"/>
      <c r="C703" s="75"/>
      <c r="D703" s="321"/>
      <c r="E703" s="321"/>
      <c r="F703" s="322"/>
      <c r="G703" s="75"/>
      <c r="H703" s="321"/>
      <c r="I703" s="321"/>
      <c r="J703" s="323"/>
      <c r="K703" s="324"/>
      <c r="L703" s="285"/>
      <c r="M703" s="285"/>
      <c r="N703" s="285"/>
      <c r="O703" s="325"/>
      <c r="P703" s="285"/>
      <c r="Q703" s="325"/>
      <c r="R703" s="325"/>
      <c r="S703" s="285"/>
      <c r="T703" s="285"/>
      <c r="U703" s="285"/>
      <c r="V703" s="285"/>
      <c r="W703" s="285"/>
      <c r="X703" s="285"/>
      <c r="Y703" s="285"/>
      <c r="Z703" s="285"/>
    </row>
    <row r="704" ht="12.75" customHeight="1">
      <c r="A704" s="285"/>
      <c r="B704" s="75"/>
      <c r="C704" s="75"/>
      <c r="D704" s="321"/>
      <c r="E704" s="321"/>
      <c r="F704" s="322"/>
      <c r="G704" s="75"/>
      <c r="H704" s="321"/>
      <c r="I704" s="321"/>
      <c r="J704" s="323"/>
      <c r="K704" s="324"/>
      <c r="L704" s="285"/>
      <c r="M704" s="285"/>
      <c r="N704" s="285"/>
      <c r="O704" s="325"/>
      <c r="P704" s="285"/>
      <c r="Q704" s="325"/>
      <c r="R704" s="325"/>
      <c r="S704" s="285"/>
      <c r="T704" s="285"/>
      <c r="U704" s="285"/>
      <c r="V704" s="285"/>
      <c r="W704" s="285"/>
      <c r="X704" s="285"/>
      <c r="Y704" s="285"/>
      <c r="Z704" s="285"/>
    </row>
    <row r="705" ht="12.75" customHeight="1">
      <c r="A705" s="285"/>
      <c r="B705" s="75"/>
      <c r="C705" s="75"/>
      <c r="D705" s="321"/>
      <c r="E705" s="321"/>
      <c r="F705" s="322"/>
      <c r="G705" s="75"/>
      <c r="H705" s="321"/>
      <c r="I705" s="321"/>
      <c r="J705" s="323"/>
      <c r="K705" s="324"/>
      <c r="L705" s="285"/>
      <c r="M705" s="285"/>
      <c r="N705" s="285"/>
      <c r="O705" s="325"/>
      <c r="P705" s="285"/>
      <c r="Q705" s="325"/>
      <c r="R705" s="325"/>
      <c r="S705" s="285"/>
      <c r="T705" s="285"/>
      <c r="U705" s="285"/>
      <c r="V705" s="285"/>
      <c r="W705" s="285"/>
      <c r="X705" s="285"/>
      <c r="Y705" s="285"/>
      <c r="Z705" s="285"/>
    </row>
    <row r="706" ht="12.75" customHeight="1">
      <c r="A706" s="285"/>
      <c r="B706" s="75"/>
      <c r="C706" s="75"/>
      <c r="D706" s="321"/>
      <c r="E706" s="321"/>
      <c r="F706" s="322"/>
      <c r="G706" s="75"/>
      <c r="H706" s="321"/>
      <c r="I706" s="321"/>
      <c r="J706" s="323"/>
      <c r="K706" s="324"/>
      <c r="L706" s="285"/>
      <c r="M706" s="285"/>
      <c r="N706" s="285"/>
      <c r="O706" s="325"/>
      <c r="P706" s="285"/>
      <c r="Q706" s="325"/>
      <c r="R706" s="325"/>
      <c r="S706" s="285"/>
      <c r="T706" s="285"/>
      <c r="U706" s="285"/>
      <c r="V706" s="285"/>
      <c r="W706" s="285"/>
      <c r="X706" s="285"/>
      <c r="Y706" s="285"/>
      <c r="Z706" s="285"/>
    </row>
    <row r="707" ht="12.75" customHeight="1">
      <c r="A707" s="285"/>
      <c r="B707" s="75"/>
      <c r="C707" s="75"/>
      <c r="D707" s="321"/>
      <c r="E707" s="321"/>
      <c r="F707" s="322"/>
      <c r="G707" s="75"/>
      <c r="H707" s="321"/>
      <c r="I707" s="321"/>
      <c r="J707" s="323"/>
      <c r="K707" s="324"/>
      <c r="L707" s="285"/>
      <c r="M707" s="285"/>
      <c r="N707" s="285"/>
      <c r="O707" s="325"/>
      <c r="P707" s="285"/>
      <c r="Q707" s="325"/>
      <c r="R707" s="325"/>
      <c r="S707" s="285"/>
      <c r="T707" s="285"/>
      <c r="U707" s="285"/>
      <c r="V707" s="285"/>
      <c r="W707" s="285"/>
      <c r="X707" s="285"/>
      <c r="Y707" s="285"/>
      <c r="Z707" s="285"/>
    </row>
    <row r="708" ht="12.75" customHeight="1">
      <c r="A708" s="285"/>
      <c r="B708" s="75"/>
      <c r="C708" s="75"/>
      <c r="D708" s="321"/>
      <c r="E708" s="321"/>
      <c r="F708" s="322"/>
      <c r="G708" s="75"/>
      <c r="H708" s="321"/>
      <c r="I708" s="321"/>
      <c r="J708" s="323"/>
      <c r="K708" s="324"/>
      <c r="L708" s="285"/>
      <c r="M708" s="285"/>
      <c r="N708" s="285"/>
      <c r="O708" s="325"/>
      <c r="P708" s="285"/>
      <c r="Q708" s="325"/>
      <c r="R708" s="325"/>
      <c r="S708" s="285"/>
      <c r="T708" s="285"/>
      <c r="U708" s="285"/>
      <c r="V708" s="285"/>
      <c r="W708" s="285"/>
      <c r="X708" s="285"/>
      <c r="Y708" s="285"/>
      <c r="Z708" s="285"/>
    </row>
    <row r="709" ht="12.75" customHeight="1">
      <c r="A709" s="285"/>
      <c r="B709" s="75"/>
      <c r="C709" s="75"/>
      <c r="D709" s="321"/>
      <c r="E709" s="321"/>
      <c r="F709" s="322"/>
      <c r="G709" s="75"/>
      <c r="H709" s="321"/>
      <c r="I709" s="321"/>
      <c r="J709" s="323"/>
      <c r="K709" s="324"/>
      <c r="L709" s="285"/>
      <c r="M709" s="285"/>
      <c r="N709" s="285"/>
      <c r="O709" s="325"/>
      <c r="P709" s="285"/>
      <c r="Q709" s="325"/>
      <c r="R709" s="325"/>
      <c r="S709" s="285"/>
      <c r="T709" s="285"/>
      <c r="U709" s="285"/>
      <c r="V709" s="285"/>
      <c r="W709" s="285"/>
      <c r="X709" s="285"/>
      <c r="Y709" s="285"/>
      <c r="Z709" s="285"/>
    </row>
    <row r="710" ht="12.75" customHeight="1">
      <c r="A710" s="285"/>
      <c r="B710" s="75"/>
      <c r="C710" s="75"/>
      <c r="D710" s="321"/>
      <c r="E710" s="321"/>
      <c r="F710" s="322"/>
      <c r="G710" s="75"/>
      <c r="H710" s="321"/>
      <c r="I710" s="321"/>
      <c r="J710" s="323"/>
      <c r="K710" s="324"/>
      <c r="L710" s="285"/>
      <c r="M710" s="285"/>
      <c r="N710" s="285"/>
      <c r="O710" s="325"/>
      <c r="P710" s="285"/>
      <c r="Q710" s="325"/>
      <c r="R710" s="325"/>
      <c r="S710" s="285"/>
      <c r="T710" s="285"/>
      <c r="U710" s="285"/>
      <c r="V710" s="285"/>
      <c r="W710" s="285"/>
      <c r="X710" s="285"/>
      <c r="Y710" s="285"/>
      <c r="Z710" s="285"/>
    </row>
    <row r="711" ht="12.75" customHeight="1">
      <c r="A711" s="285"/>
      <c r="B711" s="75"/>
      <c r="C711" s="75"/>
      <c r="D711" s="321"/>
      <c r="E711" s="321"/>
      <c r="F711" s="322"/>
      <c r="G711" s="75"/>
      <c r="H711" s="321"/>
      <c r="I711" s="321"/>
      <c r="J711" s="323"/>
      <c r="K711" s="324"/>
      <c r="L711" s="285"/>
      <c r="M711" s="285"/>
      <c r="N711" s="285"/>
      <c r="O711" s="325"/>
      <c r="P711" s="285"/>
      <c r="Q711" s="325"/>
      <c r="R711" s="325"/>
      <c r="S711" s="285"/>
      <c r="T711" s="285"/>
      <c r="U711" s="285"/>
      <c r="V711" s="285"/>
      <c r="W711" s="285"/>
      <c r="X711" s="285"/>
      <c r="Y711" s="285"/>
      <c r="Z711" s="285"/>
    </row>
    <row r="712" ht="12.75" customHeight="1">
      <c r="A712" s="285"/>
      <c r="B712" s="75"/>
      <c r="C712" s="75"/>
      <c r="D712" s="321"/>
      <c r="E712" s="321"/>
      <c r="F712" s="322"/>
      <c r="G712" s="75"/>
      <c r="H712" s="321"/>
      <c r="I712" s="321"/>
      <c r="J712" s="323"/>
      <c r="K712" s="324"/>
      <c r="L712" s="285"/>
      <c r="M712" s="285"/>
      <c r="N712" s="285"/>
      <c r="O712" s="325"/>
      <c r="P712" s="285"/>
      <c r="Q712" s="325"/>
      <c r="R712" s="325"/>
      <c r="S712" s="285"/>
      <c r="T712" s="285"/>
      <c r="U712" s="285"/>
      <c r="V712" s="285"/>
      <c r="W712" s="285"/>
      <c r="X712" s="285"/>
      <c r="Y712" s="285"/>
      <c r="Z712" s="285"/>
    </row>
    <row r="713" ht="12.75" customHeight="1">
      <c r="A713" s="285"/>
      <c r="B713" s="75"/>
      <c r="C713" s="75"/>
      <c r="D713" s="321"/>
      <c r="E713" s="321"/>
      <c r="F713" s="322"/>
      <c r="G713" s="75"/>
      <c r="H713" s="321"/>
      <c r="I713" s="321"/>
      <c r="J713" s="323"/>
      <c r="K713" s="324"/>
      <c r="L713" s="285"/>
      <c r="M713" s="285"/>
      <c r="N713" s="285"/>
      <c r="O713" s="325"/>
      <c r="P713" s="285"/>
      <c r="Q713" s="325"/>
      <c r="R713" s="325"/>
      <c r="S713" s="285"/>
      <c r="T713" s="285"/>
      <c r="U713" s="285"/>
      <c r="V713" s="285"/>
      <c r="W713" s="285"/>
      <c r="X713" s="285"/>
      <c r="Y713" s="285"/>
      <c r="Z713" s="285"/>
    </row>
    <row r="714" ht="12.75" customHeight="1">
      <c r="A714" s="285"/>
      <c r="B714" s="75"/>
      <c r="C714" s="75"/>
      <c r="D714" s="321"/>
      <c r="E714" s="321"/>
      <c r="F714" s="322"/>
      <c r="G714" s="75"/>
      <c r="H714" s="321"/>
      <c r="I714" s="321"/>
      <c r="J714" s="323"/>
      <c r="K714" s="324"/>
      <c r="L714" s="285"/>
      <c r="M714" s="285"/>
      <c r="N714" s="285"/>
      <c r="O714" s="325"/>
      <c r="P714" s="285"/>
      <c r="Q714" s="325"/>
      <c r="R714" s="325"/>
      <c r="S714" s="285"/>
      <c r="T714" s="285"/>
      <c r="U714" s="285"/>
      <c r="V714" s="285"/>
      <c r="W714" s="285"/>
      <c r="X714" s="285"/>
      <c r="Y714" s="285"/>
      <c r="Z714" s="285"/>
    </row>
    <row r="715" ht="12.75" customHeight="1">
      <c r="A715" s="285"/>
      <c r="B715" s="75"/>
      <c r="C715" s="75"/>
      <c r="D715" s="321"/>
      <c r="E715" s="321"/>
      <c r="F715" s="322"/>
      <c r="G715" s="75"/>
      <c r="H715" s="321"/>
      <c r="I715" s="321"/>
      <c r="J715" s="323"/>
      <c r="K715" s="324"/>
      <c r="L715" s="285"/>
      <c r="M715" s="285"/>
      <c r="N715" s="285"/>
      <c r="O715" s="325"/>
      <c r="P715" s="285"/>
      <c r="Q715" s="325"/>
      <c r="R715" s="325"/>
      <c r="S715" s="285"/>
      <c r="T715" s="285"/>
      <c r="U715" s="285"/>
      <c r="V715" s="285"/>
      <c r="W715" s="285"/>
      <c r="X715" s="285"/>
      <c r="Y715" s="285"/>
      <c r="Z715" s="285"/>
    </row>
    <row r="716" ht="12.75" customHeight="1">
      <c r="A716" s="285"/>
      <c r="B716" s="75"/>
      <c r="C716" s="75"/>
      <c r="D716" s="321"/>
      <c r="E716" s="321"/>
      <c r="F716" s="322"/>
      <c r="G716" s="75"/>
      <c r="H716" s="321"/>
      <c r="I716" s="321"/>
      <c r="J716" s="323"/>
      <c r="K716" s="324"/>
      <c r="L716" s="285"/>
      <c r="M716" s="285"/>
      <c r="N716" s="285"/>
      <c r="O716" s="325"/>
      <c r="P716" s="285"/>
      <c r="Q716" s="325"/>
      <c r="R716" s="325"/>
      <c r="S716" s="285"/>
      <c r="T716" s="285"/>
      <c r="U716" s="285"/>
      <c r="V716" s="285"/>
      <c r="W716" s="285"/>
      <c r="X716" s="285"/>
      <c r="Y716" s="285"/>
      <c r="Z716" s="285"/>
    </row>
    <row r="717" ht="12.75" customHeight="1">
      <c r="A717" s="285"/>
      <c r="B717" s="75"/>
      <c r="C717" s="75"/>
      <c r="D717" s="321"/>
      <c r="E717" s="321"/>
      <c r="F717" s="322"/>
      <c r="G717" s="75"/>
      <c r="H717" s="321"/>
      <c r="I717" s="321"/>
      <c r="J717" s="323"/>
      <c r="K717" s="324"/>
      <c r="L717" s="285"/>
      <c r="M717" s="285"/>
      <c r="N717" s="285"/>
      <c r="O717" s="325"/>
      <c r="P717" s="285"/>
      <c r="Q717" s="325"/>
      <c r="R717" s="325"/>
      <c r="S717" s="285"/>
      <c r="T717" s="285"/>
      <c r="U717" s="285"/>
      <c r="V717" s="285"/>
      <c r="W717" s="285"/>
      <c r="X717" s="285"/>
      <c r="Y717" s="285"/>
      <c r="Z717" s="285"/>
    </row>
    <row r="718" ht="12.75" customHeight="1">
      <c r="A718" s="285"/>
      <c r="B718" s="75"/>
      <c r="C718" s="75"/>
      <c r="D718" s="321"/>
      <c r="E718" s="321"/>
      <c r="F718" s="322"/>
      <c r="G718" s="75"/>
      <c r="H718" s="321"/>
      <c r="I718" s="321"/>
      <c r="J718" s="323"/>
      <c r="K718" s="324"/>
      <c r="L718" s="285"/>
      <c r="M718" s="285"/>
      <c r="N718" s="285"/>
      <c r="O718" s="325"/>
      <c r="P718" s="285"/>
      <c r="Q718" s="325"/>
      <c r="R718" s="325"/>
      <c r="S718" s="285"/>
      <c r="T718" s="285"/>
      <c r="U718" s="285"/>
      <c r="V718" s="285"/>
      <c r="W718" s="285"/>
      <c r="X718" s="285"/>
      <c r="Y718" s="285"/>
      <c r="Z718" s="285"/>
    </row>
    <row r="719" ht="12.75" customHeight="1">
      <c r="A719" s="285"/>
      <c r="B719" s="75"/>
      <c r="C719" s="75"/>
      <c r="D719" s="321"/>
      <c r="E719" s="321"/>
      <c r="F719" s="322"/>
      <c r="G719" s="75"/>
      <c r="H719" s="321"/>
      <c r="I719" s="321"/>
      <c r="J719" s="323"/>
      <c r="K719" s="324"/>
      <c r="L719" s="285"/>
      <c r="M719" s="285"/>
      <c r="N719" s="285"/>
      <c r="O719" s="325"/>
      <c r="P719" s="285"/>
      <c r="Q719" s="325"/>
      <c r="R719" s="325"/>
      <c r="S719" s="285"/>
      <c r="T719" s="285"/>
      <c r="U719" s="285"/>
      <c r="V719" s="285"/>
      <c r="W719" s="285"/>
      <c r="X719" s="285"/>
      <c r="Y719" s="285"/>
      <c r="Z719" s="285"/>
    </row>
    <row r="720" ht="12.75" customHeight="1">
      <c r="A720" s="285"/>
      <c r="B720" s="75"/>
      <c r="C720" s="75"/>
      <c r="D720" s="321"/>
      <c r="E720" s="321"/>
      <c r="F720" s="322"/>
      <c r="G720" s="75"/>
      <c r="H720" s="321"/>
      <c r="I720" s="321"/>
      <c r="J720" s="323"/>
      <c r="K720" s="324"/>
      <c r="L720" s="285"/>
      <c r="M720" s="285"/>
      <c r="N720" s="285"/>
      <c r="O720" s="325"/>
      <c r="P720" s="285"/>
      <c r="Q720" s="325"/>
      <c r="R720" s="325"/>
      <c r="S720" s="285"/>
      <c r="T720" s="285"/>
      <c r="U720" s="285"/>
      <c r="V720" s="285"/>
      <c r="W720" s="285"/>
      <c r="X720" s="285"/>
      <c r="Y720" s="285"/>
      <c r="Z720" s="285"/>
    </row>
    <row r="721" ht="12.75" customHeight="1">
      <c r="A721" s="285"/>
      <c r="B721" s="75"/>
      <c r="C721" s="75"/>
      <c r="D721" s="321"/>
      <c r="E721" s="321"/>
      <c r="F721" s="322"/>
      <c r="G721" s="75"/>
      <c r="H721" s="321"/>
      <c r="I721" s="321"/>
      <c r="J721" s="323"/>
      <c r="K721" s="324"/>
      <c r="L721" s="285"/>
      <c r="M721" s="285"/>
      <c r="N721" s="285"/>
      <c r="O721" s="325"/>
      <c r="P721" s="285"/>
      <c r="Q721" s="325"/>
      <c r="R721" s="325"/>
      <c r="S721" s="285"/>
      <c r="T721" s="285"/>
      <c r="U721" s="285"/>
      <c r="V721" s="285"/>
      <c r="W721" s="285"/>
      <c r="X721" s="285"/>
      <c r="Y721" s="285"/>
      <c r="Z721" s="285"/>
    </row>
    <row r="722" ht="12.75" customHeight="1">
      <c r="A722" s="285"/>
      <c r="B722" s="75"/>
      <c r="C722" s="75"/>
      <c r="D722" s="321"/>
      <c r="E722" s="321"/>
      <c r="F722" s="322"/>
      <c r="G722" s="75"/>
      <c r="H722" s="321"/>
      <c r="I722" s="321"/>
      <c r="J722" s="323"/>
      <c r="K722" s="324"/>
      <c r="L722" s="285"/>
      <c r="M722" s="285"/>
      <c r="N722" s="285"/>
      <c r="O722" s="325"/>
      <c r="P722" s="285"/>
      <c r="Q722" s="325"/>
      <c r="R722" s="325"/>
      <c r="S722" s="285"/>
      <c r="T722" s="285"/>
      <c r="U722" s="285"/>
      <c r="V722" s="285"/>
      <c r="W722" s="285"/>
      <c r="X722" s="285"/>
      <c r="Y722" s="285"/>
      <c r="Z722" s="285"/>
    </row>
    <row r="723" ht="12.75" customHeight="1">
      <c r="A723" s="285"/>
      <c r="B723" s="75"/>
      <c r="C723" s="75"/>
      <c r="D723" s="321"/>
      <c r="E723" s="321"/>
      <c r="F723" s="322"/>
      <c r="G723" s="75"/>
      <c r="H723" s="321"/>
      <c r="I723" s="321"/>
      <c r="J723" s="323"/>
      <c r="K723" s="324"/>
      <c r="L723" s="285"/>
      <c r="M723" s="285"/>
      <c r="N723" s="285"/>
      <c r="O723" s="325"/>
      <c r="P723" s="285"/>
      <c r="Q723" s="325"/>
      <c r="R723" s="325"/>
      <c r="S723" s="285"/>
      <c r="T723" s="285"/>
      <c r="U723" s="285"/>
      <c r="V723" s="285"/>
      <c r="W723" s="285"/>
      <c r="X723" s="285"/>
      <c r="Y723" s="285"/>
      <c r="Z723" s="285"/>
    </row>
    <row r="724" ht="12.75" customHeight="1">
      <c r="A724" s="285"/>
      <c r="B724" s="75"/>
      <c r="C724" s="75"/>
      <c r="D724" s="321"/>
      <c r="E724" s="321"/>
      <c r="F724" s="322"/>
      <c r="G724" s="75"/>
      <c r="H724" s="321"/>
      <c r="I724" s="321"/>
      <c r="J724" s="323"/>
      <c r="K724" s="324"/>
      <c r="L724" s="285"/>
      <c r="M724" s="285"/>
      <c r="N724" s="285"/>
      <c r="O724" s="325"/>
      <c r="P724" s="285"/>
      <c r="Q724" s="325"/>
      <c r="R724" s="325"/>
      <c r="S724" s="285"/>
      <c r="T724" s="285"/>
      <c r="U724" s="285"/>
      <c r="V724" s="285"/>
      <c r="W724" s="285"/>
      <c r="X724" s="285"/>
      <c r="Y724" s="285"/>
      <c r="Z724" s="285"/>
    </row>
    <row r="725" ht="12.75" customHeight="1">
      <c r="A725" s="285"/>
      <c r="B725" s="75"/>
      <c r="C725" s="75"/>
      <c r="D725" s="321"/>
      <c r="E725" s="321"/>
      <c r="F725" s="322"/>
      <c r="G725" s="75"/>
      <c r="H725" s="321"/>
      <c r="I725" s="321"/>
      <c r="J725" s="323"/>
      <c r="K725" s="324"/>
      <c r="L725" s="285"/>
      <c r="M725" s="285"/>
      <c r="N725" s="285"/>
      <c r="O725" s="325"/>
      <c r="P725" s="285"/>
      <c r="Q725" s="325"/>
      <c r="R725" s="325"/>
      <c r="S725" s="285"/>
      <c r="T725" s="285"/>
      <c r="U725" s="285"/>
      <c r="V725" s="285"/>
      <c r="W725" s="285"/>
      <c r="X725" s="285"/>
      <c r="Y725" s="285"/>
      <c r="Z725" s="285"/>
    </row>
    <row r="726" ht="12.75" customHeight="1">
      <c r="A726" s="285"/>
      <c r="B726" s="75"/>
      <c r="C726" s="75"/>
      <c r="D726" s="321"/>
      <c r="E726" s="321"/>
      <c r="F726" s="322"/>
      <c r="G726" s="75"/>
      <c r="H726" s="321"/>
      <c r="I726" s="321"/>
      <c r="J726" s="323"/>
      <c r="K726" s="324"/>
      <c r="L726" s="285"/>
      <c r="M726" s="285"/>
      <c r="N726" s="285"/>
      <c r="O726" s="325"/>
      <c r="P726" s="285"/>
      <c r="Q726" s="325"/>
      <c r="R726" s="325"/>
      <c r="S726" s="285"/>
      <c r="T726" s="285"/>
      <c r="U726" s="285"/>
      <c r="V726" s="285"/>
      <c r="W726" s="285"/>
      <c r="X726" s="285"/>
      <c r="Y726" s="285"/>
      <c r="Z726" s="285"/>
    </row>
    <row r="727" ht="12.75" customHeight="1">
      <c r="A727" s="285"/>
      <c r="B727" s="75"/>
      <c r="C727" s="75"/>
      <c r="D727" s="321"/>
      <c r="E727" s="321"/>
      <c r="F727" s="322"/>
      <c r="G727" s="75"/>
      <c r="H727" s="321"/>
      <c r="I727" s="321"/>
      <c r="J727" s="323"/>
      <c r="K727" s="324"/>
      <c r="L727" s="285"/>
      <c r="M727" s="285"/>
      <c r="N727" s="285"/>
      <c r="O727" s="325"/>
      <c r="P727" s="285"/>
      <c r="Q727" s="325"/>
      <c r="R727" s="325"/>
      <c r="S727" s="285"/>
      <c r="T727" s="285"/>
      <c r="U727" s="285"/>
      <c r="V727" s="285"/>
      <c r="W727" s="285"/>
      <c r="X727" s="285"/>
      <c r="Y727" s="285"/>
      <c r="Z727" s="285"/>
    </row>
    <row r="728" ht="12.75" customHeight="1">
      <c r="A728" s="285"/>
      <c r="B728" s="75"/>
      <c r="C728" s="75"/>
      <c r="D728" s="321"/>
      <c r="E728" s="321"/>
      <c r="F728" s="322"/>
      <c r="G728" s="75"/>
      <c r="H728" s="321"/>
      <c r="I728" s="321"/>
      <c r="J728" s="323"/>
      <c r="K728" s="324"/>
      <c r="L728" s="285"/>
      <c r="M728" s="285"/>
      <c r="N728" s="285"/>
      <c r="O728" s="325"/>
      <c r="P728" s="285"/>
      <c r="Q728" s="325"/>
      <c r="R728" s="325"/>
      <c r="S728" s="285"/>
      <c r="T728" s="285"/>
      <c r="U728" s="285"/>
      <c r="V728" s="285"/>
      <c r="W728" s="285"/>
      <c r="X728" s="285"/>
      <c r="Y728" s="285"/>
      <c r="Z728" s="285"/>
    </row>
    <row r="729" ht="12.75" customHeight="1">
      <c r="A729" s="285"/>
      <c r="B729" s="75"/>
      <c r="C729" s="75"/>
      <c r="D729" s="321"/>
      <c r="E729" s="321"/>
      <c r="F729" s="322"/>
      <c r="G729" s="75"/>
      <c r="H729" s="321"/>
      <c r="I729" s="321"/>
      <c r="J729" s="323"/>
      <c r="K729" s="324"/>
      <c r="L729" s="285"/>
      <c r="M729" s="285"/>
      <c r="N729" s="285"/>
      <c r="O729" s="325"/>
      <c r="P729" s="285"/>
      <c r="Q729" s="325"/>
      <c r="R729" s="325"/>
      <c r="S729" s="285"/>
      <c r="T729" s="285"/>
      <c r="U729" s="285"/>
      <c r="V729" s="285"/>
      <c r="W729" s="285"/>
      <c r="X729" s="285"/>
      <c r="Y729" s="285"/>
      <c r="Z729" s="285"/>
    </row>
    <row r="730" ht="12.75" customHeight="1">
      <c r="A730" s="285"/>
      <c r="B730" s="75"/>
      <c r="C730" s="75"/>
      <c r="D730" s="321"/>
      <c r="E730" s="321"/>
      <c r="F730" s="322"/>
      <c r="G730" s="75"/>
      <c r="H730" s="321"/>
      <c r="I730" s="321"/>
      <c r="J730" s="323"/>
      <c r="K730" s="324"/>
      <c r="L730" s="285"/>
      <c r="M730" s="285"/>
      <c r="N730" s="285"/>
      <c r="O730" s="325"/>
      <c r="P730" s="285"/>
      <c r="Q730" s="325"/>
      <c r="R730" s="325"/>
      <c r="S730" s="285"/>
      <c r="T730" s="285"/>
      <c r="U730" s="285"/>
      <c r="V730" s="285"/>
      <c r="W730" s="285"/>
      <c r="X730" s="285"/>
      <c r="Y730" s="285"/>
      <c r="Z730" s="285"/>
    </row>
    <row r="731" ht="12.75" customHeight="1">
      <c r="A731" s="285"/>
      <c r="B731" s="75"/>
      <c r="C731" s="75"/>
      <c r="D731" s="321"/>
      <c r="E731" s="321"/>
      <c r="F731" s="322"/>
      <c r="G731" s="75"/>
      <c r="H731" s="321"/>
      <c r="I731" s="321"/>
      <c r="J731" s="323"/>
      <c r="K731" s="324"/>
      <c r="L731" s="285"/>
      <c r="M731" s="285"/>
      <c r="N731" s="285"/>
      <c r="O731" s="325"/>
      <c r="P731" s="285"/>
      <c r="Q731" s="325"/>
      <c r="R731" s="325"/>
      <c r="S731" s="285"/>
      <c r="T731" s="285"/>
      <c r="U731" s="285"/>
      <c r="V731" s="285"/>
      <c r="W731" s="285"/>
      <c r="X731" s="285"/>
      <c r="Y731" s="285"/>
      <c r="Z731" s="285"/>
    </row>
    <row r="732" ht="12.75" customHeight="1">
      <c r="A732" s="285"/>
      <c r="B732" s="75"/>
      <c r="C732" s="75"/>
      <c r="D732" s="321"/>
      <c r="E732" s="321"/>
      <c r="F732" s="322"/>
      <c r="G732" s="75"/>
      <c r="H732" s="321"/>
      <c r="I732" s="321"/>
      <c r="J732" s="323"/>
      <c r="K732" s="324"/>
      <c r="L732" s="285"/>
      <c r="M732" s="285"/>
      <c r="N732" s="285"/>
      <c r="O732" s="325"/>
      <c r="P732" s="285"/>
      <c r="Q732" s="325"/>
      <c r="R732" s="325"/>
      <c r="S732" s="285"/>
      <c r="T732" s="285"/>
      <c r="U732" s="285"/>
      <c r="V732" s="285"/>
      <c r="W732" s="285"/>
      <c r="X732" s="285"/>
      <c r="Y732" s="285"/>
      <c r="Z732" s="285"/>
    </row>
    <row r="733" ht="12.75" customHeight="1">
      <c r="A733" s="285"/>
      <c r="B733" s="75"/>
      <c r="C733" s="75"/>
      <c r="D733" s="321"/>
      <c r="E733" s="321"/>
      <c r="F733" s="322"/>
      <c r="G733" s="75"/>
      <c r="H733" s="321"/>
      <c r="I733" s="321"/>
      <c r="J733" s="323"/>
      <c r="K733" s="324"/>
      <c r="L733" s="285"/>
      <c r="M733" s="285"/>
      <c r="N733" s="285"/>
      <c r="O733" s="325"/>
      <c r="P733" s="285"/>
      <c r="Q733" s="325"/>
      <c r="R733" s="325"/>
      <c r="S733" s="285"/>
      <c r="T733" s="285"/>
      <c r="U733" s="285"/>
      <c r="V733" s="285"/>
      <c r="W733" s="285"/>
      <c r="X733" s="285"/>
      <c r="Y733" s="285"/>
      <c r="Z733" s="285"/>
    </row>
    <row r="734" ht="12.75" customHeight="1">
      <c r="A734" s="285"/>
      <c r="B734" s="75"/>
      <c r="C734" s="75"/>
      <c r="D734" s="321"/>
      <c r="E734" s="321"/>
      <c r="F734" s="322"/>
      <c r="G734" s="75"/>
      <c r="H734" s="321"/>
      <c r="I734" s="321"/>
      <c r="J734" s="323"/>
      <c r="K734" s="324"/>
      <c r="L734" s="285"/>
      <c r="M734" s="285"/>
      <c r="N734" s="285"/>
      <c r="O734" s="325"/>
      <c r="P734" s="285"/>
      <c r="Q734" s="325"/>
      <c r="R734" s="325"/>
      <c r="S734" s="285"/>
      <c r="T734" s="285"/>
      <c r="U734" s="285"/>
      <c r="V734" s="285"/>
      <c r="W734" s="285"/>
      <c r="X734" s="285"/>
      <c r="Y734" s="285"/>
      <c r="Z734" s="285"/>
    </row>
    <row r="735" ht="12.75" customHeight="1">
      <c r="A735" s="285"/>
      <c r="B735" s="75"/>
      <c r="C735" s="75"/>
      <c r="D735" s="321"/>
      <c r="E735" s="321"/>
      <c r="F735" s="322"/>
      <c r="G735" s="75"/>
      <c r="H735" s="321"/>
      <c r="I735" s="321"/>
      <c r="J735" s="323"/>
      <c r="K735" s="324"/>
      <c r="L735" s="285"/>
      <c r="M735" s="285"/>
      <c r="N735" s="285"/>
      <c r="O735" s="325"/>
      <c r="P735" s="285"/>
      <c r="Q735" s="325"/>
      <c r="R735" s="325"/>
      <c r="S735" s="285"/>
      <c r="T735" s="285"/>
      <c r="U735" s="285"/>
      <c r="V735" s="285"/>
      <c r="W735" s="285"/>
      <c r="X735" s="285"/>
      <c r="Y735" s="285"/>
      <c r="Z735" s="285"/>
    </row>
    <row r="736" ht="12.75" customHeight="1">
      <c r="A736" s="285"/>
      <c r="B736" s="75"/>
      <c r="C736" s="75"/>
      <c r="D736" s="321"/>
      <c r="E736" s="321"/>
      <c r="F736" s="322"/>
      <c r="G736" s="75"/>
      <c r="H736" s="321"/>
      <c r="I736" s="321"/>
      <c r="J736" s="323"/>
      <c r="K736" s="324"/>
      <c r="L736" s="285"/>
      <c r="M736" s="285"/>
      <c r="N736" s="285"/>
      <c r="O736" s="325"/>
      <c r="P736" s="285"/>
      <c r="Q736" s="325"/>
      <c r="R736" s="325"/>
      <c r="S736" s="285"/>
      <c r="T736" s="285"/>
      <c r="U736" s="285"/>
      <c r="V736" s="285"/>
      <c r="W736" s="285"/>
      <c r="X736" s="285"/>
      <c r="Y736" s="285"/>
      <c r="Z736" s="285"/>
    </row>
    <row r="737" ht="12.75" customHeight="1">
      <c r="A737" s="285"/>
      <c r="B737" s="75"/>
      <c r="C737" s="75"/>
      <c r="D737" s="321"/>
      <c r="E737" s="321"/>
      <c r="F737" s="322"/>
      <c r="G737" s="75"/>
      <c r="H737" s="321"/>
      <c r="I737" s="321"/>
      <c r="J737" s="323"/>
      <c r="K737" s="324"/>
      <c r="L737" s="285"/>
      <c r="M737" s="285"/>
      <c r="N737" s="285"/>
      <c r="O737" s="325"/>
      <c r="P737" s="285"/>
      <c r="Q737" s="325"/>
      <c r="R737" s="325"/>
      <c r="S737" s="285"/>
      <c r="T737" s="285"/>
      <c r="U737" s="285"/>
      <c r="V737" s="285"/>
      <c r="W737" s="285"/>
      <c r="X737" s="285"/>
      <c r="Y737" s="285"/>
      <c r="Z737" s="285"/>
    </row>
    <row r="738" ht="12.75" customHeight="1">
      <c r="A738" s="285"/>
      <c r="B738" s="75"/>
      <c r="C738" s="75"/>
      <c r="D738" s="321"/>
      <c r="E738" s="321"/>
      <c r="F738" s="322"/>
      <c r="G738" s="75"/>
      <c r="H738" s="321"/>
      <c r="I738" s="321"/>
      <c r="J738" s="323"/>
      <c r="K738" s="324"/>
      <c r="L738" s="285"/>
      <c r="M738" s="285"/>
      <c r="N738" s="285"/>
      <c r="O738" s="325"/>
      <c r="P738" s="285"/>
      <c r="Q738" s="325"/>
      <c r="R738" s="325"/>
      <c r="S738" s="285"/>
      <c r="T738" s="285"/>
      <c r="U738" s="285"/>
      <c r="V738" s="285"/>
      <c r="W738" s="285"/>
      <c r="X738" s="285"/>
      <c r="Y738" s="285"/>
      <c r="Z738" s="285"/>
    </row>
    <row r="739" ht="12.75" customHeight="1">
      <c r="A739" s="285"/>
      <c r="B739" s="75"/>
      <c r="C739" s="75"/>
      <c r="D739" s="321"/>
      <c r="E739" s="321"/>
      <c r="F739" s="322"/>
      <c r="G739" s="75"/>
      <c r="H739" s="321"/>
      <c r="I739" s="321"/>
      <c r="J739" s="323"/>
      <c r="K739" s="324"/>
      <c r="L739" s="285"/>
      <c r="M739" s="285"/>
      <c r="N739" s="285"/>
      <c r="O739" s="325"/>
      <c r="P739" s="285"/>
      <c r="Q739" s="325"/>
      <c r="R739" s="325"/>
      <c r="S739" s="285"/>
      <c r="T739" s="285"/>
      <c r="U739" s="285"/>
      <c r="V739" s="285"/>
      <c r="W739" s="285"/>
      <c r="X739" s="285"/>
      <c r="Y739" s="285"/>
      <c r="Z739" s="285"/>
    </row>
    <row r="740" ht="12.75" customHeight="1">
      <c r="A740" s="285"/>
      <c r="B740" s="75"/>
      <c r="C740" s="75"/>
      <c r="D740" s="321"/>
      <c r="E740" s="321"/>
      <c r="F740" s="322"/>
      <c r="G740" s="75"/>
      <c r="H740" s="321"/>
      <c r="I740" s="321"/>
      <c r="J740" s="323"/>
      <c r="K740" s="324"/>
      <c r="L740" s="285"/>
      <c r="M740" s="285"/>
      <c r="N740" s="285"/>
      <c r="O740" s="325"/>
      <c r="P740" s="285"/>
      <c r="Q740" s="325"/>
      <c r="R740" s="325"/>
      <c r="S740" s="285"/>
      <c r="T740" s="285"/>
      <c r="U740" s="285"/>
      <c r="V740" s="285"/>
      <c r="W740" s="285"/>
      <c r="X740" s="285"/>
      <c r="Y740" s="285"/>
      <c r="Z740" s="285"/>
    </row>
    <row r="741" ht="12.75" customHeight="1">
      <c r="A741" s="285"/>
      <c r="B741" s="75"/>
      <c r="C741" s="75"/>
      <c r="D741" s="321"/>
      <c r="E741" s="321"/>
      <c r="F741" s="322"/>
      <c r="G741" s="75"/>
      <c r="H741" s="321"/>
      <c r="I741" s="321"/>
      <c r="J741" s="323"/>
      <c r="K741" s="324"/>
      <c r="L741" s="285"/>
      <c r="M741" s="285"/>
      <c r="N741" s="285"/>
      <c r="O741" s="325"/>
      <c r="P741" s="285"/>
      <c r="Q741" s="325"/>
      <c r="R741" s="325"/>
      <c r="S741" s="285"/>
      <c r="T741" s="285"/>
      <c r="U741" s="285"/>
      <c r="V741" s="285"/>
      <c r="W741" s="285"/>
      <c r="X741" s="285"/>
      <c r="Y741" s="285"/>
      <c r="Z741" s="285"/>
    </row>
    <row r="742" ht="12.75" customHeight="1">
      <c r="A742" s="285"/>
      <c r="B742" s="75"/>
      <c r="C742" s="75"/>
      <c r="D742" s="321"/>
      <c r="E742" s="321"/>
      <c r="F742" s="322"/>
      <c r="G742" s="75"/>
      <c r="H742" s="321"/>
      <c r="I742" s="321"/>
      <c r="J742" s="323"/>
      <c r="K742" s="324"/>
      <c r="L742" s="285"/>
      <c r="M742" s="285"/>
      <c r="N742" s="285"/>
      <c r="O742" s="325"/>
      <c r="P742" s="285"/>
      <c r="Q742" s="325"/>
      <c r="R742" s="325"/>
      <c r="S742" s="285"/>
      <c r="T742" s="285"/>
      <c r="U742" s="285"/>
      <c r="V742" s="285"/>
      <c r="W742" s="285"/>
      <c r="X742" s="285"/>
      <c r="Y742" s="285"/>
      <c r="Z742" s="285"/>
    </row>
    <row r="743" ht="12.75" customHeight="1">
      <c r="A743" s="285"/>
      <c r="B743" s="75"/>
      <c r="C743" s="75"/>
      <c r="D743" s="321"/>
      <c r="E743" s="321"/>
      <c r="F743" s="322"/>
      <c r="G743" s="75"/>
      <c r="H743" s="321"/>
      <c r="I743" s="321"/>
      <c r="J743" s="323"/>
      <c r="K743" s="324"/>
      <c r="L743" s="285"/>
      <c r="M743" s="285"/>
      <c r="N743" s="285"/>
      <c r="O743" s="325"/>
      <c r="P743" s="285"/>
      <c r="Q743" s="325"/>
      <c r="R743" s="325"/>
      <c r="S743" s="285"/>
      <c r="T743" s="285"/>
      <c r="U743" s="285"/>
      <c r="V743" s="285"/>
      <c r="W743" s="285"/>
      <c r="X743" s="285"/>
      <c r="Y743" s="285"/>
      <c r="Z743" s="285"/>
    </row>
    <row r="744" ht="12.75" customHeight="1">
      <c r="A744" s="285"/>
      <c r="B744" s="75"/>
      <c r="C744" s="75"/>
      <c r="D744" s="321"/>
      <c r="E744" s="321"/>
      <c r="F744" s="322"/>
      <c r="G744" s="75"/>
      <c r="H744" s="321"/>
      <c r="I744" s="321"/>
      <c r="J744" s="323"/>
      <c r="K744" s="324"/>
      <c r="L744" s="285"/>
      <c r="M744" s="285"/>
      <c r="N744" s="285"/>
      <c r="O744" s="325"/>
      <c r="P744" s="285"/>
      <c r="Q744" s="325"/>
      <c r="R744" s="325"/>
      <c r="S744" s="285"/>
      <c r="T744" s="285"/>
      <c r="U744" s="285"/>
      <c r="V744" s="285"/>
      <c r="W744" s="285"/>
      <c r="X744" s="285"/>
      <c r="Y744" s="285"/>
      <c r="Z744" s="285"/>
    </row>
    <row r="745" ht="12.75" customHeight="1">
      <c r="A745" s="285"/>
      <c r="B745" s="75"/>
      <c r="C745" s="75"/>
      <c r="D745" s="321"/>
      <c r="E745" s="321"/>
      <c r="F745" s="322"/>
      <c r="G745" s="75"/>
      <c r="H745" s="321"/>
      <c r="I745" s="321"/>
      <c r="J745" s="323"/>
      <c r="K745" s="324"/>
      <c r="L745" s="285"/>
      <c r="M745" s="285"/>
      <c r="N745" s="285"/>
      <c r="O745" s="325"/>
      <c r="P745" s="285"/>
      <c r="Q745" s="325"/>
      <c r="R745" s="325"/>
      <c r="S745" s="285"/>
      <c r="T745" s="285"/>
      <c r="U745" s="285"/>
      <c r="V745" s="285"/>
      <c r="W745" s="285"/>
      <c r="X745" s="285"/>
      <c r="Y745" s="285"/>
      <c r="Z745" s="285"/>
    </row>
    <row r="746" ht="12.75" customHeight="1">
      <c r="A746" s="285"/>
      <c r="B746" s="75"/>
      <c r="C746" s="75"/>
      <c r="D746" s="321"/>
      <c r="E746" s="321"/>
      <c r="F746" s="322"/>
      <c r="G746" s="75"/>
      <c r="H746" s="321"/>
      <c r="I746" s="321"/>
      <c r="J746" s="323"/>
      <c r="K746" s="324"/>
      <c r="L746" s="285"/>
      <c r="M746" s="285"/>
      <c r="N746" s="285"/>
      <c r="O746" s="325"/>
      <c r="P746" s="285"/>
      <c r="Q746" s="325"/>
      <c r="R746" s="325"/>
      <c r="S746" s="285"/>
      <c r="T746" s="285"/>
      <c r="U746" s="285"/>
      <c r="V746" s="285"/>
      <c r="W746" s="285"/>
      <c r="X746" s="285"/>
      <c r="Y746" s="285"/>
      <c r="Z746" s="285"/>
    </row>
    <row r="747" ht="12.75" customHeight="1">
      <c r="A747" s="285"/>
      <c r="B747" s="75"/>
      <c r="C747" s="75"/>
      <c r="D747" s="321"/>
      <c r="E747" s="321"/>
      <c r="F747" s="322"/>
      <c r="G747" s="75"/>
      <c r="H747" s="321"/>
      <c r="I747" s="321"/>
      <c r="J747" s="323"/>
      <c r="K747" s="324"/>
      <c r="L747" s="285"/>
      <c r="M747" s="285"/>
      <c r="N747" s="285"/>
      <c r="O747" s="325"/>
      <c r="P747" s="285"/>
      <c r="Q747" s="325"/>
      <c r="R747" s="325"/>
      <c r="S747" s="285"/>
      <c r="T747" s="285"/>
      <c r="U747" s="285"/>
      <c r="V747" s="285"/>
      <c r="W747" s="285"/>
      <c r="X747" s="285"/>
      <c r="Y747" s="285"/>
      <c r="Z747" s="285"/>
    </row>
    <row r="748" ht="12.75" customHeight="1">
      <c r="A748" s="285"/>
      <c r="B748" s="75"/>
      <c r="C748" s="75"/>
      <c r="D748" s="321"/>
      <c r="E748" s="321"/>
      <c r="F748" s="322"/>
      <c r="G748" s="75"/>
      <c r="H748" s="321"/>
      <c r="I748" s="321"/>
      <c r="J748" s="323"/>
      <c r="K748" s="324"/>
      <c r="L748" s="285"/>
      <c r="M748" s="285"/>
      <c r="N748" s="285"/>
      <c r="O748" s="325"/>
      <c r="P748" s="285"/>
      <c r="Q748" s="325"/>
      <c r="R748" s="325"/>
      <c r="S748" s="285"/>
      <c r="T748" s="285"/>
      <c r="U748" s="285"/>
      <c r="V748" s="285"/>
      <c r="W748" s="285"/>
      <c r="X748" s="285"/>
      <c r="Y748" s="285"/>
      <c r="Z748" s="285"/>
    </row>
    <row r="749" ht="12.75" customHeight="1">
      <c r="A749" s="285"/>
      <c r="B749" s="75"/>
      <c r="C749" s="75"/>
      <c r="D749" s="321"/>
      <c r="E749" s="321"/>
      <c r="F749" s="322"/>
      <c r="G749" s="75"/>
      <c r="H749" s="321"/>
      <c r="I749" s="321"/>
      <c r="J749" s="323"/>
      <c r="K749" s="324"/>
      <c r="L749" s="285"/>
      <c r="M749" s="285"/>
      <c r="N749" s="285"/>
      <c r="O749" s="325"/>
      <c r="P749" s="285"/>
      <c r="Q749" s="325"/>
      <c r="R749" s="325"/>
      <c r="S749" s="285"/>
      <c r="T749" s="285"/>
      <c r="U749" s="285"/>
      <c r="V749" s="285"/>
      <c r="W749" s="285"/>
      <c r="X749" s="285"/>
      <c r="Y749" s="285"/>
      <c r="Z749" s="285"/>
    </row>
    <row r="750" ht="12.75" customHeight="1">
      <c r="A750" s="285"/>
      <c r="B750" s="75"/>
      <c r="C750" s="75"/>
      <c r="D750" s="321"/>
      <c r="E750" s="321"/>
      <c r="F750" s="322"/>
      <c r="G750" s="75"/>
      <c r="H750" s="321"/>
      <c r="I750" s="321"/>
      <c r="J750" s="323"/>
      <c r="K750" s="324"/>
      <c r="L750" s="285"/>
      <c r="M750" s="285"/>
      <c r="N750" s="285"/>
      <c r="O750" s="325"/>
      <c r="P750" s="285"/>
      <c r="Q750" s="325"/>
      <c r="R750" s="325"/>
      <c r="S750" s="285"/>
      <c r="T750" s="285"/>
      <c r="U750" s="285"/>
      <c r="V750" s="285"/>
      <c r="W750" s="285"/>
      <c r="X750" s="285"/>
      <c r="Y750" s="285"/>
      <c r="Z750" s="285"/>
    </row>
    <row r="751" ht="12.75" customHeight="1">
      <c r="A751" s="285"/>
      <c r="B751" s="75"/>
      <c r="C751" s="75"/>
      <c r="D751" s="321"/>
      <c r="E751" s="321"/>
      <c r="F751" s="322"/>
      <c r="G751" s="75"/>
      <c r="H751" s="321"/>
      <c r="I751" s="321"/>
      <c r="J751" s="323"/>
      <c r="K751" s="324"/>
      <c r="L751" s="285"/>
      <c r="M751" s="285"/>
      <c r="N751" s="285"/>
      <c r="O751" s="325"/>
      <c r="P751" s="285"/>
      <c r="Q751" s="325"/>
      <c r="R751" s="325"/>
      <c r="S751" s="285"/>
      <c r="T751" s="285"/>
      <c r="U751" s="285"/>
      <c r="V751" s="285"/>
      <c r="W751" s="285"/>
      <c r="X751" s="285"/>
      <c r="Y751" s="285"/>
      <c r="Z751" s="285"/>
    </row>
    <row r="752" ht="12.75" customHeight="1">
      <c r="A752" s="285"/>
      <c r="B752" s="75"/>
      <c r="C752" s="75"/>
      <c r="D752" s="321"/>
      <c r="E752" s="321"/>
      <c r="F752" s="322"/>
      <c r="G752" s="75"/>
      <c r="H752" s="321"/>
      <c r="I752" s="321"/>
      <c r="J752" s="323"/>
      <c r="K752" s="324"/>
      <c r="L752" s="285"/>
      <c r="M752" s="285"/>
      <c r="N752" s="285"/>
      <c r="O752" s="325"/>
      <c r="P752" s="285"/>
      <c r="Q752" s="325"/>
      <c r="R752" s="325"/>
      <c r="S752" s="285"/>
      <c r="T752" s="285"/>
      <c r="U752" s="285"/>
      <c r="V752" s="285"/>
      <c r="W752" s="285"/>
      <c r="X752" s="285"/>
      <c r="Y752" s="285"/>
      <c r="Z752" s="285"/>
    </row>
    <row r="753" ht="12.75" customHeight="1">
      <c r="A753" s="285"/>
      <c r="B753" s="75"/>
      <c r="C753" s="75"/>
      <c r="D753" s="321"/>
      <c r="E753" s="321"/>
      <c r="F753" s="322"/>
      <c r="G753" s="75"/>
      <c r="H753" s="321"/>
      <c r="I753" s="321"/>
      <c r="J753" s="323"/>
      <c r="K753" s="324"/>
      <c r="L753" s="285"/>
      <c r="M753" s="285"/>
      <c r="N753" s="285"/>
      <c r="O753" s="325"/>
      <c r="P753" s="285"/>
      <c r="Q753" s="325"/>
      <c r="R753" s="325"/>
      <c r="S753" s="285"/>
      <c r="T753" s="285"/>
      <c r="U753" s="285"/>
      <c r="V753" s="285"/>
      <c r="W753" s="285"/>
      <c r="X753" s="285"/>
      <c r="Y753" s="285"/>
      <c r="Z753" s="285"/>
    </row>
    <row r="754" ht="12.75" customHeight="1">
      <c r="A754" s="285"/>
      <c r="B754" s="75"/>
      <c r="C754" s="75"/>
      <c r="D754" s="321"/>
      <c r="E754" s="321"/>
      <c r="F754" s="322"/>
      <c r="G754" s="75"/>
      <c r="H754" s="321"/>
      <c r="I754" s="321"/>
      <c r="J754" s="323"/>
      <c r="K754" s="324"/>
      <c r="L754" s="285"/>
      <c r="M754" s="285"/>
      <c r="N754" s="285"/>
      <c r="O754" s="325"/>
      <c r="P754" s="285"/>
      <c r="Q754" s="325"/>
      <c r="R754" s="325"/>
      <c r="S754" s="285"/>
      <c r="T754" s="285"/>
      <c r="U754" s="285"/>
      <c r="V754" s="285"/>
      <c r="W754" s="285"/>
      <c r="X754" s="285"/>
      <c r="Y754" s="285"/>
      <c r="Z754" s="285"/>
    </row>
    <row r="755" ht="12.75" customHeight="1">
      <c r="A755" s="285"/>
      <c r="B755" s="75"/>
      <c r="C755" s="75"/>
      <c r="D755" s="321"/>
      <c r="E755" s="321"/>
      <c r="F755" s="322"/>
      <c r="G755" s="75"/>
      <c r="H755" s="321"/>
      <c r="I755" s="321"/>
      <c r="J755" s="323"/>
      <c r="K755" s="324"/>
      <c r="L755" s="285"/>
      <c r="M755" s="285"/>
      <c r="N755" s="285"/>
      <c r="O755" s="325"/>
      <c r="P755" s="285"/>
      <c r="Q755" s="325"/>
      <c r="R755" s="325"/>
      <c r="S755" s="285"/>
      <c r="T755" s="285"/>
      <c r="U755" s="285"/>
      <c r="V755" s="285"/>
      <c r="W755" s="285"/>
      <c r="X755" s="285"/>
      <c r="Y755" s="285"/>
      <c r="Z755" s="285"/>
    </row>
    <row r="756" ht="12.75" customHeight="1">
      <c r="A756" s="285"/>
      <c r="B756" s="75"/>
      <c r="C756" s="75"/>
      <c r="D756" s="321"/>
      <c r="E756" s="321"/>
      <c r="F756" s="322"/>
      <c r="G756" s="75"/>
      <c r="H756" s="321"/>
      <c r="I756" s="321"/>
      <c r="J756" s="323"/>
      <c r="K756" s="324"/>
      <c r="L756" s="285"/>
      <c r="M756" s="285"/>
      <c r="N756" s="285"/>
      <c r="O756" s="325"/>
      <c r="P756" s="285"/>
      <c r="Q756" s="325"/>
      <c r="R756" s="325"/>
      <c r="S756" s="285"/>
      <c r="T756" s="285"/>
      <c r="U756" s="285"/>
      <c r="V756" s="285"/>
      <c r="W756" s="285"/>
      <c r="X756" s="285"/>
      <c r="Y756" s="285"/>
      <c r="Z756" s="285"/>
    </row>
    <row r="757" ht="12.75" customHeight="1">
      <c r="A757" s="285"/>
      <c r="B757" s="75"/>
      <c r="C757" s="75"/>
      <c r="D757" s="321"/>
      <c r="E757" s="321"/>
      <c r="F757" s="322"/>
      <c r="G757" s="75"/>
      <c r="H757" s="321"/>
      <c r="I757" s="321"/>
      <c r="J757" s="323"/>
      <c r="K757" s="324"/>
      <c r="L757" s="285"/>
      <c r="M757" s="285"/>
      <c r="N757" s="285"/>
      <c r="O757" s="325"/>
      <c r="P757" s="285"/>
      <c r="Q757" s="325"/>
      <c r="R757" s="325"/>
      <c r="S757" s="285"/>
      <c r="T757" s="285"/>
      <c r="U757" s="285"/>
      <c r="V757" s="285"/>
      <c r="W757" s="285"/>
      <c r="X757" s="285"/>
      <c r="Y757" s="285"/>
      <c r="Z757" s="285"/>
    </row>
    <row r="758" ht="12.75" customHeight="1">
      <c r="A758" s="285"/>
      <c r="B758" s="75"/>
      <c r="C758" s="75"/>
      <c r="D758" s="321"/>
      <c r="E758" s="321"/>
      <c r="F758" s="322"/>
      <c r="G758" s="75"/>
      <c r="H758" s="321"/>
      <c r="I758" s="321"/>
      <c r="J758" s="323"/>
      <c r="K758" s="324"/>
      <c r="L758" s="285"/>
      <c r="M758" s="285"/>
      <c r="N758" s="285"/>
      <c r="O758" s="325"/>
      <c r="P758" s="285"/>
      <c r="Q758" s="325"/>
      <c r="R758" s="325"/>
      <c r="S758" s="285"/>
      <c r="T758" s="285"/>
      <c r="U758" s="285"/>
      <c r="V758" s="285"/>
      <c r="W758" s="285"/>
      <c r="X758" s="285"/>
      <c r="Y758" s="285"/>
      <c r="Z758" s="285"/>
    </row>
    <row r="759" ht="12.75" customHeight="1">
      <c r="A759" s="285"/>
      <c r="B759" s="75"/>
      <c r="C759" s="75"/>
      <c r="D759" s="321"/>
      <c r="E759" s="321"/>
      <c r="F759" s="322"/>
      <c r="G759" s="75"/>
      <c r="H759" s="321"/>
      <c r="I759" s="321"/>
      <c r="J759" s="323"/>
      <c r="K759" s="324"/>
      <c r="L759" s="285"/>
      <c r="M759" s="285"/>
      <c r="N759" s="285"/>
      <c r="O759" s="325"/>
      <c r="P759" s="285"/>
      <c r="Q759" s="325"/>
      <c r="R759" s="325"/>
      <c r="S759" s="285"/>
      <c r="T759" s="285"/>
      <c r="U759" s="285"/>
      <c r="V759" s="285"/>
      <c r="W759" s="285"/>
      <c r="X759" s="285"/>
      <c r="Y759" s="285"/>
      <c r="Z759" s="285"/>
    </row>
    <row r="760" ht="12.75" customHeight="1">
      <c r="A760" s="285"/>
      <c r="B760" s="75"/>
      <c r="C760" s="75"/>
      <c r="D760" s="321"/>
      <c r="E760" s="321"/>
      <c r="F760" s="322"/>
      <c r="G760" s="75"/>
      <c r="H760" s="321"/>
      <c r="I760" s="321"/>
      <c r="J760" s="323"/>
      <c r="K760" s="324"/>
      <c r="L760" s="285"/>
      <c r="M760" s="285"/>
      <c r="N760" s="285"/>
      <c r="O760" s="325"/>
      <c r="P760" s="285"/>
      <c r="Q760" s="325"/>
      <c r="R760" s="325"/>
      <c r="S760" s="285"/>
      <c r="T760" s="285"/>
      <c r="U760" s="285"/>
      <c r="V760" s="285"/>
      <c r="W760" s="285"/>
      <c r="X760" s="285"/>
      <c r="Y760" s="285"/>
      <c r="Z760" s="285"/>
    </row>
    <row r="761" ht="12.75" customHeight="1">
      <c r="A761" s="285"/>
      <c r="B761" s="75"/>
      <c r="C761" s="75"/>
      <c r="D761" s="321"/>
      <c r="E761" s="321"/>
      <c r="F761" s="322"/>
      <c r="G761" s="75"/>
      <c r="H761" s="321"/>
      <c r="I761" s="321"/>
      <c r="J761" s="323"/>
      <c r="K761" s="324"/>
      <c r="L761" s="285"/>
      <c r="M761" s="285"/>
      <c r="N761" s="285"/>
      <c r="O761" s="325"/>
      <c r="P761" s="285"/>
      <c r="Q761" s="325"/>
      <c r="R761" s="325"/>
      <c r="S761" s="285"/>
      <c r="T761" s="285"/>
      <c r="U761" s="285"/>
      <c r="V761" s="285"/>
      <c r="W761" s="285"/>
      <c r="X761" s="285"/>
      <c r="Y761" s="285"/>
      <c r="Z761" s="285"/>
    </row>
    <row r="762" ht="12.75" customHeight="1">
      <c r="A762" s="285"/>
      <c r="B762" s="75"/>
      <c r="C762" s="75"/>
      <c r="D762" s="321"/>
      <c r="E762" s="321"/>
      <c r="F762" s="322"/>
      <c r="G762" s="75"/>
      <c r="H762" s="321"/>
      <c r="I762" s="321"/>
      <c r="J762" s="323"/>
      <c r="K762" s="324"/>
      <c r="L762" s="285"/>
      <c r="M762" s="285"/>
      <c r="N762" s="285"/>
      <c r="O762" s="325"/>
      <c r="P762" s="285"/>
      <c r="Q762" s="325"/>
      <c r="R762" s="325"/>
      <c r="S762" s="285"/>
      <c r="T762" s="285"/>
      <c r="U762" s="285"/>
      <c r="V762" s="285"/>
      <c r="W762" s="285"/>
      <c r="X762" s="285"/>
      <c r="Y762" s="285"/>
      <c r="Z762" s="285"/>
    </row>
    <row r="763" ht="12.75" customHeight="1">
      <c r="A763" s="285"/>
      <c r="B763" s="75"/>
      <c r="C763" s="75"/>
      <c r="D763" s="321"/>
      <c r="E763" s="321"/>
      <c r="F763" s="322"/>
      <c r="G763" s="75"/>
      <c r="H763" s="321"/>
      <c r="I763" s="321"/>
      <c r="J763" s="323"/>
      <c r="K763" s="324"/>
      <c r="L763" s="285"/>
      <c r="M763" s="285"/>
      <c r="N763" s="285"/>
      <c r="O763" s="325"/>
      <c r="P763" s="285"/>
      <c r="Q763" s="325"/>
      <c r="R763" s="325"/>
      <c r="S763" s="285"/>
      <c r="T763" s="285"/>
      <c r="U763" s="285"/>
      <c r="V763" s="285"/>
      <c r="W763" s="285"/>
      <c r="X763" s="285"/>
      <c r="Y763" s="285"/>
      <c r="Z763" s="285"/>
    </row>
    <row r="764" ht="12.75" customHeight="1">
      <c r="A764" s="285"/>
      <c r="B764" s="75"/>
      <c r="C764" s="75"/>
      <c r="D764" s="321"/>
      <c r="E764" s="321"/>
      <c r="F764" s="322"/>
      <c r="G764" s="75"/>
      <c r="H764" s="321"/>
      <c r="I764" s="321"/>
      <c r="J764" s="323"/>
      <c r="K764" s="324"/>
      <c r="L764" s="285"/>
      <c r="M764" s="285"/>
      <c r="N764" s="285"/>
      <c r="O764" s="325"/>
      <c r="P764" s="285"/>
      <c r="Q764" s="325"/>
      <c r="R764" s="325"/>
      <c r="S764" s="285"/>
      <c r="T764" s="285"/>
      <c r="U764" s="285"/>
      <c r="V764" s="285"/>
      <c r="W764" s="285"/>
      <c r="X764" s="285"/>
      <c r="Y764" s="285"/>
      <c r="Z764" s="285"/>
    </row>
    <row r="765" ht="12.75" customHeight="1">
      <c r="A765" s="285"/>
      <c r="B765" s="75"/>
      <c r="C765" s="75"/>
      <c r="D765" s="321"/>
      <c r="E765" s="321"/>
      <c r="F765" s="322"/>
      <c r="G765" s="75"/>
      <c r="H765" s="321"/>
      <c r="I765" s="321"/>
      <c r="J765" s="323"/>
      <c r="K765" s="324"/>
      <c r="L765" s="285"/>
      <c r="M765" s="285"/>
      <c r="N765" s="285"/>
      <c r="O765" s="325"/>
      <c r="P765" s="285"/>
      <c r="Q765" s="325"/>
      <c r="R765" s="325"/>
      <c r="S765" s="285"/>
      <c r="T765" s="285"/>
      <c r="U765" s="285"/>
      <c r="V765" s="285"/>
      <c r="W765" s="285"/>
      <c r="X765" s="285"/>
      <c r="Y765" s="285"/>
      <c r="Z765" s="285"/>
    </row>
    <row r="766" ht="12.75" customHeight="1">
      <c r="A766" s="285"/>
      <c r="B766" s="75"/>
      <c r="C766" s="75"/>
      <c r="D766" s="321"/>
      <c r="E766" s="321"/>
      <c r="F766" s="322"/>
      <c r="G766" s="75"/>
      <c r="H766" s="321"/>
      <c r="I766" s="321"/>
      <c r="J766" s="323"/>
      <c r="K766" s="324"/>
      <c r="L766" s="285"/>
      <c r="M766" s="285"/>
      <c r="N766" s="285"/>
      <c r="O766" s="325"/>
      <c r="P766" s="285"/>
      <c r="Q766" s="325"/>
      <c r="R766" s="325"/>
      <c r="S766" s="285"/>
      <c r="T766" s="285"/>
      <c r="U766" s="285"/>
      <c r="V766" s="285"/>
      <c r="W766" s="285"/>
      <c r="X766" s="285"/>
      <c r="Y766" s="285"/>
      <c r="Z766" s="285"/>
    </row>
    <row r="767" ht="12.75" customHeight="1">
      <c r="A767" s="285"/>
      <c r="B767" s="75"/>
      <c r="C767" s="75"/>
      <c r="D767" s="321"/>
      <c r="E767" s="321"/>
      <c r="F767" s="322"/>
      <c r="G767" s="75"/>
      <c r="H767" s="321"/>
      <c r="I767" s="321"/>
      <c r="J767" s="323"/>
      <c r="K767" s="324"/>
      <c r="L767" s="285"/>
      <c r="M767" s="285"/>
      <c r="N767" s="285"/>
      <c r="O767" s="325"/>
      <c r="P767" s="285"/>
      <c r="Q767" s="325"/>
      <c r="R767" s="325"/>
      <c r="S767" s="285"/>
      <c r="T767" s="285"/>
      <c r="U767" s="285"/>
      <c r="V767" s="285"/>
      <c r="W767" s="285"/>
      <c r="X767" s="285"/>
      <c r="Y767" s="285"/>
      <c r="Z767" s="285"/>
    </row>
    <row r="768" ht="12.75" customHeight="1">
      <c r="A768" s="285"/>
      <c r="B768" s="75"/>
      <c r="C768" s="75"/>
      <c r="D768" s="321"/>
      <c r="E768" s="321"/>
      <c r="F768" s="322"/>
      <c r="G768" s="75"/>
      <c r="H768" s="321"/>
      <c r="I768" s="321"/>
      <c r="J768" s="323"/>
      <c r="K768" s="324"/>
      <c r="L768" s="285"/>
      <c r="M768" s="285"/>
      <c r="N768" s="285"/>
      <c r="O768" s="325"/>
      <c r="P768" s="285"/>
      <c r="Q768" s="325"/>
      <c r="R768" s="325"/>
      <c r="S768" s="285"/>
      <c r="T768" s="285"/>
      <c r="U768" s="285"/>
      <c r="V768" s="285"/>
      <c r="W768" s="285"/>
      <c r="X768" s="285"/>
      <c r="Y768" s="285"/>
      <c r="Z768" s="285"/>
    </row>
    <row r="769" ht="12.75" customHeight="1">
      <c r="A769" s="285"/>
      <c r="B769" s="75"/>
      <c r="C769" s="75"/>
      <c r="D769" s="321"/>
      <c r="E769" s="321"/>
      <c r="F769" s="322"/>
      <c r="G769" s="75"/>
      <c r="H769" s="321"/>
      <c r="I769" s="321"/>
      <c r="J769" s="323"/>
      <c r="K769" s="324"/>
      <c r="L769" s="285"/>
      <c r="M769" s="285"/>
      <c r="N769" s="285"/>
      <c r="O769" s="325"/>
      <c r="P769" s="285"/>
      <c r="Q769" s="325"/>
      <c r="R769" s="325"/>
      <c r="S769" s="285"/>
      <c r="T769" s="285"/>
      <c r="U769" s="285"/>
      <c r="V769" s="285"/>
      <c r="W769" s="285"/>
      <c r="X769" s="285"/>
      <c r="Y769" s="285"/>
      <c r="Z769" s="285"/>
    </row>
    <row r="770" ht="12.75" customHeight="1">
      <c r="A770" s="285"/>
      <c r="B770" s="75"/>
      <c r="C770" s="75"/>
      <c r="D770" s="321"/>
      <c r="E770" s="321"/>
      <c r="F770" s="322"/>
      <c r="G770" s="75"/>
      <c r="H770" s="321"/>
      <c r="I770" s="321"/>
      <c r="J770" s="323"/>
      <c r="K770" s="324"/>
      <c r="L770" s="285"/>
      <c r="M770" s="285"/>
      <c r="N770" s="285"/>
      <c r="O770" s="325"/>
      <c r="P770" s="285"/>
      <c r="Q770" s="325"/>
      <c r="R770" s="325"/>
      <c r="S770" s="285"/>
      <c r="T770" s="285"/>
      <c r="U770" s="285"/>
      <c r="V770" s="285"/>
      <c r="W770" s="285"/>
      <c r="X770" s="285"/>
      <c r="Y770" s="285"/>
      <c r="Z770" s="285"/>
    </row>
    <row r="771" ht="12.75" customHeight="1">
      <c r="A771" s="285"/>
      <c r="B771" s="75"/>
      <c r="C771" s="75"/>
      <c r="D771" s="321"/>
      <c r="E771" s="321"/>
      <c r="F771" s="322"/>
      <c r="G771" s="75"/>
      <c r="H771" s="321"/>
      <c r="I771" s="321"/>
      <c r="J771" s="323"/>
      <c r="K771" s="324"/>
      <c r="L771" s="285"/>
      <c r="M771" s="285"/>
      <c r="N771" s="285"/>
      <c r="O771" s="325"/>
      <c r="P771" s="285"/>
      <c r="Q771" s="325"/>
      <c r="R771" s="325"/>
      <c r="S771" s="285"/>
      <c r="T771" s="285"/>
      <c r="U771" s="285"/>
      <c r="V771" s="285"/>
      <c r="W771" s="285"/>
      <c r="X771" s="285"/>
      <c r="Y771" s="285"/>
      <c r="Z771" s="285"/>
    </row>
    <row r="772" ht="12.75" customHeight="1">
      <c r="A772" s="285"/>
      <c r="B772" s="75"/>
      <c r="C772" s="75"/>
      <c r="D772" s="321"/>
      <c r="E772" s="321"/>
      <c r="F772" s="322"/>
      <c r="G772" s="75"/>
      <c r="H772" s="321"/>
      <c r="I772" s="321"/>
      <c r="J772" s="323"/>
      <c r="K772" s="324"/>
      <c r="L772" s="285"/>
      <c r="M772" s="285"/>
      <c r="N772" s="285"/>
      <c r="O772" s="325"/>
      <c r="P772" s="285"/>
      <c r="Q772" s="325"/>
      <c r="R772" s="325"/>
      <c r="S772" s="285"/>
      <c r="T772" s="285"/>
      <c r="U772" s="285"/>
      <c r="V772" s="285"/>
      <c r="W772" s="285"/>
      <c r="X772" s="285"/>
      <c r="Y772" s="285"/>
      <c r="Z772" s="285"/>
    </row>
    <row r="773" ht="12.75" customHeight="1">
      <c r="A773" s="285"/>
      <c r="B773" s="75"/>
      <c r="C773" s="75"/>
      <c r="D773" s="321"/>
      <c r="E773" s="321"/>
      <c r="F773" s="322"/>
      <c r="G773" s="75"/>
      <c r="H773" s="321"/>
      <c r="I773" s="321"/>
      <c r="J773" s="323"/>
      <c r="K773" s="324"/>
      <c r="L773" s="285"/>
      <c r="M773" s="285"/>
      <c r="N773" s="285"/>
      <c r="O773" s="325"/>
      <c r="P773" s="285"/>
      <c r="Q773" s="325"/>
      <c r="R773" s="325"/>
      <c r="S773" s="285"/>
      <c r="T773" s="285"/>
      <c r="U773" s="285"/>
      <c r="V773" s="285"/>
      <c r="W773" s="285"/>
      <c r="X773" s="285"/>
      <c r="Y773" s="285"/>
      <c r="Z773" s="285"/>
    </row>
    <row r="774" ht="12.75" customHeight="1">
      <c r="A774" s="285"/>
      <c r="B774" s="75"/>
      <c r="C774" s="75"/>
      <c r="D774" s="321"/>
      <c r="E774" s="321"/>
      <c r="F774" s="322"/>
      <c r="G774" s="75"/>
      <c r="H774" s="321"/>
      <c r="I774" s="321"/>
      <c r="J774" s="323"/>
      <c r="K774" s="324"/>
      <c r="L774" s="285"/>
      <c r="M774" s="285"/>
      <c r="N774" s="285"/>
      <c r="O774" s="325"/>
      <c r="P774" s="285"/>
      <c r="Q774" s="325"/>
      <c r="R774" s="325"/>
      <c r="S774" s="285"/>
      <c r="T774" s="285"/>
      <c r="U774" s="285"/>
      <c r="V774" s="285"/>
      <c r="W774" s="285"/>
      <c r="X774" s="285"/>
      <c r="Y774" s="285"/>
      <c r="Z774" s="285"/>
    </row>
    <row r="775" ht="12.75" customHeight="1">
      <c r="A775" s="285"/>
      <c r="B775" s="75"/>
      <c r="C775" s="75"/>
      <c r="D775" s="321"/>
      <c r="E775" s="321"/>
      <c r="F775" s="322"/>
      <c r="G775" s="75"/>
      <c r="H775" s="321"/>
      <c r="I775" s="321"/>
      <c r="J775" s="323"/>
      <c r="K775" s="324"/>
      <c r="L775" s="285"/>
      <c r="M775" s="285"/>
      <c r="N775" s="285"/>
      <c r="O775" s="325"/>
      <c r="P775" s="285"/>
      <c r="Q775" s="325"/>
      <c r="R775" s="325"/>
      <c r="S775" s="285"/>
      <c r="T775" s="285"/>
      <c r="U775" s="285"/>
      <c r="V775" s="285"/>
      <c r="W775" s="285"/>
      <c r="X775" s="285"/>
      <c r="Y775" s="285"/>
      <c r="Z775" s="285"/>
    </row>
    <row r="776" ht="12.75" customHeight="1">
      <c r="A776" s="285"/>
      <c r="B776" s="75"/>
      <c r="C776" s="75"/>
      <c r="D776" s="321"/>
      <c r="E776" s="321"/>
      <c r="F776" s="322"/>
      <c r="G776" s="75"/>
      <c r="H776" s="321"/>
      <c r="I776" s="321"/>
      <c r="J776" s="323"/>
      <c r="K776" s="324"/>
      <c r="L776" s="285"/>
      <c r="M776" s="285"/>
      <c r="N776" s="285"/>
      <c r="O776" s="325"/>
      <c r="P776" s="285"/>
      <c r="Q776" s="325"/>
      <c r="R776" s="325"/>
      <c r="S776" s="285"/>
      <c r="T776" s="285"/>
      <c r="U776" s="285"/>
      <c r="V776" s="285"/>
      <c r="W776" s="285"/>
      <c r="X776" s="285"/>
      <c r="Y776" s="285"/>
      <c r="Z776" s="285"/>
    </row>
    <row r="777" ht="12.75" customHeight="1">
      <c r="A777" s="285"/>
      <c r="B777" s="75"/>
      <c r="C777" s="75"/>
      <c r="D777" s="321"/>
      <c r="E777" s="321"/>
      <c r="F777" s="322"/>
      <c r="G777" s="75"/>
      <c r="H777" s="321"/>
      <c r="I777" s="321"/>
      <c r="J777" s="323"/>
      <c r="K777" s="324"/>
      <c r="L777" s="285"/>
      <c r="M777" s="285"/>
      <c r="N777" s="285"/>
      <c r="O777" s="325"/>
      <c r="P777" s="285"/>
      <c r="Q777" s="325"/>
      <c r="R777" s="325"/>
      <c r="S777" s="285"/>
      <c r="T777" s="285"/>
      <c r="U777" s="285"/>
      <c r="V777" s="285"/>
      <c r="W777" s="285"/>
      <c r="X777" s="285"/>
      <c r="Y777" s="285"/>
      <c r="Z777" s="285"/>
    </row>
    <row r="778" ht="12.75" customHeight="1">
      <c r="A778" s="285"/>
      <c r="B778" s="75"/>
      <c r="C778" s="75"/>
      <c r="D778" s="321"/>
      <c r="E778" s="321"/>
      <c r="F778" s="322"/>
      <c r="G778" s="75"/>
      <c r="H778" s="321"/>
      <c r="I778" s="321"/>
      <c r="J778" s="323"/>
      <c r="K778" s="324"/>
      <c r="L778" s="285"/>
      <c r="M778" s="285"/>
      <c r="N778" s="285"/>
      <c r="O778" s="325"/>
      <c r="P778" s="285"/>
      <c r="Q778" s="325"/>
      <c r="R778" s="325"/>
      <c r="S778" s="285"/>
      <c r="T778" s="285"/>
      <c r="U778" s="285"/>
      <c r="V778" s="285"/>
      <c r="W778" s="285"/>
      <c r="X778" s="285"/>
      <c r="Y778" s="285"/>
      <c r="Z778" s="285"/>
    </row>
    <row r="779" ht="12.75" customHeight="1">
      <c r="A779" s="285"/>
      <c r="B779" s="75"/>
      <c r="C779" s="75"/>
      <c r="D779" s="321"/>
      <c r="E779" s="321"/>
      <c r="F779" s="322"/>
      <c r="G779" s="75"/>
      <c r="H779" s="321"/>
      <c r="I779" s="321"/>
      <c r="J779" s="323"/>
      <c r="K779" s="324"/>
      <c r="L779" s="285"/>
      <c r="M779" s="285"/>
      <c r="N779" s="285"/>
      <c r="O779" s="325"/>
      <c r="P779" s="285"/>
      <c r="Q779" s="325"/>
      <c r="R779" s="325"/>
      <c r="S779" s="285"/>
      <c r="T779" s="285"/>
      <c r="U779" s="285"/>
      <c r="V779" s="285"/>
      <c r="W779" s="285"/>
      <c r="X779" s="285"/>
      <c r="Y779" s="285"/>
      <c r="Z779" s="285"/>
    </row>
    <row r="780" ht="12.75" customHeight="1">
      <c r="A780" s="285"/>
      <c r="B780" s="75"/>
      <c r="C780" s="75"/>
      <c r="D780" s="321"/>
      <c r="E780" s="321"/>
      <c r="F780" s="322"/>
      <c r="G780" s="75"/>
      <c r="H780" s="321"/>
      <c r="I780" s="321"/>
      <c r="J780" s="323"/>
      <c r="K780" s="324"/>
      <c r="L780" s="285"/>
      <c r="M780" s="285"/>
      <c r="N780" s="285"/>
      <c r="O780" s="325"/>
      <c r="P780" s="285"/>
      <c r="Q780" s="325"/>
      <c r="R780" s="325"/>
      <c r="S780" s="285"/>
      <c r="T780" s="285"/>
      <c r="U780" s="285"/>
      <c r="V780" s="285"/>
      <c r="W780" s="285"/>
      <c r="X780" s="285"/>
      <c r="Y780" s="285"/>
      <c r="Z780" s="285"/>
    </row>
    <row r="781" ht="12.75" customHeight="1">
      <c r="A781" s="285"/>
      <c r="B781" s="75"/>
      <c r="C781" s="75"/>
      <c r="D781" s="321"/>
      <c r="E781" s="321"/>
      <c r="F781" s="322"/>
      <c r="G781" s="75"/>
      <c r="H781" s="321"/>
      <c r="I781" s="321"/>
      <c r="J781" s="323"/>
      <c r="K781" s="324"/>
      <c r="L781" s="285"/>
      <c r="M781" s="285"/>
      <c r="N781" s="285"/>
      <c r="O781" s="325"/>
      <c r="P781" s="285"/>
      <c r="Q781" s="325"/>
      <c r="R781" s="325"/>
      <c r="S781" s="285"/>
      <c r="T781" s="285"/>
      <c r="U781" s="285"/>
      <c r="V781" s="285"/>
      <c r="W781" s="285"/>
      <c r="X781" s="285"/>
      <c r="Y781" s="285"/>
      <c r="Z781" s="285"/>
    </row>
    <row r="782" ht="12.75" customHeight="1">
      <c r="A782" s="285"/>
      <c r="B782" s="75"/>
      <c r="C782" s="75"/>
      <c r="D782" s="321"/>
      <c r="E782" s="321"/>
      <c r="F782" s="322"/>
      <c r="G782" s="75"/>
      <c r="H782" s="321"/>
      <c r="I782" s="321"/>
      <c r="J782" s="323"/>
      <c r="K782" s="324"/>
      <c r="L782" s="285"/>
      <c r="M782" s="285"/>
      <c r="N782" s="285"/>
      <c r="O782" s="325"/>
      <c r="P782" s="285"/>
      <c r="Q782" s="325"/>
      <c r="R782" s="325"/>
      <c r="S782" s="285"/>
      <c r="T782" s="285"/>
      <c r="U782" s="285"/>
      <c r="V782" s="285"/>
      <c r="W782" s="285"/>
      <c r="X782" s="285"/>
      <c r="Y782" s="285"/>
      <c r="Z782" s="285"/>
    </row>
    <row r="783" ht="12.75" customHeight="1">
      <c r="A783" s="285"/>
      <c r="B783" s="75"/>
      <c r="C783" s="75"/>
      <c r="D783" s="321"/>
      <c r="E783" s="321"/>
      <c r="F783" s="322"/>
      <c r="G783" s="75"/>
      <c r="H783" s="321"/>
      <c r="I783" s="321"/>
      <c r="J783" s="323"/>
      <c r="K783" s="324"/>
      <c r="L783" s="285"/>
      <c r="M783" s="285"/>
      <c r="N783" s="285"/>
      <c r="O783" s="325"/>
      <c r="P783" s="285"/>
      <c r="Q783" s="325"/>
      <c r="R783" s="325"/>
      <c r="S783" s="285"/>
      <c r="T783" s="285"/>
      <c r="U783" s="285"/>
      <c r="V783" s="285"/>
      <c r="W783" s="285"/>
      <c r="X783" s="285"/>
      <c r="Y783" s="285"/>
      <c r="Z783" s="285"/>
    </row>
    <row r="784" ht="12.75" customHeight="1">
      <c r="A784" s="285"/>
      <c r="B784" s="75"/>
      <c r="C784" s="75"/>
      <c r="D784" s="321"/>
      <c r="E784" s="321"/>
      <c r="F784" s="322"/>
      <c r="G784" s="75"/>
      <c r="H784" s="321"/>
      <c r="I784" s="321"/>
      <c r="J784" s="323"/>
      <c r="K784" s="324"/>
      <c r="L784" s="285"/>
      <c r="M784" s="285"/>
      <c r="N784" s="285"/>
      <c r="O784" s="325"/>
      <c r="P784" s="285"/>
      <c r="Q784" s="325"/>
      <c r="R784" s="325"/>
      <c r="S784" s="285"/>
      <c r="T784" s="285"/>
      <c r="U784" s="285"/>
      <c r="V784" s="285"/>
      <c r="W784" s="285"/>
      <c r="X784" s="285"/>
      <c r="Y784" s="285"/>
      <c r="Z784" s="285"/>
    </row>
    <row r="785" ht="12.75" customHeight="1">
      <c r="A785" s="285"/>
      <c r="B785" s="75"/>
      <c r="C785" s="75"/>
      <c r="D785" s="321"/>
      <c r="E785" s="321"/>
      <c r="F785" s="322"/>
      <c r="G785" s="75"/>
      <c r="H785" s="321"/>
      <c r="I785" s="321"/>
      <c r="J785" s="323"/>
      <c r="K785" s="324"/>
      <c r="L785" s="285"/>
      <c r="M785" s="285"/>
      <c r="N785" s="285"/>
      <c r="O785" s="325"/>
      <c r="P785" s="285"/>
      <c r="Q785" s="325"/>
      <c r="R785" s="325"/>
      <c r="S785" s="285"/>
      <c r="T785" s="285"/>
      <c r="U785" s="285"/>
      <c r="V785" s="285"/>
      <c r="W785" s="285"/>
      <c r="X785" s="285"/>
      <c r="Y785" s="285"/>
      <c r="Z785" s="285"/>
    </row>
    <row r="786" ht="12.75" customHeight="1">
      <c r="A786" s="285"/>
      <c r="B786" s="75"/>
      <c r="C786" s="75"/>
      <c r="D786" s="321"/>
      <c r="E786" s="321"/>
      <c r="F786" s="322"/>
      <c r="G786" s="75"/>
      <c r="H786" s="321"/>
      <c r="I786" s="321"/>
      <c r="J786" s="323"/>
      <c r="K786" s="324"/>
      <c r="L786" s="285"/>
      <c r="M786" s="285"/>
      <c r="N786" s="285"/>
      <c r="O786" s="325"/>
      <c r="P786" s="285"/>
      <c r="Q786" s="325"/>
      <c r="R786" s="325"/>
      <c r="S786" s="285"/>
      <c r="T786" s="285"/>
      <c r="U786" s="285"/>
      <c r="V786" s="285"/>
      <c r="W786" s="285"/>
      <c r="X786" s="285"/>
      <c r="Y786" s="285"/>
      <c r="Z786" s="285"/>
    </row>
    <row r="787" ht="12.75" customHeight="1">
      <c r="A787" s="285"/>
      <c r="B787" s="75"/>
      <c r="C787" s="75"/>
      <c r="D787" s="321"/>
      <c r="E787" s="321"/>
      <c r="F787" s="322"/>
      <c r="G787" s="75"/>
      <c r="H787" s="321"/>
      <c r="I787" s="321"/>
      <c r="J787" s="323"/>
      <c r="K787" s="324"/>
      <c r="L787" s="285"/>
      <c r="M787" s="285"/>
      <c r="N787" s="285"/>
      <c r="O787" s="325"/>
      <c r="P787" s="285"/>
      <c r="Q787" s="325"/>
      <c r="R787" s="325"/>
      <c r="S787" s="285"/>
      <c r="T787" s="285"/>
      <c r="U787" s="285"/>
      <c r="V787" s="285"/>
      <c r="W787" s="285"/>
      <c r="X787" s="285"/>
      <c r="Y787" s="285"/>
      <c r="Z787" s="285"/>
    </row>
    <row r="788" ht="12.75" customHeight="1">
      <c r="A788" s="285"/>
      <c r="B788" s="75"/>
      <c r="C788" s="75"/>
      <c r="D788" s="321"/>
      <c r="E788" s="321"/>
      <c r="F788" s="322"/>
      <c r="G788" s="75"/>
      <c r="H788" s="321"/>
      <c r="I788" s="321"/>
      <c r="J788" s="323"/>
      <c r="K788" s="324"/>
      <c r="L788" s="285"/>
      <c r="M788" s="285"/>
      <c r="N788" s="285"/>
      <c r="O788" s="325"/>
      <c r="P788" s="285"/>
      <c r="Q788" s="325"/>
      <c r="R788" s="325"/>
      <c r="S788" s="285"/>
      <c r="T788" s="285"/>
      <c r="U788" s="285"/>
      <c r="V788" s="285"/>
      <c r="W788" s="285"/>
      <c r="X788" s="285"/>
      <c r="Y788" s="285"/>
      <c r="Z788" s="285"/>
    </row>
    <row r="789" ht="12.75" customHeight="1">
      <c r="A789" s="285"/>
      <c r="B789" s="75"/>
      <c r="C789" s="75"/>
      <c r="D789" s="321"/>
      <c r="E789" s="321"/>
      <c r="F789" s="322"/>
      <c r="G789" s="75"/>
      <c r="H789" s="321"/>
      <c r="I789" s="321"/>
      <c r="J789" s="323"/>
      <c r="K789" s="324"/>
      <c r="L789" s="285"/>
      <c r="M789" s="285"/>
      <c r="N789" s="285"/>
      <c r="O789" s="325"/>
      <c r="P789" s="285"/>
      <c r="Q789" s="325"/>
      <c r="R789" s="325"/>
      <c r="S789" s="285"/>
      <c r="T789" s="285"/>
      <c r="U789" s="285"/>
      <c r="V789" s="285"/>
      <c r="W789" s="285"/>
      <c r="X789" s="285"/>
      <c r="Y789" s="285"/>
      <c r="Z789" s="285"/>
    </row>
    <row r="790" ht="12.75" customHeight="1">
      <c r="A790" s="285"/>
      <c r="B790" s="75"/>
      <c r="C790" s="75"/>
      <c r="D790" s="321"/>
      <c r="E790" s="321"/>
      <c r="F790" s="322"/>
      <c r="G790" s="75"/>
      <c r="H790" s="321"/>
      <c r="I790" s="321"/>
      <c r="J790" s="323"/>
      <c r="K790" s="324"/>
      <c r="L790" s="285"/>
      <c r="M790" s="285"/>
      <c r="N790" s="285"/>
      <c r="O790" s="325"/>
      <c r="P790" s="285"/>
      <c r="Q790" s="325"/>
      <c r="R790" s="325"/>
      <c r="S790" s="285"/>
      <c r="T790" s="285"/>
      <c r="U790" s="285"/>
      <c r="V790" s="285"/>
      <c r="W790" s="285"/>
      <c r="X790" s="285"/>
      <c r="Y790" s="285"/>
      <c r="Z790" s="285"/>
    </row>
    <row r="791" ht="12.75" customHeight="1">
      <c r="A791" s="285"/>
      <c r="B791" s="75"/>
      <c r="C791" s="75"/>
      <c r="D791" s="321"/>
      <c r="E791" s="321"/>
      <c r="F791" s="322"/>
      <c r="G791" s="75"/>
      <c r="H791" s="321"/>
      <c r="I791" s="321"/>
      <c r="J791" s="323"/>
      <c r="K791" s="324"/>
      <c r="L791" s="285"/>
      <c r="M791" s="285"/>
      <c r="N791" s="285"/>
      <c r="O791" s="325"/>
      <c r="P791" s="285"/>
      <c r="Q791" s="325"/>
      <c r="R791" s="325"/>
      <c r="S791" s="285"/>
      <c r="T791" s="285"/>
      <c r="U791" s="285"/>
      <c r="V791" s="285"/>
      <c r="W791" s="285"/>
      <c r="X791" s="285"/>
      <c r="Y791" s="285"/>
      <c r="Z791" s="285"/>
    </row>
    <row r="792" ht="12.75" customHeight="1">
      <c r="A792" s="285"/>
      <c r="B792" s="75"/>
      <c r="C792" s="75"/>
      <c r="D792" s="321"/>
      <c r="E792" s="321"/>
      <c r="F792" s="322"/>
      <c r="G792" s="75"/>
      <c r="H792" s="321"/>
      <c r="I792" s="321"/>
      <c r="J792" s="323"/>
      <c r="K792" s="324"/>
      <c r="L792" s="285"/>
      <c r="M792" s="285"/>
      <c r="N792" s="285"/>
      <c r="O792" s="325"/>
      <c r="P792" s="285"/>
      <c r="Q792" s="325"/>
      <c r="R792" s="325"/>
      <c r="S792" s="285"/>
      <c r="T792" s="285"/>
      <c r="U792" s="285"/>
      <c r="V792" s="285"/>
      <c r="W792" s="285"/>
      <c r="X792" s="285"/>
      <c r="Y792" s="285"/>
      <c r="Z792" s="285"/>
    </row>
    <row r="793" ht="12.75" customHeight="1">
      <c r="A793" s="285"/>
      <c r="B793" s="75"/>
      <c r="C793" s="75"/>
      <c r="D793" s="321"/>
      <c r="E793" s="321"/>
      <c r="F793" s="322"/>
      <c r="G793" s="75"/>
      <c r="H793" s="321"/>
      <c r="I793" s="321"/>
      <c r="J793" s="323"/>
      <c r="K793" s="324"/>
      <c r="L793" s="285"/>
      <c r="M793" s="285"/>
      <c r="N793" s="285"/>
      <c r="O793" s="325"/>
      <c r="P793" s="285"/>
      <c r="Q793" s="325"/>
      <c r="R793" s="325"/>
      <c r="S793" s="285"/>
      <c r="T793" s="285"/>
      <c r="U793" s="285"/>
      <c r="V793" s="285"/>
      <c r="W793" s="285"/>
      <c r="X793" s="285"/>
      <c r="Y793" s="285"/>
      <c r="Z793" s="285"/>
    </row>
    <row r="794" ht="12.75" customHeight="1">
      <c r="A794" s="285"/>
      <c r="B794" s="75"/>
      <c r="C794" s="75"/>
      <c r="D794" s="321"/>
      <c r="E794" s="321"/>
      <c r="F794" s="322"/>
      <c r="G794" s="75"/>
      <c r="H794" s="321"/>
      <c r="I794" s="321"/>
      <c r="J794" s="323"/>
      <c r="K794" s="324"/>
      <c r="L794" s="285"/>
      <c r="M794" s="285"/>
      <c r="N794" s="285"/>
      <c r="O794" s="325"/>
      <c r="P794" s="285"/>
      <c r="Q794" s="325"/>
      <c r="R794" s="325"/>
      <c r="S794" s="285"/>
      <c r="T794" s="285"/>
      <c r="U794" s="285"/>
      <c r="V794" s="285"/>
      <c r="W794" s="285"/>
      <c r="X794" s="285"/>
      <c r="Y794" s="285"/>
      <c r="Z794" s="285"/>
    </row>
    <row r="795" ht="12.75" customHeight="1">
      <c r="A795" s="285"/>
      <c r="B795" s="75"/>
      <c r="C795" s="75"/>
      <c r="D795" s="321"/>
      <c r="E795" s="321"/>
      <c r="F795" s="322"/>
      <c r="G795" s="75"/>
      <c r="H795" s="321"/>
      <c r="I795" s="321"/>
      <c r="J795" s="323"/>
      <c r="K795" s="324"/>
      <c r="L795" s="285"/>
      <c r="M795" s="285"/>
      <c r="N795" s="285"/>
      <c r="O795" s="325"/>
      <c r="P795" s="285"/>
      <c r="Q795" s="325"/>
      <c r="R795" s="325"/>
      <c r="S795" s="285"/>
      <c r="T795" s="285"/>
      <c r="U795" s="285"/>
      <c r="V795" s="285"/>
      <c r="W795" s="285"/>
      <c r="X795" s="285"/>
      <c r="Y795" s="285"/>
      <c r="Z795" s="285"/>
    </row>
    <row r="796" ht="12.75" customHeight="1">
      <c r="A796" s="285"/>
      <c r="B796" s="75"/>
      <c r="C796" s="75"/>
      <c r="D796" s="321"/>
      <c r="E796" s="321"/>
      <c r="F796" s="322"/>
      <c r="G796" s="75"/>
      <c r="H796" s="321"/>
      <c r="I796" s="321"/>
      <c r="J796" s="323"/>
      <c r="K796" s="324"/>
      <c r="L796" s="285"/>
      <c r="M796" s="285"/>
      <c r="N796" s="285"/>
      <c r="O796" s="325"/>
      <c r="P796" s="285"/>
      <c r="Q796" s="325"/>
      <c r="R796" s="325"/>
      <c r="S796" s="285"/>
      <c r="T796" s="285"/>
      <c r="U796" s="285"/>
      <c r="V796" s="285"/>
      <c r="W796" s="285"/>
      <c r="X796" s="285"/>
      <c r="Y796" s="285"/>
      <c r="Z796" s="285"/>
    </row>
    <row r="797" ht="12.75" customHeight="1">
      <c r="A797" s="285"/>
      <c r="B797" s="75"/>
      <c r="C797" s="75"/>
      <c r="D797" s="321"/>
      <c r="E797" s="321"/>
      <c r="F797" s="322"/>
      <c r="G797" s="75"/>
      <c r="H797" s="321"/>
      <c r="I797" s="321"/>
      <c r="J797" s="323"/>
      <c r="K797" s="324"/>
      <c r="L797" s="285"/>
      <c r="M797" s="285"/>
      <c r="N797" s="285"/>
      <c r="O797" s="325"/>
      <c r="P797" s="285"/>
      <c r="Q797" s="325"/>
      <c r="R797" s="325"/>
      <c r="S797" s="285"/>
      <c r="T797" s="285"/>
      <c r="U797" s="285"/>
      <c r="V797" s="285"/>
      <c r="W797" s="285"/>
      <c r="X797" s="285"/>
      <c r="Y797" s="285"/>
      <c r="Z797" s="285"/>
    </row>
    <row r="798" ht="12.75" customHeight="1">
      <c r="A798" s="285"/>
      <c r="B798" s="75"/>
      <c r="C798" s="75"/>
      <c r="D798" s="321"/>
      <c r="E798" s="321"/>
      <c r="F798" s="322"/>
      <c r="G798" s="75"/>
      <c r="H798" s="321"/>
      <c r="I798" s="321"/>
      <c r="J798" s="323"/>
      <c r="K798" s="324"/>
      <c r="L798" s="285"/>
      <c r="M798" s="285"/>
      <c r="N798" s="285"/>
      <c r="O798" s="325"/>
      <c r="P798" s="285"/>
      <c r="Q798" s="325"/>
      <c r="R798" s="325"/>
      <c r="S798" s="285"/>
      <c r="T798" s="285"/>
      <c r="U798" s="285"/>
      <c r="V798" s="285"/>
      <c r="W798" s="285"/>
      <c r="X798" s="285"/>
      <c r="Y798" s="285"/>
      <c r="Z798" s="285"/>
    </row>
    <row r="799" ht="12.75" customHeight="1">
      <c r="A799" s="285"/>
      <c r="B799" s="75"/>
      <c r="C799" s="75"/>
      <c r="D799" s="321"/>
      <c r="E799" s="321"/>
      <c r="F799" s="322"/>
      <c r="G799" s="75"/>
      <c r="H799" s="321"/>
      <c r="I799" s="321"/>
      <c r="J799" s="323"/>
      <c r="K799" s="324"/>
      <c r="L799" s="285"/>
      <c r="M799" s="285"/>
      <c r="N799" s="285"/>
      <c r="O799" s="325"/>
      <c r="P799" s="285"/>
      <c r="Q799" s="325"/>
      <c r="R799" s="325"/>
      <c r="S799" s="285"/>
      <c r="T799" s="285"/>
      <c r="U799" s="285"/>
      <c r="V799" s="285"/>
      <c r="W799" s="285"/>
      <c r="X799" s="285"/>
      <c r="Y799" s="285"/>
      <c r="Z799" s="285"/>
    </row>
    <row r="800" ht="12.75" customHeight="1">
      <c r="A800" s="285"/>
      <c r="B800" s="75"/>
      <c r="C800" s="75"/>
      <c r="D800" s="321"/>
      <c r="E800" s="321"/>
      <c r="F800" s="322"/>
      <c r="G800" s="75"/>
      <c r="H800" s="321"/>
      <c r="I800" s="321"/>
      <c r="J800" s="323"/>
      <c r="K800" s="324"/>
      <c r="L800" s="285"/>
      <c r="M800" s="285"/>
      <c r="N800" s="285"/>
      <c r="O800" s="325"/>
      <c r="P800" s="285"/>
      <c r="Q800" s="325"/>
      <c r="R800" s="325"/>
      <c r="S800" s="285"/>
      <c r="T800" s="285"/>
      <c r="U800" s="285"/>
      <c r="V800" s="285"/>
      <c r="W800" s="285"/>
      <c r="X800" s="285"/>
      <c r="Y800" s="285"/>
      <c r="Z800" s="285"/>
    </row>
    <row r="801" ht="12.75" customHeight="1">
      <c r="A801" s="285"/>
      <c r="B801" s="75"/>
      <c r="C801" s="75"/>
      <c r="D801" s="321"/>
      <c r="E801" s="321"/>
      <c r="F801" s="322"/>
      <c r="G801" s="75"/>
      <c r="H801" s="321"/>
      <c r="I801" s="321"/>
      <c r="J801" s="323"/>
      <c r="K801" s="324"/>
      <c r="L801" s="285"/>
      <c r="M801" s="285"/>
      <c r="N801" s="285"/>
      <c r="O801" s="325"/>
      <c r="P801" s="285"/>
      <c r="Q801" s="325"/>
      <c r="R801" s="325"/>
      <c r="S801" s="285"/>
      <c r="T801" s="285"/>
      <c r="U801" s="285"/>
      <c r="V801" s="285"/>
      <c r="W801" s="285"/>
      <c r="X801" s="285"/>
      <c r="Y801" s="285"/>
      <c r="Z801" s="285"/>
    </row>
    <row r="802" ht="12.75" customHeight="1">
      <c r="A802" s="285"/>
      <c r="B802" s="75"/>
      <c r="C802" s="75"/>
      <c r="D802" s="321"/>
      <c r="E802" s="321"/>
      <c r="F802" s="322"/>
      <c r="G802" s="75"/>
      <c r="H802" s="321"/>
      <c r="I802" s="321"/>
      <c r="J802" s="323"/>
      <c r="K802" s="324"/>
      <c r="L802" s="285"/>
      <c r="M802" s="285"/>
      <c r="N802" s="285"/>
      <c r="O802" s="325"/>
      <c r="P802" s="285"/>
      <c r="Q802" s="325"/>
      <c r="R802" s="325"/>
      <c r="S802" s="285"/>
      <c r="T802" s="285"/>
      <c r="U802" s="285"/>
      <c r="V802" s="285"/>
      <c r="W802" s="285"/>
      <c r="X802" s="285"/>
      <c r="Y802" s="285"/>
      <c r="Z802" s="285"/>
    </row>
    <row r="803" ht="12.75" customHeight="1">
      <c r="A803" s="285"/>
      <c r="B803" s="75"/>
      <c r="C803" s="75"/>
      <c r="D803" s="321"/>
      <c r="E803" s="321"/>
      <c r="F803" s="322"/>
      <c r="G803" s="75"/>
      <c r="H803" s="321"/>
      <c r="I803" s="321"/>
      <c r="J803" s="323"/>
      <c r="K803" s="324"/>
      <c r="L803" s="285"/>
      <c r="M803" s="285"/>
      <c r="N803" s="285"/>
      <c r="O803" s="325"/>
      <c r="P803" s="285"/>
      <c r="Q803" s="325"/>
      <c r="R803" s="325"/>
      <c r="S803" s="285"/>
      <c r="T803" s="285"/>
      <c r="U803" s="285"/>
      <c r="V803" s="285"/>
      <c r="W803" s="285"/>
      <c r="X803" s="285"/>
      <c r="Y803" s="285"/>
      <c r="Z803" s="285"/>
    </row>
    <row r="804" ht="12.75" customHeight="1">
      <c r="A804" s="285"/>
      <c r="B804" s="75"/>
      <c r="C804" s="75"/>
      <c r="D804" s="321"/>
      <c r="E804" s="321"/>
      <c r="F804" s="322"/>
      <c r="G804" s="75"/>
      <c r="H804" s="321"/>
      <c r="I804" s="321"/>
      <c r="J804" s="323"/>
      <c r="K804" s="324"/>
      <c r="L804" s="285"/>
      <c r="M804" s="285"/>
      <c r="N804" s="285"/>
      <c r="O804" s="325"/>
      <c r="P804" s="285"/>
      <c r="Q804" s="325"/>
      <c r="R804" s="325"/>
      <c r="S804" s="285"/>
      <c r="T804" s="285"/>
      <c r="U804" s="285"/>
      <c r="V804" s="285"/>
      <c r="W804" s="285"/>
      <c r="X804" s="285"/>
      <c r="Y804" s="285"/>
      <c r="Z804" s="285"/>
    </row>
    <row r="805" ht="12.75" customHeight="1">
      <c r="A805" s="285"/>
      <c r="B805" s="75"/>
      <c r="C805" s="75"/>
      <c r="D805" s="321"/>
      <c r="E805" s="321"/>
      <c r="F805" s="322"/>
      <c r="G805" s="75"/>
      <c r="H805" s="321"/>
      <c r="I805" s="321"/>
      <c r="J805" s="323"/>
      <c r="K805" s="324"/>
      <c r="L805" s="285"/>
      <c r="M805" s="285"/>
      <c r="N805" s="285"/>
      <c r="O805" s="325"/>
      <c r="P805" s="285"/>
      <c r="Q805" s="325"/>
      <c r="R805" s="325"/>
      <c r="S805" s="285"/>
      <c r="T805" s="285"/>
      <c r="U805" s="285"/>
      <c r="V805" s="285"/>
      <c r="W805" s="285"/>
      <c r="X805" s="285"/>
      <c r="Y805" s="285"/>
      <c r="Z805" s="285"/>
    </row>
    <row r="806" ht="12.75" customHeight="1">
      <c r="A806" s="285"/>
      <c r="B806" s="75"/>
      <c r="C806" s="75"/>
      <c r="D806" s="321"/>
      <c r="E806" s="321"/>
      <c r="F806" s="322"/>
      <c r="G806" s="75"/>
      <c r="H806" s="321"/>
      <c r="I806" s="321"/>
      <c r="J806" s="323"/>
      <c r="K806" s="324"/>
      <c r="L806" s="285"/>
      <c r="M806" s="285"/>
      <c r="N806" s="285"/>
      <c r="O806" s="325"/>
      <c r="P806" s="285"/>
      <c r="Q806" s="325"/>
      <c r="R806" s="325"/>
      <c r="S806" s="285"/>
      <c r="T806" s="285"/>
      <c r="U806" s="285"/>
      <c r="V806" s="285"/>
      <c r="W806" s="285"/>
      <c r="X806" s="285"/>
      <c r="Y806" s="285"/>
      <c r="Z806" s="285"/>
    </row>
    <row r="807" ht="12.75" customHeight="1">
      <c r="A807" s="285"/>
      <c r="B807" s="75"/>
      <c r="C807" s="75"/>
      <c r="D807" s="321"/>
      <c r="E807" s="321"/>
      <c r="F807" s="322"/>
      <c r="G807" s="75"/>
      <c r="H807" s="321"/>
      <c r="I807" s="321"/>
      <c r="J807" s="323"/>
      <c r="K807" s="324"/>
      <c r="L807" s="285"/>
      <c r="M807" s="285"/>
      <c r="N807" s="285"/>
      <c r="O807" s="325"/>
      <c r="P807" s="285"/>
      <c r="Q807" s="325"/>
      <c r="R807" s="325"/>
      <c r="S807" s="285"/>
      <c r="T807" s="285"/>
      <c r="U807" s="285"/>
      <c r="V807" s="285"/>
      <c r="W807" s="285"/>
      <c r="X807" s="285"/>
      <c r="Y807" s="285"/>
      <c r="Z807" s="285"/>
    </row>
    <row r="808" ht="12.75" customHeight="1">
      <c r="A808" s="285"/>
      <c r="B808" s="75"/>
      <c r="C808" s="75"/>
      <c r="D808" s="321"/>
      <c r="E808" s="321"/>
      <c r="F808" s="322"/>
      <c r="G808" s="75"/>
      <c r="H808" s="321"/>
      <c r="I808" s="321"/>
      <c r="J808" s="323"/>
      <c r="K808" s="324"/>
      <c r="L808" s="285"/>
      <c r="M808" s="285"/>
      <c r="N808" s="285"/>
      <c r="O808" s="325"/>
      <c r="P808" s="285"/>
      <c r="Q808" s="325"/>
      <c r="R808" s="325"/>
      <c r="S808" s="285"/>
      <c r="T808" s="285"/>
      <c r="U808" s="285"/>
      <c r="V808" s="285"/>
      <c r="W808" s="285"/>
      <c r="X808" s="285"/>
      <c r="Y808" s="285"/>
      <c r="Z808" s="285"/>
    </row>
    <row r="809" ht="12.75" customHeight="1">
      <c r="A809" s="285"/>
      <c r="B809" s="75"/>
      <c r="C809" s="75"/>
      <c r="D809" s="321"/>
      <c r="E809" s="321"/>
      <c r="F809" s="322"/>
      <c r="G809" s="75"/>
      <c r="H809" s="321"/>
      <c r="I809" s="321"/>
      <c r="J809" s="323"/>
      <c r="K809" s="324"/>
      <c r="L809" s="285"/>
      <c r="M809" s="285"/>
      <c r="N809" s="285"/>
      <c r="O809" s="325"/>
      <c r="P809" s="285"/>
      <c r="Q809" s="325"/>
      <c r="R809" s="325"/>
      <c r="S809" s="285"/>
      <c r="T809" s="285"/>
      <c r="U809" s="285"/>
      <c r="V809" s="285"/>
      <c r="W809" s="285"/>
      <c r="X809" s="285"/>
      <c r="Y809" s="285"/>
      <c r="Z809" s="285"/>
    </row>
    <row r="810" ht="12.75" customHeight="1">
      <c r="A810" s="285"/>
      <c r="B810" s="75"/>
      <c r="C810" s="75"/>
      <c r="D810" s="321"/>
      <c r="E810" s="321"/>
      <c r="F810" s="322"/>
      <c r="G810" s="75"/>
      <c r="H810" s="321"/>
      <c r="I810" s="321"/>
      <c r="J810" s="323"/>
      <c r="K810" s="324"/>
      <c r="L810" s="285"/>
      <c r="M810" s="285"/>
      <c r="N810" s="285"/>
      <c r="O810" s="325"/>
      <c r="P810" s="285"/>
      <c r="Q810" s="325"/>
      <c r="R810" s="325"/>
      <c r="S810" s="285"/>
      <c r="T810" s="285"/>
      <c r="U810" s="285"/>
      <c r="V810" s="285"/>
      <c r="W810" s="285"/>
      <c r="X810" s="285"/>
      <c r="Y810" s="285"/>
      <c r="Z810" s="285"/>
    </row>
    <row r="811" ht="12.75" customHeight="1">
      <c r="A811" s="285"/>
      <c r="B811" s="75"/>
      <c r="C811" s="75"/>
      <c r="D811" s="321"/>
      <c r="E811" s="321"/>
      <c r="F811" s="322"/>
      <c r="G811" s="75"/>
      <c r="H811" s="321"/>
      <c r="I811" s="321"/>
      <c r="J811" s="323"/>
      <c r="K811" s="324"/>
      <c r="L811" s="285"/>
      <c r="M811" s="285"/>
      <c r="N811" s="285"/>
      <c r="O811" s="325"/>
      <c r="P811" s="285"/>
      <c r="Q811" s="325"/>
      <c r="R811" s="325"/>
      <c r="S811" s="285"/>
      <c r="T811" s="285"/>
      <c r="U811" s="285"/>
      <c r="V811" s="285"/>
      <c r="W811" s="285"/>
      <c r="X811" s="285"/>
      <c r="Y811" s="285"/>
      <c r="Z811" s="285"/>
    </row>
    <row r="812" ht="12.75" customHeight="1">
      <c r="A812" s="285"/>
      <c r="B812" s="75"/>
      <c r="C812" s="75"/>
      <c r="D812" s="321"/>
      <c r="E812" s="321"/>
      <c r="F812" s="322"/>
      <c r="G812" s="75"/>
      <c r="H812" s="321"/>
      <c r="I812" s="321"/>
      <c r="J812" s="323"/>
      <c r="K812" s="324"/>
      <c r="L812" s="285"/>
      <c r="M812" s="285"/>
      <c r="N812" s="285"/>
      <c r="O812" s="325"/>
      <c r="P812" s="285"/>
      <c r="Q812" s="325"/>
      <c r="R812" s="325"/>
      <c r="S812" s="285"/>
      <c r="T812" s="285"/>
      <c r="U812" s="285"/>
      <c r="V812" s="285"/>
      <c r="W812" s="285"/>
      <c r="X812" s="285"/>
      <c r="Y812" s="285"/>
      <c r="Z812" s="285"/>
    </row>
    <row r="813" ht="12.75" customHeight="1">
      <c r="A813" s="285"/>
      <c r="B813" s="75"/>
      <c r="C813" s="75"/>
      <c r="D813" s="321"/>
      <c r="E813" s="321"/>
      <c r="F813" s="322"/>
      <c r="G813" s="75"/>
      <c r="H813" s="321"/>
      <c r="I813" s="321"/>
      <c r="J813" s="323"/>
      <c r="K813" s="324"/>
      <c r="L813" s="285"/>
      <c r="M813" s="285"/>
      <c r="N813" s="285"/>
      <c r="O813" s="325"/>
      <c r="P813" s="285"/>
      <c r="Q813" s="325"/>
      <c r="R813" s="325"/>
      <c r="S813" s="285"/>
      <c r="T813" s="285"/>
      <c r="U813" s="285"/>
      <c r="V813" s="285"/>
      <c r="W813" s="285"/>
      <c r="X813" s="285"/>
      <c r="Y813" s="285"/>
      <c r="Z813" s="285"/>
    </row>
    <row r="814" ht="12.75" customHeight="1">
      <c r="A814" s="285"/>
      <c r="B814" s="75"/>
      <c r="C814" s="75"/>
      <c r="D814" s="321"/>
      <c r="E814" s="321"/>
      <c r="F814" s="322"/>
      <c r="G814" s="75"/>
      <c r="H814" s="321"/>
      <c r="I814" s="321"/>
      <c r="J814" s="323"/>
      <c r="K814" s="324"/>
      <c r="L814" s="285"/>
      <c r="M814" s="285"/>
      <c r="N814" s="285"/>
      <c r="O814" s="325"/>
      <c r="P814" s="285"/>
      <c r="Q814" s="325"/>
      <c r="R814" s="325"/>
      <c r="S814" s="285"/>
      <c r="T814" s="285"/>
      <c r="U814" s="285"/>
      <c r="V814" s="285"/>
      <c r="W814" s="285"/>
      <c r="X814" s="285"/>
      <c r="Y814" s="285"/>
      <c r="Z814" s="285"/>
    </row>
    <row r="815" ht="12.75" customHeight="1">
      <c r="A815" s="285"/>
      <c r="B815" s="75"/>
      <c r="C815" s="75"/>
      <c r="D815" s="321"/>
      <c r="E815" s="321"/>
      <c r="F815" s="322"/>
      <c r="G815" s="75"/>
      <c r="H815" s="321"/>
      <c r="I815" s="321"/>
      <c r="J815" s="323"/>
      <c r="K815" s="324"/>
      <c r="L815" s="285"/>
      <c r="M815" s="285"/>
      <c r="N815" s="285"/>
      <c r="O815" s="325"/>
      <c r="P815" s="285"/>
      <c r="Q815" s="325"/>
      <c r="R815" s="325"/>
      <c r="S815" s="285"/>
      <c r="T815" s="285"/>
      <c r="U815" s="285"/>
      <c r="V815" s="285"/>
      <c r="W815" s="285"/>
      <c r="X815" s="285"/>
      <c r="Y815" s="285"/>
      <c r="Z815" s="285"/>
    </row>
    <row r="816" ht="12.75" customHeight="1">
      <c r="A816" s="285"/>
      <c r="B816" s="75"/>
      <c r="C816" s="75"/>
      <c r="D816" s="321"/>
      <c r="E816" s="321"/>
      <c r="F816" s="322"/>
      <c r="G816" s="75"/>
      <c r="H816" s="321"/>
      <c r="I816" s="321"/>
      <c r="J816" s="323"/>
      <c r="K816" s="324"/>
      <c r="L816" s="285"/>
      <c r="M816" s="285"/>
      <c r="N816" s="285"/>
      <c r="O816" s="325"/>
      <c r="P816" s="285"/>
      <c r="Q816" s="325"/>
      <c r="R816" s="325"/>
      <c r="S816" s="285"/>
      <c r="T816" s="285"/>
      <c r="U816" s="285"/>
      <c r="V816" s="285"/>
      <c r="W816" s="285"/>
      <c r="X816" s="285"/>
      <c r="Y816" s="285"/>
      <c r="Z816" s="285"/>
    </row>
    <row r="817" ht="12.75" customHeight="1">
      <c r="A817" s="285"/>
      <c r="B817" s="75"/>
      <c r="C817" s="75"/>
      <c r="D817" s="321"/>
      <c r="E817" s="321"/>
      <c r="F817" s="322"/>
      <c r="G817" s="75"/>
      <c r="H817" s="321"/>
      <c r="I817" s="321"/>
      <c r="J817" s="323"/>
      <c r="K817" s="324"/>
      <c r="L817" s="285"/>
      <c r="M817" s="285"/>
      <c r="N817" s="285"/>
      <c r="O817" s="325"/>
      <c r="P817" s="285"/>
      <c r="Q817" s="325"/>
      <c r="R817" s="325"/>
      <c r="S817" s="285"/>
      <c r="T817" s="285"/>
      <c r="U817" s="285"/>
      <c r="V817" s="285"/>
      <c r="W817" s="285"/>
      <c r="X817" s="285"/>
      <c r="Y817" s="285"/>
      <c r="Z817" s="285"/>
    </row>
    <row r="818" ht="12.75" customHeight="1">
      <c r="A818" s="285"/>
      <c r="B818" s="75"/>
      <c r="C818" s="75"/>
      <c r="D818" s="321"/>
      <c r="E818" s="321"/>
      <c r="F818" s="322"/>
      <c r="G818" s="75"/>
      <c r="H818" s="321"/>
      <c r="I818" s="321"/>
      <c r="J818" s="323"/>
      <c r="K818" s="324"/>
      <c r="L818" s="285"/>
      <c r="M818" s="285"/>
      <c r="N818" s="285"/>
      <c r="O818" s="325"/>
      <c r="P818" s="285"/>
      <c r="Q818" s="325"/>
      <c r="R818" s="325"/>
      <c r="S818" s="285"/>
      <c r="T818" s="285"/>
      <c r="U818" s="285"/>
      <c r="V818" s="285"/>
      <c r="W818" s="285"/>
      <c r="X818" s="285"/>
      <c r="Y818" s="285"/>
      <c r="Z818" s="285"/>
    </row>
    <row r="819" ht="12.75" customHeight="1">
      <c r="A819" s="285"/>
      <c r="B819" s="75"/>
      <c r="C819" s="75"/>
      <c r="D819" s="321"/>
      <c r="E819" s="321"/>
      <c r="F819" s="322"/>
      <c r="G819" s="75"/>
      <c r="H819" s="321"/>
      <c r="I819" s="321"/>
      <c r="J819" s="323"/>
      <c r="K819" s="324"/>
      <c r="L819" s="285"/>
      <c r="M819" s="285"/>
      <c r="N819" s="285"/>
      <c r="O819" s="325"/>
      <c r="P819" s="285"/>
      <c r="Q819" s="325"/>
      <c r="R819" s="325"/>
      <c r="S819" s="285"/>
      <c r="T819" s="285"/>
      <c r="U819" s="285"/>
      <c r="V819" s="285"/>
      <c r="W819" s="285"/>
      <c r="X819" s="285"/>
      <c r="Y819" s="285"/>
      <c r="Z819" s="285"/>
    </row>
    <row r="820" ht="12.75" customHeight="1">
      <c r="A820" s="285"/>
      <c r="B820" s="75"/>
      <c r="C820" s="75"/>
      <c r="D820" s="321"/>
      <c r="E820" s="321"/>
      <c r="F820" s="322"/>
      <c r="G820" s="75"/>
      <c r="H820" s="321"/>
      <c r="I820" s="321"/>
      <c r="J820" s="323"/>
      <c r="K820" s="324"/>
      <c r="L820" s="285"/>
      <c r="M820" s="285"/>
      <c r="N820" s="285"/>
      <c r="O820" s="325"/>
      <c r="P820" s="285"/>
      <c r="Q820" s="325"/>
      <c r="R820" s="325"/>
      <c r="S820" s="285"/>
      <c r="T820" s="285"/>
      <c r="U820" s="285"/>
      <c r="V820" s="285"/>
      <c r="W820" s="285"/>
      <c r="X820" s="285"/>
      <c r="Y820" s="285"/>
      <c r="Z820" s="285"/>
    </row>
    <row r="821" ht="12.75" customHeight="1">
      <c r="A821" s="285"/>
      <c r="B821" s="75"/>
      <c r="C821" s="75"/>
      <c r="D821" s="321"/>
      <c r="E821" s="321"/>
      <c r="F821" s="322"/>
      <c r="G821" s="75"/>
      <c r="H821" s="321"/>
      <c r="I821" s="321"/>
      <c r="J821" s="323"/>
      <c r="K821" s="324"/>
      <c r="L821" s="285"/>
      <c r="M821" s="285"/>
      <c r="N821" s="285"/>
      <c r="O821" s="325"/>
      <c r="P821" s="285"/>
      <c r="Q821" s="325"/>
      <c r="R821" s="325"/>
      <c r="S821" s="285"/>
      <c r="T821" s="285"/>
      <c r="U821" s="285"/>
      <c r="V821" s="285"/>
      <c r="W821" s="285"/>
      <c r="X821" s="285"/>
      <c r="Y821" s="285"/>
      <c r="Z821" s="285"/>
    </row>
    <row r="822" ht="12.75" customHeight="1">
      <c r="A822" s="285"/>
      <c r="B822" s="75"/>
      <c r="C822" s="75"/>
      <c r="D822" s="321"/>
      <c r="E822" s="321"/>
      <c r="F822" s="322"/>
      <c r="G822" s="75"/>
      <c r="H822" s="321"/>
      <c r="I822" s="321"/>
      <c r="J822" s="323"/>
      <c r="K822" s="324"/>
      <c r="L822" s="285"/>
      <c r="M822" s="285"/>
      <c r="N822" s="285"/>
      <c r="O822" s="325"/>
      <c r="P822" s="285"/>
      <c r="Q822" s="325"/>
      <c r="R822" s="325"/>
      <c r="S822" s="285"/>
      <c r="T822" s="285"/>
      <c r="U822" s="285"/>
      <c r="V822" s="285"/>
      <c r="W822" s="285"/>
      <c r="X822" s="285"/>
      <c r="Y822" s="285"/>
      <c r="Z822" s="285"/>
    </row>
    <row r="823" ht="12.75" customHeight="1">
      <c r="A823" s="285"/>
      <c r="B823" s="75"/>
      <c r="C823" s="75"/>
      <c r="D823" s="321"/>
      <c r="E823" s="321"/>
      <c r="F823" s="322"/>
      <c r="G823" s="75"/>
      <c r="H823" s="321"/>
      <c r="I823" s="321"/>
      <c r="J823" s="323"/>
      <c r="K823" s="324"/>
      <c r="L823" s="285"/>
      <c r="M823" s="285"/>
      <c r="N823" s="285"/>
      <c r="O823" s="325"/>
      <c r="P823" s="285"/>
      <c r="Q823" s="325"/>
      <c r="R823" s="325"/>
      <c r="S823" s="285"/>
      <c r="T823" s="285"/>
      <c r="U823" s="285"/>
      <c r="V823" s="285"/>
      <c r="W823" s="285"/>
      <c r="X823" s="285"/>
      <c r="Y823" s="285"/>
      <c r="Z823" s="285"/>
    </row>
    <row r="824" ht="12.75" customHeight="1">
      <c r="A824" s="285"/>
      <c r="B824" s="75"/>
      <c r="C824" s="75"/>
      <c r="D824" s="321"/>
      <c r="E824" s="321"/>
      <c r="F824" s="322"/>
      <c r="G824" s="75"/>
      <c r="H824" s="321"/>
      <c r="I824" s="321"/>
      <c r="J824" s="323"/>
      <c r="K824" s="324"/>
      <c r="L824" s="285"/>
      <c r="M824" s="285"/>
      <c r="N824" s="285"/>
      <c r="O824" s="325"/>
      <c r="P824" s="285"/>
      <c r="Q824" s="325"/>
      <c r="R824" s="325"/>
      <c r="S824" s="285"/>
      <c r="T824" s="285"/>
      <c r="U824" s="285"/>
      <c r="V824" s="285"/>
      <c r="W824" s="285"/>
      <c r="X824" s="285"/>
      <c r="Y824" s="285"/>
      <c r="Z824" s="285"/>
    </row>
    <row r="825" ht="12.75" customHeight="1">
      <c r="A825" s="285"/>
      <c r="B825" s="75"/>
      <c r="C825" s="75"/>
      <c r="D825" s="321"/>
      <c r="E825" s="321"/>
      <c r="F825" s="322"/>
      <c r="G825" s="75"/>
      <c r="H825" s="321"/>
      <c r="I825" s="321"/>
      <c r="J825" s="323"/>
      <c r="K825" s="324"/>
      <c r="L825" s="285"/>
      <c r="M825" s="285"/>
      <c r="N825" s="285"/>
      <c r="O825" s="325"/>
      <c r="P825" s="285"/>
      <c r="Q825" s="325"/>
      <c r="R825" s="325"/>
      <c r="S825" s="285"/>
      <c r="T825" s="285"/>
      <c r="U825" s="285"/>
      <c r="V825" s="285"/>
      <c r="W825" s="285"/>
      <c r="X825" s="285"/>
      <c r="Y825" s="285"/>
      <c r="Z825" s="285"/>
    </row>
    <row r="826" ht="12.75" customHeight="1">
      <c r="A826" s="285"/>
      <c r="B826" s="75"/>
      <c r="C826" s="75"/>
      <c r="D826" s="321"/>
      <c r="E826" s="321"/>
      <c r="F826" s="322"/>
      <c r="G826" s="75"/>
      <c r="H826" s="321"/>
      <c r="I826" s="321"/>
      <c r="J826" s="323"/>
      <c r="K826" s="324"/>
      <c r="L826" s="285"/>
      <c r="M826" s="285"/>
      <c r="N826" s="285"/>
      <c r="O826" s="325"/>
      <c r="P826" s="285"/>
      <c r="Q826" s="325"/>
      <c r="R826" s="325"/>
      <c r="S826" s="285"/>
      <c r="T826" s="285"/>
      <c r="U826" s="285"/>
      <c r="V826" s="285"/>
      <c r="W826" s="285"/>
      <c r="X826" s="285"/>
      <c r="Y826" s="285"/>
      <c r="Z826" s="285"/>
    </row>
    <row r="827" ht="12.75" customHeight="1">
      <c r="A827" s="285"/>
      <c r="B827" s="75"/>
      <c r="C827" s="75"/>
      <c r="D827" s="321"/>
      <c r="E827" s="321"/>
      <c r="F827" s="322"/>
      <c r="G827" s="75"/>
      <c r="H827" s="321"/>
      <c r="I827" s="321"/>
      <c r="J827" s="323"/>
      <c r="K827" s="324"/>
      <c r="L827" s="285"/>
      <c r="M827" s="285"/>
      <c r="N827" s="285"/>
      <c r="O827" s="325"/>
      <c r="P827" s="285"/>
      <c r="Q827" s="325"/>
      <c r="R827" s="325"/>
      <c r="S827" s="285"/>
      <c r="T827" s="285"/>
      <c r="U827" s="285"/>
      <c r="V827" s="285"/>
      <c r="W827" s="285"/>
      <c r="X827" s="285"/>
      <c r="Y827" s="285"/>
      <c r="Z827" s="285"/>
    </row>
    <row r="828" ht="12.75" customHeight="1">
      <c r="A828" s="285"/>
      <c r="B828" s="75"/>
      <c r="C828" s="75"/>
      <c r="D828" s="321"/>
      <c r="E828" s="321"/>
      <c r="F828" s="322"/>
      <c r="G828" s="75"/>
      <c r="H828" s="321"/>
      <c r="I828" s="321"/>
      <c r="J828" s="323"/>
      <c r="K828" s="324"/>
      <c r="L828" s="285"/>
      <c r="M828" s="285"/>
      <c r="N828" s="285"/>
      <c r="O828" s="325"/>
      <c r="P828" s="285"/>
      <c r="Q828" s="325"/>
      <c r="R828" s="325"/>
      <c r="S828" s="285"/>
      <c r="T828" s="285"/>
      <c r="U828" s="285"/>
      <c r="V828" s="285"/>
      <c r="W828" s="285"/>
      <c r="X828" s="285"/>
      <c r="Y828" s="285"/>
      <c r="Z828" s="285"/>
    </row>
    <row r="829" ht="12.75" customHeight="1">
      <c r="A829" s="285"/>
      <c r="B829" s="75"/>
      <c r="C829" s="75"/>
      <c r="D829" s="321"/>
      <c r="E829" s="321"/>
      <c r="F829" s="322"/>
      <c r="G829" s="75"/>
      <c r="H829" s="321"/>
      <c r="I829" s="321"/>
      <c r="J829" s="323"/>
      <c r="K829" s="324"/>
      <c r="L829" s="285"/>
      <c r="M829" s="285"/>
      <c r="N829" s="285"/>
      <c r="O829" s="325"/>
      <c r="P829" s="285"/>
      <c r="Q829" s="325"/>
      <c r="R829" s="325"/>
      <c r="S829" s="285"/>
      <c r="T829" s="285"/>
      <c r="U829" s="285"/>
      <c r="V829" s="285"/>
      <c r="W829" s="285"/>
      <c r="X829" s="285"/>
      <c r="Y829" s="285"/>
      <c r="Z829" s="285"/>
    </row>
    <row r="830" ht="12.75" customHeight="1">
      <c r="A830" s="285"/>
      <c r="B830" s="75"/>
      <c r="C830" s="75"/>
      <c r="D830" s="321"/>
      <c r="E830" s="321"/>
      <c r="F830" s="322"/>
      <c r="G830" s="75"/>
      <c r="H830" s="321"/>
      <c r="I830" s="321"/>
      <c r="J830" s="323"/>
      <c r="K830" s="324"/>
      <c r="L830" s="285"/>
      <c r="M830" s="285"/>
      <c r="N830" s="285"/>
      <c r="O830" s="325"/>
      <c r="P830" s="285"/>
      <c r="Q830" s="325"/>
      <c r="R830" s="325"/>
      <c r="S830" s="285"/>
      <c r="T830" s="285"/>
      <c r="U830" s="285"/>
      <c r="V830" s="285"/>
      <c r="W830" s="285"/>
      <c r="X830" s="285"/>
      <c r="Y830" s="285"/>
      <c r="Z830" s="285"/>
    </row>
    <row r="831" ht="12.75" customHeight="1">
      <c r="A831" s="285"/>
      <c r="B831" s="75"/>
      <c r="C831" s="75"/>
      <c r="D831" s="321"/>
      <c r="E831" s="321"/>
      <c r="F831" s="322"/>
      <c r="G831" s="75"/>
      <c r="H831" s="321"/>
      <c r="I831" s="321"/>
      <c r="J831" s="323"/>
      <c r="K831" s="324"/>
      <c r="L831" s="285"/>
      <c r="M831" s="285"/>
      <c r="N831" s="285"/>
      <c r="O831" s="325"/>
      <c r="P831" s="285"/>
      <c r="Q831" s="325"/>
      <c r="R831" s="325"/>
      <c r="S831" s="285"/>
      <c r="T831" s="285"/>
      <c r="U831" s="285"/>
      <c r="V831" s="285"/>
      <c r="W831" s="285"/>
      <c r="X831" s="285"/>
      <c r="Y831" s="285"/>
      <c r="Z831" s="285"/>
    </row>
    <row r="832" ht="12.75" customHeight="1">
      <c r="A832" s="285"/>
      <c r="B832" s="75"/>
      <c r="C832" s="75"/>
      <c r="D832" s="321"/>
      <c r="E832" s="321"/>
      <c r="F832" s="322"/>
      <c r="G832" s="75"/>
      <c r="H832" s="321"/>
      <c r="I832" s="321"/>
      <c r="J832" s="323"/>
      <c r="K832" s="324"/>
      <c r="L832" s="285"/>
      <c r="M832" s="285"/>
      <c r="N832" s="285"/>
      <c r="O832" s="325"/>
      <c r="P832" s="285"/>
      <c r="Q832" s="325"/>
      <c r="R832" s="325"/>
      <c r="S832" s="285"/>
      <c r="T832" s="285"/>
      <c r="U832" s="285"/>
      <c r="V832" s="285"/>
      <c r="W832" s="285"/>
      <c r="X832" s="285"/>
      <c r="Y832" s="285"/>
      <c r="Z832" s="285"/>
    </row>
    <row r="833" ht="12.75" customHeight="1">
      <c r="A833" s="285"/>
      <c r="B833" s="75"/>
      <c r="C833" s="75"/>
      <c r="D833" s="321"/>
      <c r="E833" s="321"/>
      <c r="F833" s="322"/>
      <c r="G833" s="75"/>
      <c r="H833" s="321"/>
      <c r="I833" s="321"/>
      <c r="J833" s="323"/>
      <c r="K833" s="324"/>
      <c r="L833" s="285"/>
      <c r="M833" s="285"/>
      <c r="N833" s="285"/>
      <c r="O833" s="325"/>
      <c r="P833" s="285"/>
      <c r="Q833" s="325"/>
      <c r="R833" s="325"/>
      <c r="S833" s="285"/>
      <c r="T833" s="285"/>
      <c r="U833" s="285"/>
      <c r="V833" s="285"/>
      <c r="W833" s="285"/>
      <c r="X833" s="285"/>
      <c r="Y833" s="285"/>
      <c r="Z833" s="285"/>
    </row>
    <row r="834" ht="12.75" customHeight="1">
      <c r="A834" s="285"/>
      <c r="B834" s="75"/>
      <c r="C834" s="75"/>
      <c r="D834" s="321"/>
      <c r="E834" s="321"/>
      <c r="F834" s="322"/>
      <c r="G834" s="75"/>
      <c r="H834" s="321"/>
      <c r="I834" s="321"/>
      <c r="J834" s="323"/>
      <c r="K834" s="324"/>
      <c r="L834" s="285"/>
      <c r="M834" s="285"/>
      <c r="N834" s="285"/>
      <c r="O834" s="325"/>
      <c r="P834" s="285"/>
      <c r="Q834" s="325"/>
      <c r="R834" s="325"/>
      <c r="S834" s="285"/>
      <c r="T834" s="285"/>
      <c r="U834" s="285"/>
      <c r="V834" s="285"/>
      <c r="W834" s="285"/>
      <c r="X834" s="285"/>
      <c r="Y834" s="285"/>
      <c r="Z834" s="285"/>
    </row>
    <row r="835" ht="12.75" customHeight="1">
      <c r="A835" s="285"/>
      <c r="B835" s="75"/>
      <c r="C835" s="75"/>
      <c r="D835" s="321"/>
      <c r="E835" s="321"/>
      <c r="F835" s="322"/>
      <c r="G835" s="75"/>
      <c r="H835" s="321"/>
      <c r="I835" s="321"/>
      <c r="J835" s="323"/>
      <c r="K835" s="324"/>
      <c r="L835" s="285"/>
      <c r="M835" s="285"/>
      <c r="N835" s="285"/>
      <c r="O835" s="325"/>
      <c r="P835" s="285"/>
      <c r="Q835" s="325"/>
      <c r="R835" s="325"/>
      <c r="S835" s="285"/>
      <c r="T835" s="285"/>
      <c r="U835" s="285"/>
      <c r="V835" s="285"/>
      <c r="W835" s="285"/>
      <c r="X835" s="285"/>
      <c r="Y835" s="285"/>
      <c r="Z835" s="285"/>
    </row>
    <row r="836" ht="12.75" customHeight="1">
      <c r="A836" s="285"/>
      <c r="B836" s="75"/>
      <c r="C836" s="75"/>
      <c r="D836" s="321"/>
      <c r="E836" s="321"/>
      <c r="F836" s="322"/>
      <c r="G836" s="75"/>
      <c r="H836" s="321"/>
      <c r="I836" s="321"/>
      <c r="J836" s="323"/>
      <c r="K836" s="324"/>
      <c r="L836" s="285"/>
      <c r="M836" s="285"/>
      <c r="N836" s="285"/>
      <c r="O836" s="325"/>
      <c r="P836" s="285"/>
      <c r="Q836" s="325"/>
      <c r="R836" s="325"/>
      <c r="S836" s="285"/>
      <c r="T836" s="285"/>
      <c r="U836" s="285"/>
      <c r="V836" s="285"/>
      <c r="W836" s="285"/>
      <c r="X836" s="285"/>
      <c r="Y836" s="285"/>
      <c r="Z836" s="285"/>
    </row>
    <row r="837" ht="12.75" customHeight="1">
      <c r="A837" s="285"/>
      <c r="B837" s="75"/>
      <c r="C837" s="75"/>
      <c r="D837" s="321"/>
      <c r="E837" s="321"/>
      <c r="F837" s="322"/>
      <c r="G837" s="75"/>
      <c r="H837" s="321"/>
      <c r="I837" s="321"/>
      <c r="J837" s="323"/>
      <c r="K837" s="324"/>
      <c r="L837" s="285"/>
      <c r="M837" s="285"/>
      <c r="N837" s="285"/>
      <c r="O837" s="325"/>
      <c r="P837" s="285"/>
      <c r="Q837" s="325"/>
      <c r="R837" s="325"/>
      <c r="S837" s="285"/>
      <c r="T837" s="285"/>
      <c r="U837" s="285"/>
      <c r="V837" s="285"/>
      <c r="W837" s="285"/>
      <c r="X837" s="285"/>
      <c r="Y837" s="285"/>
      <c r="Z837" s="285"/>
    </row>
    <row r="838" ht="12.75" customHeight="1">
      <c r="A838" s="285"/>
      <c r="B838" s="75"/>
      <c r="C838" s="75"/>
      <c r="D838" s="321"/>
      <c r="E838" s="321"/>
      <c r="F838" s="322"/>
      <c r="G838" s="75"/>
      <c r="H838" s="321"/>
      <c r="I838" s="321"/>
      <c r="J838" s="323"/>
      <c r="K838" s="324"/>
      <c r="L838" s="285"/>
      <c r="M838" s="285"/>
      <c r="N838" s="285"/>
      <c r="O838" s="325"/>
      <c r="P838" s="285"/>
      <c r="Q838" s="325"/>
      <c r="R838" s="325"/>
      <c r="S838" s="285"/>
      <c r="T838" s="285"/>
      <c r="U838" s="285"/>
      <c r="V838" s="285"/>
      <c r="W838" s="285"/>
      <c r="X838" s="285"/>
      <c r="Y838" s="285"/>
      <c r="Z838" s="285"/>
    </row>
    <row r="839" ht="12.75" customHeight="1">
      <c r="A839" s="285"/>
      <c r="B839" s="75"/>
      <c r="C839" s="75"/>
      <c r="D839" s="321"/>
      <c r="E839" s="321"/>
      <c r="F839" s="322"/>
      <c r="G839" s="75"/>
      <c r="H839" s="321"/>
      <c r="I839" s="321"/>
      <c r="J839" s="323"/>
      <c r="K839" s="324"/>
      <c r="L839" s="285"/>
      <c r="M839" s="285"/>
      <c r="N839" s="285"/>
      <c r="O839" s="325"/>
      <c r="P839" s="285"/>
      <c r="Q839" s="325"/>
      <c r="R839" s="325"/>
      <c r="S839" s="285"/>
      <c r="T839" s="285"/>
      <c r="U839" s="285"/>
      <c r="V839" s="285"/>
      <c r="W839" s="285"/>
      <c r="X839" s="285"/>
      <c r="Y839" s="285"/>
      <c r="Z839" s="285"/>
    </row>
    <row r="840" ht="12.75" customHeight="1">
      <c r="A840" s="285"/>
      <c r="B840" s="75"/>
      <c r="C840" s="75"/>
      <c r="D840" s="321"/>
      <c r="E840" s="321"/>
      <c r="F840" s="322"/>
      <c r="G840" s="75"/>
      <c r="H840" s="321"/>
      <c r="I840" s="321"/>
      <c r="J840" s="323"/>
      <c r="K840" s="324"/>
      <c r="L840" s="285"/>
      <c r="M840" s="285"/>
      <c r="N840" s="285"/>
      <c r="O840" s="325"/>
      <c r="P840" s="285"/>
      <c r="Q840" s="325"/>
      <c r="R840" s="325"/>
      <c r="S840" s="285"/>
      <c r="T840" s="285"/>
      <c r="U840" s="285"/>
      <c r="V840" s="285"/>
      <c r="W840" s="285"/>
      <c r="X840" s="285"/>
      <c r="Y840" s="285"/>
      <c r="Z840" s="285"/>
    </row>
    <row r="841" ht="12.75" customHeight="1">
      <c r="A841" s="285"/>
      <c r="B841" s="75"/>
      <c r="C841" s="75"/>
      <c r="D841" s="321"/>
      <c r="E841" s="321"/>
      <c r="F841" s="322"/>
      <c r="G841" s="75"/>
      <c r="H841" s="321"/>
      <c r="I841" s="321"/>
      <c r="J841" s="323"/>
      <c r="K841" s="324"/>
      <c r="L841" s="285"/>
      <c r="M841" s="285"/>
      <c r="N841" s="285"/>
      <c r="O841" s="325"/>
      <c r="P841" s="285"/>
      <c r="Q841" s="325"/>
      <c r="R841" s="325"/>
      <c r="S841" s="285"/>
      <c r="T841" s="285"/>
      <c r="U841" s="285"/>
      <c r="V841" s="285"/>
      <c r="W841" s="285"/>
      <c r="X841" s="285"/>
      <c r="Y841" s="285"/>
      <c r="Z841" s="285"/>
    </row>
    <row r="842" ht="12.75" customHeight="1">
      <c r="A842" s="285"/>
      <c r="B842" s="75"/>
      <c r="C842" s="75"/>
      <c r="D842" s="321"/>
      <c r="E842" s="321"/>
      <c r="F842" s="322"/>
      <c r="G842" s="75"/>
      <c r="H842" s="321"/>
      <c r="I842" s="321"/>
      <c r="J842" s="323"/>
      <c r="K842" s="324"/>
      <c r="L842" s="285"/>
      <c r="M842" s="285"/>
      <c r="N842" s="285"/>
      <c r="O842" s="325"/>
      <c r="P842" s="285"/>
      <c r="Q842" s="325"/>
      <c r="R842" s="325"/>
      <c r="S842" s="285"/>
      <c r="T842" s="285"/>
      <c r="U842" s="285"/>
      <c r="V842" s="285"/>
      <c r="W842" s="285"/>
      <c r="X842" s="285"/>
      <c r="Y842" s="285"/>
      <c r="Z842" s="285"/>
    </row>
    <row r="843" ht="12.75" customHeight="1">
      <c r="A843" s="285"/>
      <c r="B843" s="75"/>
      <c r="C843" s="75"/>
      <c r="D843" s="321"/>
      <c r="E843" s="321"/>
      <c r="F843" s="322"/>
      <c r="G843" s="75"/>
      <c r="H843" s="321"/>
      <c r="I843" s="321"/>
      <c r="J843" s="323"/>
      <c r="K843" s="324"/>
      <c r="L843" s="285"/>
      <c r="M843" s="285"/>
      <c r="N843" s="285"/>
      <c r="O843" s="325"/>
      <c r="P843" s="285"/>
      <c r="Q843" s="325"/>
      <c r="R843" s="325"/>
      <c r="S843" s="285"/>
      <c r="T843" s="285"/>
      <c r="U843" s="285"/>
      <c r="V843" s="285"/>
      <c r="W843" s="285"/>
      <c r="X843" s="285"/>
      <c r="Y843" s="285"/>
      <c r="Z843" s="285"/>
    </row>
    <row r="844" ht="12.75" customHeight="1">
      <c r="A844" s="285"/>
      <c r="B844" s="75"/>
      <c r="C844" s="75"/>
      <c r="D844" s="321"/>
      <c r="E844" s="321"/>
      <c r="F844" s="322"/>
      <c r="G844" s="75"/>
      <c r="H844" s="321"/>
      <c r="I844" s="321"/>
      <c r="J844" s="323"/>
      <c r="K844" s="324"/>
      <c r="L844" s="285"/>
      <c r="M844" s="285"/>
      <c r="N844" s="285"/>
      <c r="O844" s="325"/>
      <c r="P844" s="285"/>
      <c r="Q844" s="325"/>
      <c r="R844" s="325"/>
      <c r="S844" s="285"/>
      <c r="T844" s="285"/>
      <c r="U844" s="285"/>
      <c r="V844" s="285"/>
      <c r="W844" s="285"/>
      <c r="X844" s="285"/>
      <c r="Y844" s="285"/>
      <c r="Z844" s="285"/>
    </row>
    <row r="845" ht="12.75" customHeight="1">
      <c r="A845" s="285"/>
      <c r="B845" s="75"/>
      <c r="C845" s="75"/>
      <c r="D845" s="321"/>
      <c r="E845" s="321"/>
      <c r="F845" s="322"/>
      <c r="G845" s="75"/>
      <c r="H845" s="321"/>
      <c r="I845" s="321"/>
      <c r="J845" s="323"/>
      <c r="K845" s="324"/>
      <c r="L845" s="285"/>
      <c r="M845" s="285"/>
      <c r="N845" s="285"/>
      <c r="O845" s="325"/>
      <c r="P845" s="285"/>
      <c r="Q845" s="325"/>
      <c r="R845" s="325"/>
      <c r="S845" s="285"/>
      <c r="T845" s="285"/>
      <c r="U845" s="285"/>
      <c r="V845" s="285"/>
      <c r="W845" s="285"/>
      <c r="X845" s="285"/>
      <c r="Y845" s="285"/>
      <c r="Z845" s="285"/>
    </row>
    <row r="846" ht="12.75" customHeight="1">
      <c r="A846" s="285"/>
      <c r="B846" s="75"/>
      <c r="C846" s="75"/>
      <c r="D846" s="321"/>
      <c r="E846" s="321"/>
      <c r="F846" s="322"/>
      <c r="G846" s="75"/>
      <c r="H846" s="321"/>
      <c r="I846" s="321"/>
      <c r="J846" s="323"/>
      <c r="K846" s="324"/>
      <c r="L846" s="285"/>
      <c r="M846" s="285"/>
      <c r="N846" s="285"/>
      <c r="O846" s="325"/>
      <c r="P846" s="285"/>
      <c r="Q846" s="325"/>
      <c r="R846" s="325"/>
      <c r="S846" s="285"/>
      <c r="T846" s="285"/>
      <c r="U846" s="285"/>
      <c r="V846" s="285"/>
      <c r="W846" s="285"/>
      <c r="X846" s="285"/>
      <c r="Y846" s="285"/>
      <c r="Z846" s="285"/>
    </row>
    <row r="847" ht="12.75" customHeight="1">
      <c r="A847" s="285"/>
      <c r="B847" s="75"/>
      <c r="C847" s="75"/>
      <c r="D847" s="321"/>
      <c r="E847" s="321"/>
      <c r="F847" s="322"/>
      <c r="G847" s="75"/>
      <c r="H847" s="321"/>
      <c r="I847" s="321"/>
      <c r="J847" s="323"/>
      <c r="K847" s="324"/>
      <c r="L847" s="285"/>
      <c r="M847" s="285"/>
      <c r="N847" s="285"/>
      <c r="O847" s="325"/>
      <c r="P847" s="285"/>
      <c r="Q847" s="325"/>
      <c r="R847" s="325"/>
      <c r="S847" s="285"/>
      <c r="T847" s="285"/>
      <c r="U847" s="285"/>
      <c r="V847" s="285"/>
      <c r="W847" s="285"/>
      <c r="X847" s="285"/>
      <c r="Y847" s="285"/>
      <c r="Z847" s="285"/>
    </row>
    <row r="848" ht="12.75" customHeight="1">
      <c r="A848" s="285"/>
      <c r="B848" s="75"/>
      <c r="C848" s="75"/>
      <c r="D848" s="321"/>
      <c r="E848" s="321"/>
      <c r="F848" s="322"/>
      <c r="G848" s="75"/>
      <c r="H848" s="321"/>
      <c r="I848" s="321"/>
      <c r="J848" s="323"/>
      <c r="K848" s="324"/>
      <c r="L848" s="285"/>
      <c r="M848" s="285"/>
      <c r="N848" s="285"/>
      <c r="O848" s="325"/>
      <c r="P848" s="285"/>
      <c r="Q848" s="325"/>
      <c r="R848" s="325"/>
      <c r="S848" s="285"/>
      <c r="T848" s="285"/>
      <c r="U848" s="285"/>
      <c r="V848" s="285"/>
      <c r="W848" s="285"/>
      <c r="X848" s="285"/>
      <c r="Y848" s="285"/>
      <c r="Z848" s="285"/>
    </row>
    <row r="849" ht="12.75" customHeight="1">
      <c r="A849" s="285"/>
      <c r="B849" s="75"/>
      <c r="C849" s="75"/>
      <c r="D849" s="321"/>
      <c r="E849" s="321"/>
      <c r="F849" s="322"/>
      <c r="G849" s="75"/>
      <c r="H849" s="321"/>
      <c r="I849" s="321"/>
      <c r="J849" s="323"/>
      <c r="K849" s="324"/>
      <c r="L849" s="285"/>
      <c r="M849" s="285"/>
      <c r="N849" s="285"/>
      <c r="O849" s="325"/>
      <c r="P849" s="285"/>
      <c r="Q849" s="325"/>
      <c r="R849" s="325"/>
      <c r="S849" s="285"/>
      <c r="T849" s="285"/>
      <c r="U849" s="285"/>
      <c r="V849" s="285"/>
      <c r="W849" s="285"/>
      <c r="X849" s="285"/>
      <c r="Y849" s="285"/>
      <c r="Z849" s="285"/>
    </row>
    <row r="850" ht="12.75" customHeight="1">
      <c r="A850" s="285"/>
      <c r="B850" s="75"/>
      <c r="C850" s="75"/>
      <c r="D850" s="321"/>
      <c r="E850" s="321"/>
      <c r="F850" s="322"/>
      <c r="G850" s="75"/>
      <c r="H850" s="321"/>
      <c r="I850" s="321"/>
      <c r="J850" s="323"/>
      <c r="K850" s="324"/>
      <c r="L850" s="285"/>
      <c r="M850" s="285"/>
      <c r="N850" s="285"/>
      <c r="O850" s="325"/>
      <c r="P850" s="285"/>
      <c r="Q850" s="325"/>
      <c r="R850" s="325"/>
      <c r="S850" s="285"/>
      <c r="T850" s="285"/>
      <c r="U850" s="285"/>
      <c r="V850" s="285"/>
      <c r="W850" s="285"/>
      <c r="X850" s="285"/>
      <c r="Y850" s="285"/>
      <c r="Z850" s="285"/>
    </row>
    <row r="851" ht="12.75" customHeight="1">
      <c r="A851" s="285"/>
      <c r="B851" s="75"/>
      <c r="C851" s="75"/>
      <c r="D851" s="321"/>
      <c r="E851" s="321"/>
      <c r="F851" s="322"/>
      <c r="G851" s="75"/>
      <c r="H851" s="321"/>
      <c r="I851" s="321"/>
      <c r="J851" s="323"/>
      <c r="K851" s="324"/>
      <c r="L851" s="285"/>
      <c r="M851" s="285"/>
      <c r="N851" s="285"/>
      <c r="O851" s="325"/>
      <c r="P851" s="285"/>
      <c r="Q851" s="325"/>
      <c r="R851" s="325"/>
      <c r="S851" s="285"/>
      <c r="T851" s="285"/>
      <c r="U851" s="285"/>
      <c r="V851" s="285"/>
      <c r="W851" s="285"/>
      <c r="X851" s="285"/>
      <c r="Y851" s="285"/>
      <c r="Z851" s="285"/>
    </row>
    <row r="852" ht="12.75" customHeight="1">
      <c r="A852" s="285"/>
      <c r="B852" s="75"/>
      <c r="C852" s="75"/>
      <c r="D852" s="321"/>
      <c r="E852" s="321"/>
      <c r="F852" s="322"/>
      <c r="G852" s="75"/>
      <c r="H852" s="321"/>
      <c r="I852" s="321"/>
      <c r="J852" s="323"/>
      <c r="K852" s="324"/>
      <c r="L852" s="285"/>
      <c r="M852" s="285"/>
      <c r="N852" s="285"/>
      <c r="O852" s="325"/>
      <c r="P852" s="285"/>
      <c r="Q852" s="325"/>
      <c r="R852" s="325"/>
      <c r="S852" s="285"/>
      <c r="T852" s="285"/>
      <c r="U852" s="285"/>
      <c r="V852" s="285"/>
      <c r="W852" s="285"/>
      <c r="X852" s="285"/>
      <c r="Y852" s="285"/>
      <c r="Z852" s="285"/>
    </row>
    <row r="853" ht="12.75" customHeight="1">
      <c r="A853" s="285"/>
      <c r="B853" s="75"/>
      <c r="C853" s="75"/>
      <c r="D853" s="321"/>
      <c r="E853" s="321"/>
      <c r="F853" s="322"/>
      <c r="G853" s="75"/>
      <c r="H853" s="321"/>
      <c r="I853" s="321"/>
      <c r="J853" s="323"/>
      <c r="K853" s="324"/>
      <c r="L853" s="285"/>
      <c r="M853" s="285"/>
      <c r="N853" s="285"/>
      <c r="O853" s="325"/>
      <c r="P853" s="285"/>
      <c r="Q853" s="325"/>
      <c r="R853" s="325"/>
      <c r="S853" s="285"/>
      <c r="T853" s="285"/>
      <c r="U853" s="285"/>
      <c r="V853" s="285"/>
      <c r="W853" s="285"/>
      <c r="X853" s="285"/>
      <c r="Y853" s="285"/>
      <c r="Z853" s="285"/>
    </row>
    <row r="854" ht="12.75" customHeight="1">
      <c r="A854" s="285"/>
      <c r="B854" s="75"/>
      <c r="C854" s="75"/>
      <c r="D854" s="321"/>
      <c r="E854" s="321"/>
      <c r="F854" s="322"/>
      <c r="G854" s="75"/>
      <c r="H854" s="321"/>
      <c r="I854" s="321"/>
      <c r="J854" s="323"/>
      <c r="K854" s="324"/>
      <c r="L854" s="285"/>
      <c r="M854" s="285"/>
      <c r="N854" s="285"/>
      <c r="O854" s="325"/>
      <c r="P854" s="285"/>
      <c r="Q854" s="325"/>
      <c r="R854" s="325"/>
      <c r="S854" s="285"/>
      <c r="T854" s="285"/>
      <c r="U854" s="285"/>
      <c r="V854" s="285"/>
      <c r="W854" s="285"/>
      <c r="X854" s="285"/>
      <c r="Y854" s="285"/>
      <c r="Z854" s="285"/>
    </row>
    <row r="855" ht="12.75" customHeight="1">
      <c r="A855" s="285"/>
      <c r="B855" s="75"/>
      <c r="C855" s="75"/>
      <c r="D855" s="321"/>
      <c r="E855" s="321"/>
      <c r="F855" s="322"/>
      <c r="G855" s="75"/>
      <c r="H855" s="321"/>
      <c r="I855" s="321"/>
      <c r="J855" s="323"/>
      <c r="K855" s="324"/>
      <c r="L855" s="285"/>
      <c r="M855" s="285"/>
      <c r="N855" s="285"/>
      <c r="O855" s="325"/>
      <c r="P855" s="285"/>
      <c r="Q855" s="325"/>
      <c r="R855" s="325"/>
      <c r="S855" s="285"/>
      <c r="T855" s="285"/>
      <c r="U855" s="285"/>
      <c r="V855" s="285"/>
      <c r="W855" s="285"/>
      <c r="X855" s="285"/>
      <c r="Y855" s="285"/>
      <c r="Z855" s="285"/>
    </row>
    <row r="856" ht="12.75" customHeight="1">
      <c r="A856" s="285"/>
      <c r="B856" s="75"/>
      <c r="C856" s="75"/>
      <c r="D856" s="321"/>
      <c r="E856" s="321"/>
      <c r="F856" s="322"/>
      <c r="G856" s="75"/>
      <c r="H856" s="321"/>
      <c r="I856" s="321"/>
      <c r="J856" s="323"/>
      <c r="K856" s="324"/>
      <c r="L856" s="285"/>
      <c r="M856" s="285"/>
      <c r="N856" s="285"/>
      <c r="O856" s="325"/>
      <c r="P856" s="285"/>
      <c r="Q856" s="325"/>
      <c r="R856" s="325"/>
      <c r="S856" s="285"/>
      <c r="T856" s="285"/>
      <c r="U856" s="285"/>
      <c r="V856" s="285"/>
      <c r="W856" s="285"/>
      <c r="X856" s="285"/>
      <c r="Y856" s="285"/>
      <c r="Z856" s="285"/>
    </row>
    <row r="857" ht="12.75" customHeight="1">
      <c r="A857" s="285"/>
      <c r="B857" s="75"/>
      <c r="C857" s="75"/>
      <c r="D857" s="321"/>
      <c r="E857" s="321"/>
      <c r="F857" s="322"/>
      <c r="G857" s="75"/>
      <c r="H857" s="321"/>
      <c r="I857" s="321"/>
      <c r="J857" s="323"/>
      <c r="K857" s="324"/>
      <c r="L857" s="285"/>
      <c r="M857" s="285"/>
      <c r="N857" s="285"/>
      <c r="O857" s="325"/>
      <c r="P857" s="285"/>
      <c r="Q857" s="325"/>
      <c r="R857" s="325"/>
      <c r="S857" s="285"/>
      <c r="T857" s="285"/>
      <c r="U857" s="285"/>
      <c r="V857" s="285"/>
      <c r="W857" s="285"/>
      <c r="X857" s="285"/>
      <c r="Y857" s="285"/>
      <c r="Z857" s="285"/>
    </row>
    <row r="858" ht="12.75" customHeight="1">
      <c r="A858" s="285"/>
      <c r="B858" s="75"/>
      <c r="C858" s="75"/>
      <c r="D858" s="321"/>
      <c r="E858" s="321"/>
      <c r="F858" s="322"/>
      <c r="G858" s="75"/>
      <c r="H858" s="321"/>
      <c r="I858" s="321"/>
      <c r="J858" s="323"/>
      <c r="K858" s="324"/>
      <c r="L858" s="285"/>
      <c r="M858" s="285"/>
      <c r="N858" s="285"/>
      <c r="O858" s="325"/>
      <c r="P858" s="285"/>
      <c r="Q858" s="325"/>
      <c r="R858" s="325"/>
      <c r="S858" s="285"/>
      <c r="T858" s="285"/>
      <c r="U858" s="285"/>
      <c r="V858" s="285"/>
      <c r="W858" s="285"/>
      <c r="X858" s="285"/>
      <c r="Y858" s="285"/>
      <c r="Z858" s="285"/>
    </row>
    <row r="859" ht="12.75" customHeight="1">
      <c r="A859" s="285"/>
      <c r="B859" s="75"/>
      <c r="C859" s="75"/>
      <c r="D859" s="321"/>
      <c r="E859" s="321"/>
      <c r="F859" s="322"/>
      <c r="G859" s="75"/>
      <c r="H859" s="321"/>
      <c r="I859" s="321"/>
      <c r="J859" s="323"/>
      <c r="K859" s="324"/>
      <c r="L859" s="285"/>
      <c r="M859" s="285"/>
      <c r="N859" s="285"/>
      <c r="O859" s="325"/>
      <c r="P859" s="285"/>
      <c r="Q859" s="325"/>
      <c r="R859" s="325"/>
      <c r="S859" s="285"/>
      <c r="T859" s="285"/>
      <c r="U859" s="285"/>
      <c r="V859" s="285"/>
      <c r="W859" s="285"/>
      <c r="X859" s="285"/>
      <c r="Y859" s="285"/>
      <c r="Z859" s="285"/>
    </row>
    <row r="860" ht="12.75" customHeight="1">
      <c r="A860" s="285"/>
      <c r="B860" s="75"/>
      <c r="C860" s="75"/>
      <c r="D860" s="321"/>
      <c r="E860" s="321"/>
      <c r="F860" s="322"/>
      <c r="G860" s="75"/>
      <c r="H860" s="321"/>
      <c r="I860" s="321"/>
      <c r="J860" s="323"/>
      <c r="K860" s="324"/>
      <c r="L860" s="285"/>
      <c r="M860" s="285"/>
      <c r="N860" s="285"/>
      <c r="O860" s="325"/>
      <c r="P860" s="285"/>
      <c r="Q860" s="325"/>
      <c r="R860" s="325"/>
      <c r="S860" s="285"/>
      <c r="T860" s="285"/>
      <c r="U860" s="285"/>
      <c r="V860" s="285"/>
      <c r="W860" s="285"/>
      <c r="X860" s="285"/>
      <c r="Y860" s="285"/>
      <c r="Z860" s="285"/>
    </row>
    <row r="861" ht="12.75" customHeight="1">
      <c r="A861" s="285"/>
      <c r="B861" s="75"/>
      <c r="C861" s="75"/>
      <c r="D861" s="321"/>
      <c r="E861" s="321"/>
      <c r="F861" s="322"/>
      <c r="G861" s="75"/>
      <c r="H861" s="321"/>
      <c r="I861" s="321"/>
      <c r="J861" s="323"/>
      <c r="K861" s="324"/>
      <c r="L861" s="285"/>
      <c r="M861" s="285"/>
      <c r="N861" s="285"/>
      <c r="O861" s="325"/>
      <c r="P861" s="285"/>
      <c r="Q861" s="325"/>
      <c r="R861" s="325"/>
      <c r="S861" s="285"/>
      <c r="T861" s="285"/>
      <c r="U861" s="285"/>
      <c r="V861" s="285"/>
      <c r="W861" s="285"/>
      <c r="X861" s="285"/>
      <c r="Y861" s="285"/>
      <c r="Z861" s="285"/>
    </row>
    <row r="862" ht="12.75" customHeight="1">
      <c r="A862" s="285"/>
      <c r="B862" s="75"/>
      <c r="C862" s="75"/>
      <c r="D862" s="321"/>
      <c r="E862" s="321"/>
      <c r="F862" s="322"/>
      <c r="G862" s="75"/>
      <c r="H862" s="321"/>
      <c r="I862" s="321"/>
      <c r="J862" s="323"/>
      <c r="K862" s="324"/>
      <c r="L862" s="285"/>
      <c r="M862" s="285"/>
      <c r="N862" s="285"/>
      <c r="O862" s="325"/>
      <c r="P862" s="285"/>
      <c r="Q862" s="325"/>
      <c r="R862" s="325"/>
      <c r="S862" s="285"/>
      <c r="T862" s="285"/>
      <c r="U862" s="285"/>
      <c r="V862" s="285"/>
      <c r="W862" s="285"/>
      <c r="X862" s="285"/>
      <c r="Y862" s="285"/>
      <c r="Z862" s="285"/>
    </row>
    <row r="863" ht="12.75" customHeight="1">
      <c r="A863" s="285"/>
      <c r="B863" s="75"/>
      <c r="C863" s="75"/>
      <c r="D863" s="321"/>
      <c r="E863" s="321"/>
      <c r="F863" s="322"/>
      <c r="G863" s="75"/>
      <c r="H863" s="321"/>
      <c r="I863" s="321"/>
      <c r="J863" s="323"/>
      <c r="K863" s="324"/>
      <c r="L863" s="285"/>
      <c r="M863" s="285"/>
      <c r="N863" s="285"/>
      <c r="O863" s="325"/>
      <c r="P863" s="285"/>
      <c r="Q863" s="325"/>
      <c r="R863" s="325"/>
      <c r="S863" s="285"/>
      <c r="T863" s="285"/>
      <c r="U863" s="285"/>
      <c r="V863" s="285"/>
      <c r="W863" s="285"/>
      <c r="X863" s="285"/>
      <c r="Y863" s="285"/>
      <c r="Z863" s="285"/>
    </row>
    <row r="864" ht="12.75" customHeight="1">
      <c r="A864" s="285"/>
      <c r="B864" s="75"/>
      <c r="C864" s="75"/>
      <c r="D864" s="321"/>
      <c r="E864" s="321"/>
      <c r="F864" s="322"/>
      <c r="G864" s="75"/>
      <c r="H864" s="321"/>
      <c r="I864" s="321"/>
      <c r="J864" s="323"/>
      <c r="K864" s="324"/>
      <c r="L864" s="285"/>
      <c r="M864" s="285"/>
      <c r="N864" s="285"/>
      <c r="O864" s="325"/>
      <c r="P864" s="285"/>
      <c r="Q864" s="325"/>
      <c r="R864" s="325"/>
      <c r="S864" s="285"/>
      <c r="T864" s="285"/>
      <c r="U864" s="285"/>
      <c r="V864" s="285"/>
      <c r="W864" s="285"/>
      <c r="X864" s="285"/>
      <c r="Y864" s="285"/>
      <c r="Z864" s="285"/>
    </row>
    <row r="865" ht="12.75" customHeight="1">
      <c r="A865" s="285"/>
      <c r="B865" s="75"/>
      <c r="C865" s="75"/>
      <c r="D865" s="321"/>
      <c r="E865" s="321"/>
      <c r="F865" s="322"/>
      <c r="G865" s="75"/>
      <c r="H865" s="321"/>
      <c r="I865" s="321"/>
      <c r="J865" s="323"/>
      <c r="K865" s="324"/>
      <c r="L865" s="285"/>
      <c r="M865" s="285"/>
      <c r="N865" s="285"/>
      <c r="O865" s="325"/>
      <c r="P865" s="285"/>
      <c r="Q865" s="325"/>
      <c r="R865" s="325"/>
      <c r="S865" s="285"/>
      <c r="T865" s="285"/>
      <c r="U865" s="285"/>
      <c r="V865" s="285"/>
      <c r="W865" s="285"/>
      <c r="X865" s="285"/>
      <c r="Y865" s="285"/>
      <c r="Z865" s="285"/>
    </row>
    <row r="866" ht="12.75" customHeight="1">
      <c r="A866" s="285"/>
      <c r="B866" s="75"/>
      <c r="C866" s="75"/>
      <c r="D866" s="321"/>
      <c r="E866" s="321"/>
      <c r="F866" s="322"/>
      <c r="G866" s="75"/>
      <c r="H866" s="321"/>
      <c r="I866" s="321"/>
      <c r="J866" s="323"/>
      <c r="K866" s="324"/>
      <c r="L866" s="285"/>
      <c r="M866" s="285"/>
      <c r="N866" s="285"/>
      <c r="O866" s="325"/>
      <c r="P866" s="285"/>
      <c r="Q866" s="325"/>
      <c r="R866" s="325"/>
      <c r="S866" s="285"/>
      <c r="T866" s="285"/>
      <c r="U866" s="285"/>
      <c r="V866" s="285"/>
      <c r="W866" s="285"/>
      <c r="X866" s="285"/>
      <c r="Y866" s="285"/>
      <c r="Z866" s="285"/>
    </row>
    <row r="867" ht="12.75" customHeight="1">
      <c r="A867" s="285"/>
      <c r="B867" s="75"/>
      <c r="C867" s="75"/>
      <c r="D867" s="321"/>
      <c r="E867" s="321"/>
      <c r="F867" s="322"/>
      <c r="G867" s="75"/>
      <c r="H867" s="321"/>
      <c r="I867" s="321"/>
      <c r="J867" s="323"/>
      <c r="K867" s="324"/>
      <c r="L867" s="285"/>
      <c r="M867" s="285"/>
      <c r="N867" s="285"/>
      <c r="O867" s="325"/>
      <c r="P867" s="285"/>
      <c r="Q867" s="325"/>
      <c r="R867" s="325"/>
      <c r="S867" s="285"/>
      <c r="T867" s="285"/>
      <c r="U867" s="285"/>
      <c r="V867" s="285"/>
      <c r="W867" s="285"/>
      <c r="X867" s="285"/>
      <c r="Y867" s="285"/>
      <c r="Z867" s="285"/>
    </row>
    <row r="868" ht="12.75" customHeight="1">
      <c r="A868" s="285"/>
      <c r="B868" s="75"/>
      <c r="C868" s="75"/>
      <c r="D868" s="321"/>
      <c r="E868" s="321"/>
      <c r="F868" s="322"/>
      <c r="G868" s="75"/>
      <c r="H868" s="321"/>
      <c r="I868" s="321"/>
      <c r="J868" s="323"/>
      <c r="K868" s="324"/>
      <c r="L868" s="285"/>
      <c r="M868" s="285"/>
      <c r="N868" s="285"/>
      <c r="O868" s="325"/>
      <c r="P868" s="285"/>
      <c r="Q868" s="325"/>
      <c r="R868" s="325"/>
      <c r="S868" s="285"/>
      <c r="T868" s="285"/>
      <c r="U868" s="285"/>
      <c r="V868" s="285"/>
      <c r="W868" s="285"/>
      <c r="X868" s="285"/>
      <c r="Y868" s="285"/>
      <c r="Z868" s="285"/>
    </row>
    <row r="869" ht="12.75" customHeight="1">
      <c r="A869" s="285"/>
      <c r="B869" s="75"/>
      <c r="C869" s="75"/>
      <c r="D869" s="321"/>
      <c r="E869" s="321"/>
      <c r="F869" s="322"/>
      <c r="G869" s="75"/>
      <c r="H869" s="321"/>
      <c r="I869" s="321"/>
      <c r="J869" s="323"/>
      <c r="K869" s="324"/>
      <c r="L869" s="285"/>
      <c r="M869" s="285"/>
      <c r="N869" s="285"/>
      <c r="O869" s="325"/>
      <c r="P869" s="285"/>
      <c r="Q869" s="325"/>
      <c r="R869" s="325"/>
      <c r="S869" s="285"/>
      <c r="T869" s="285"/>
      <c r="U869" s="285"/>
      <c r="V869" s="285"/>
      <c r="W869" s="285"/>
      <c r="X869" s="285"/>
      <c r="Y869" s="285"/>
      <c r="Z869" s="285"/>
    </row>
    <row r="870" ht="12.75" customHeight="1">
      <c r="A870" s="285"/>
      <c r="B870" s="75"/>
      <c r="C870" s="75"/>
      <c r="D870" s="321"/>
      <c r="E870" s="321"/>
      <c r="F870" s="322"/>
      <c r="G870" s="75"/>
      <c r="H870" s="321"/>
      <c r="I870" s="321"/>
      <c r="J870" s="323"/>
      <c r="K870" s="324"/>
      <c r="L870" s="285"/>
      <c r="M870" s="285"/>
      <c r="N870" s="285"/>
      <c r="O870" s="325"/>
      <c r="P870" s="285"/>
      <c r="Q870" s="325"/>
      <c r="R870" s="325"/>
      <c r="S870" s="285"/>
      <c r="T870" s="285"/>
      <c r="U870" s="285"/>
      <c r="V870" s="285"/>
      <c r="W870" s="285"/>
      <c r="X870" s="285"/>
      <c r="Y870" s="285"/>
      <c r="Z870" s="285"/>
    </row>
    <row r="871" ht="12.75" customHeight="1">
      <c r="A871" s="285"/>
      <c r="B871" s="75"/>
      <c r="C871" s="75"/>
      <c r="D871" s="321"/>
      <c r="E871" s="321"/>
      <c r="F871" s="322"/>
      <c r="G871" s="75"/>
      <c r="H871" s="321"/>
      <c r="I871" s="321"/>
      <c r="J871" s="323"/>
      <c r="K871" s="324"/>
      <c r="L871" s="285"/>
      <c r="M871" s="285"/>
      <c r="N871" s="285"/>
      <c r="O871" s="325"/>
      <c r="P871" s="285"/>
      <c r="Q871" s="325"/>
      <c r="R871" s="325"/>
      <c r="S871" s="285"/>
      <c r="T871" s="285"/>
      <c r="U871" s="285"/>
      <c r="V871" s="285"/>
      <c r="W871" s="285"/>
      <c r="X871" s="285"/>
      <c r="Y871" s="285"/>
      <c r="Z871" s="285"/>
    </row>
    <row r="872" ht="12.75" customHeight="1">
      <c r="A872" s="285"/>
      <c r="B872" s="75"/>
      <c r="C872" s="75"/>
      <c r="D872" s="321"/>
      <c r="E872" s="321"/>
      <c r="F872" s="322"/>
      <c r="G872" s="75"/>
      <c r="H872" s="321"/>
      <c r="I872" s="321"/>
      <c r="J872" s="323"/>
      <c r="K872" s="324"/>
      <c r="L872" s="285"/>
      <c r="M872" s="285"/>
      <c r="N872" s="285"/>
      <c r="O872" s="325"/>
      <c r="P872" s="285"/>
      <c r="Q872" s="325"/>
      <c r="R872" s="325"/>
      <c r="S872" s="285"/>
      <c r="T872" s="285"/>
      <c r="U872" s="285"/>
      <c r="V872" s="285"/>
      <c r="W872" s="285"/>
      <c r="X872" s="285"/>
      <c r="Y872" s="285"/>
      <c r="Z872" s="285"/>
    </row>
    <row r="873" ht="12.75" customHeight="1">
      <c r="A873" s="285"/>
      <c r="B873" s="75"/>
      <c r="C873" s="75"/>
      <c r="D873" s="321"/>
      <c r="E873" s="321"/>
      <c r="F873" s="322"/>
      <c r="G873" s="75"/>
      <c r="H873" s="321"/>
      <c r="I873" s="321"/>
      <c r="J873" s="323"/>
      <c r="K873" s="324"/>
      <c r="L873" s="285"/>
      <c r="M873" s="285"/>
      <c r="N873" s="285"/>
      <c r="O873" s="325"/>
      <c r="P873" s="285"/>
      <c r="Q873" s="325"/>
      <c r="R873" s="325"/>
      <c r="S873" s="285"/>
      <c r="T873" s="285"/>
      <c r="U873" s="285"/>
      <c r="V873" s="285"/>
      <c r="W873" s="285"/>
      <c r="X873" s="285"/>
      <c r="Y873" s="285"/>
      <c r="Z873" s="285"/>
    </row>
    <row r="874" ht="12.75" customHeight="1">
      <c r="A874" s="285"/>
      <c r="B874" s="75"/>
      <c r="C874" s="75"/>
      <c r="D874" s="321"/>
      <c r="E874" s="321"/>
      <c r="F874" s="322"/>
      <c r="G874" s="75"/>
      <c r="H874" s="321"/>
      <c r="I874" s="321"/>
      <c r="J874" s="323"/>
      <c r="K874" s="324"/>
      <c r="L874" s="285"/>
      <c r="M874" s="285"/>
      <c r="N874" s="285"/>
      <c r="O874" s="325"/>
      <c r="P874" s="285"/>
      <c r="Q874" s="325"/>
      <c r="R874" s="325"/>
      <c r="S874" s="285"/>
      <c r="T874" s="285"/>
      <c r="U874" s="285"/>
      <c r="V874" s="285"/>
      <c r="W874" s="285"/>
      <c r="X874" s="285"/>
      <c r="Y874" s="285"/>
      <c r="Z874" s="285"/>
    </row>
    <row r="875" ht="12.75" customHeight="1">
      <c r="A875" s="285"/>
      <c r="B875" s="75"/>
      <c r="C875" s="75"/>
      <c r="D875" s="321"/>
      <c r="E875" s="321"/>
      <c r="F875" s="322"/>
      <c r="G875" s="75"/>
      <c r="H875" s="321"/>
      <c r="I875" s="321"/>
      <c r="J875" s="323"/>
      <c r="K875" s="324"/>
      <c r="L875" s="285"/>
      <c r="M875" s="285"/>
      <c r="N875" s="285"/>
      <c r="O875" s="325"/>
      <c r="P875" s="285"/>
      <c r="Q875" s="325"/>
      <c r="R875" s="325"/>
      <c r="S875" s="285"/>
      <c r="T875" s="285"/>
      <c r="U875" s="285"/>
      <c r="V875" s="285"/>
      <c r="W875" s="285"/>
      <c r="X875" s="285"/>
      <c r="Y875" s="285"/>
      <c r="Z875" s="285"/>
    </row>
    <row r="876" ht="12.75" customHeight="1">
      <c r="A876" s="285"/>
      <c r="B876" s="75"/>
      <c r="C876" s="75"/>
      <c r="D876" s="321"/>
      <c r="E876" s="321"/>
      <c r="F876" s="322"/>
      <c r="G876" s="75"/>
      <c r="H876" s="321"/>
      <c r="I876" s="321"/>
      <c r="J876" s="323"/>
      <c r="K876" s="324"/>
      <c r="L876" s="285"/>
      <c r="M876" s="285"/>
      <c r="N876" s="285"/>
      <c r="O876" s="325"/>
      <c r="P876" s="285"/>
      <c r="Q876" s="325"/>
      <c r="R876" s="325"/>
      <c r="S876" s="285"/>
      <c r="T876" s="285"/>
      <c r="U876" s="285"/>
      <c r="V876" s="285"/>
      <c r="W876" s="285"/>
      <c r="X876" s="285"/>
      <c r="Y876" s="285"/>
      <c r="Z876" s="285"/>
    </row>
    <row r="877" ht="12.75" customHeight="1">
      <c r="A877" s="285"/>
      <c r="B877" s="75"/>
      <c r="C877" s="75"/>
      <c r="D877" s="321"/>
      <c r="E877" s="321"/>
      <c r="F877" s="322"/>
      <c r="G877" s="75"/>
      <c r="H877" s="321"/>
      <c r="I877" s="321"/>
      <c r="J877" s="323"/>
      <c r="K877" s="324"/>
      <c r="L877" s="285"/>
      <c r="M877" s="285"/>
      <c r="N877" s="285"/>
      <c r="O877" s="325"/>
      <c r="P877" s="285"/>
      <c r="Q877" s="325"/>
      <c r="R877" s="325"/>
      <c r="S877" s="285"/>
      <c r="T877" s="285"/>
      <c r="U877" s="285"/>
      <c r="V877" s="285"/>
      <c r="W877" s="285"/>
      <c r="X877" s="285"/>
      <c r="Y877" s="285"/>
      <c r="Z877" s="285"/>
    </row>
    <row r="878" ht="12.75" customHeight="1">
      <c r="A878" s="285"/>
      <c r="B878" s="75"/>
      <c r="C878" s="75"/>
      <c r="D878" s="321"/>
      <c r="E878" s="321"/>
      <c r="F878" s="322"/>
      <c r="G878" s="75"/>
      <c r="H878" s="321"/>
      <c r="I878" s="321"/>
      <c r="J878" s="323"/>
      <c r="K878" s="324"/>
      <c r="L878" s="285"/>
      <c r="M878" s="285"/>
      <c r="N878" s="285"/>
      <c r="O878" s="325"/>
      <c r="P878" s="285"/>
      <c r="Q878" s="325"/>
      <c r="R878" s="325"/>
      <c r="S878" s="285"/>
      <c r="T878" s="285"/>
      <c r="U878" s="285"/>
      <c r="V878" s="285"/>
      <c r="W878" s="285"/>
      <c r="X878" s="285"/>
      <c r="Y878" s="285"/>
      <c r="Z878" s="285"/>
    </row>
    <row r="879" ht="12.75" customHeight="1">
      <c r="A879" s="285"/>
      <c r="B879" s="75"/>
      <c r="C879" s="75"/>
      <c r="D879" s="321"/>
      <c r="E879" s="321"/>
      <c r="F879" s="322"/>
      <c r="G879" s="75"/>
      <c r="H879" s="321"/>
      <c r="I879" s="321"/>
      <c r="J879" s="323"/>
      <c r="K879" s="324"/>
      <c r="L879" s="285"/>
      <c r="M879" s="285"/>
      <c r="N879" s="285"/>
      <c r="O879" s="325"/>
      <c r="P879" s="285"/>
      <c r="Q879" s="325"/>
      <c r="R879" s="325"/>
      <c r="S879" s="285"/>
      <c r="T879" s="285"/>
      <c r="U879" s="285"/>
      <c r="V879" s="285"/>
      <c r="W879" s="285"/>
      <c r="X879" s="285"/>
      <c r="Y879" s="285"/>
      <c r="Z879" s="285"/>
    </row>
    <row r="880" ht="12.75" customHeight="1">
      <c r="A880" s="285"/>
      <c r="B880" s="75"/>
      <c r="C880" s="75"/>
      <c r="D880" s="321"/>
      <c r="E880" s="321"/>
      <c r="F880" s="322"/>
      <c r="G880" s="75"/>
      <c r="H880" s="321"/>
      <c r="I880" s="321"/>
      <c r="J880" s="323"/>
      <c r="K880" s="324"/>
      <c r="L880" s="285"/>
      <c r="M880" s="285"/>
      <c r="N880" s="285"/>
      <c r="O880" s="325"/>
      <c r="P880" s="285"/>
      <c r="Q880" s="325"/>
      <c r="R880" s="325"/>
      <c r="S880" s="285"/>
      <c r="T880" s="285"/>
      <c r="U880" s="285"/>
      <c r="V880" s="285"/>
      <c r="W880" s="285"/>
      <c r="X880" s="285"/>
      <c r="Y880" s="285"/>
      <c r="Z880" s="285"/>
    </row>
    <row r="881" ht="12.75" customHeight="1">
      <c r="A881" s="285"/>
      <c r="B881" s="75"/>
      <c r="C881" s="75"/>
      <c r="D881" s="321"/>
      <c r="E881" s="321"/>
      <c r="F881" s="322"/>
      <c r="G881" s="75"/>
      <c r="H881" s="321"/>
      <c r="I881" s="321"/>
      <c r="J881" s="323"/>
      <c r="K881" s="324"/>
      <c r="L881" s="285"/>
      <c r="M881" s="285"/>
      <c r="N881" s="285"/>
      <c r="O881" s="325"/>
      <c r="P881" s="285"/>
      <c r="Q881" s="325"/>
      <c r="R881" s="325"/>
      <c r="S881" s="285"/>
      <c r="T881" s="285"/>
      <c r="U881" s="285"/>
      <c r="V881" s="285"/>
      <c r="W881" s="285"/>
      <c r="X881" s="285"/>
      <c r="Y881" s="285"/>
      <c r="Z881" s="285"/>
    </row>
    <row r="882" ht="12.75" customHeight="1">
      <c r="A882" s="285"/>
      <c r="B882" s="75"/>
      <c r="C882" s="75"/>
      <c r="D882" s="321"/>
      <c r="E882" s="321"/>
      <c r="F882" s="322"/>
      <c r="G882" s="75"/>
      <c r="H882" s="321"/>
      <c r="I882" s="321"/>
      <c r="J882" s="323"/>
      <c r="K882" s="324"/>
      <c r="L882" s="285"/>
      <c r="M882" s="285"/>
      <c r="N882" s="285"/>
      <c r="O882" s="325"/>
      <c r="P882" s="285"/>
      <c r="Q882" s="325"/>
      <c r="R882" s="325"/>
      <c r="S882" s="285"/>
      <c r="T882" s="285"/>
      <c r="U882" s="285"/>
      <c r="V882" s="285"/>
      <c r="W882" s="285"/>
      <c r="X882" s="285"/>
      <c r="Y882" s="285"/>
      <c r="Z882" s="285"/>
    </row>
    <row r="883" ht="12.75" customHeight="1">
      <c r="A883" s="285"/>
      <c r="B883" s="75"/>
      <c r="C883" s="75"/>
      <c r="D883" s="321"/>
      <c r="E883" s="321"/>
      <c r="F883" s="322"/>
      <c r="G883" s="75"/>
      <c r="H883" s="321"/>
      <c r="I883" s="321"/>
      <c r="J883" s="323"/>
      <c r="K883" s="324"/>
      <c r="L883" s="285"/>
      <c r="M883" s="285"/>
      <c r="N883" s="285"/>
      <c r="O883" s="325"/>
      <c r="P883" s="285"/>
      <c r="Q883" s="325"/>
      <c r="R883" s="325"/>
      <c r="S883" s="285"/>
      <c r="T883" s="285"/>
      <c r="U883" s="285"/>
      <c r="V883" s="285"/>
      <c r="W883" s="285"/>
      <c r="X883" s="285"/>
      <c r="Y883" s="285"/>
      <c r="Z883" s="285"/>
    </row>
    <row r="884" ht="12.75" customHeight="1">
      <c r="A884" s="285"/>
      <c r="B884" s="75"/>
      <c r="C884" s="75"/>
      <c r="D884" s="321"/>
      <c r="E884" s="321"/>
      <c r="F884" s="322"/>
      <c r="G884" s="75"/>
      <c r="H884" s="321"/>
      <c r="I884" s="321"/>
      <c r="J884" s="323"/>
      <c r="K884" s="324"/>
      <c r="L884" s="285"/>
      <c r="M884" s="285"/>
      <c r="N884" s="285"/>
      <c r="O884" s="325"/>
      <c r="P884" s="285"/>
      <c r="Q884" s="325"/>
      <c r="R884" s="325"/>
      <c r="S884" s="285"/>
      <c r="T884" s="285"/>
      <c r="U884" s="285"/>
      <c r="V884" s="285"/>
      <c r="W884" s="285"/>
      <c r="X884" s="285"/>
      <c r="Y884" s="285"/>
      <c r="Z884" s="285"/>
    </row>
    <row r="885" ht="12.75" customHeight="1">
      <c r="A885" s="285"/>
      <c r="B885" s="75"/>
      <c r="C885" s="75"/>
      <c r="D885" s="321"/>
      <c r="E885" s="321"/>
      <c r="F885" s="322"/>
      <c r="G885" s="75"/>
      <c r="H885" s="321"/>
      <c r="I885" s="321"/>
      <c r="J885" s="323"/>
      <c r="K885" s="324"/>
      <c r="L885" s="285"/>
      <c r="M885" s="285"/>
      <c r="N885" s="285"/>
      <c r="O885" s="325"/>
      <c r="P885" s="285"/>
      <c r="Q885" s="325"/>
      <c r="R885" s="325"/>
      <c r="S885" s="285"/>
      <c r="T885" s="285"/>
      <c r="U885" s="285"/>
      <c r="V885" s="285"/>
      <c r="W885" s="285"/>
      <c r="X885" s="285"/>
      <c r="Y885" s="285"/>
      <c r="Z885" s="285"/>
    </row>
    <row r="886" ht="12.75" customHeight="1">
      <c r="A886" s="285"/>
      <c r="B886" s="75"/>
      <c r="C886" s="75"/>
      <c r="D886" s="321"/>
      <c r="E886" s="321"/>
      <c r="F886" s="322"/>
      <c r="G886" s="75"/>
      <c r="H886" s="321"/>
      <c r="I886" s="321"/>
      <c r="J886" s="323"/>
      <c r="K886" s="324"/>
      <c r="L886" s="285"/>
      <c r="M886" s="285"/>
      <c r="N886" s="285"/>
      <c r="O886" s="325"/>
      <c r="P886" s="285"/>
      <c r="Q886" s="325"/>
      <c r="R886" s="325"/>
      <c r="S886" s="285"/>
      <c r="T886" s="285"/>
      <c r="U886" s="285"/>
      <c r="V886" s="285"/>
      <c r="W886" s="285"/>
      <c r="X886" s="285"/>
      <c r="Y886" s="285"/>
      <c r="Z886" s="285"/>
    </row>
    <row r="887" ht="12.75" customHeight="1">
      <c r="A887" s="285"/>
      <c r="B887" s="75"/>
      <c r="C887" s="75"/>
      <c r="D887" s="321"/>
      <c r="E887" s="321"/>
      <c r="F887" s="322"/>
      <c r="G887" s="75"/>
      <c r="H887" s="321"/>
      <c r="I887" s="321"/>
      <c r="J887" s="323"/>
      <c r="K887" s="324"/>
      <c r="L887" s="285"/>
      <c r="M887" s="285"/>
      <c r="N887" s="285"/>
      <c r="O887" s="325"/>
      <c r="P887" s="285"/>
      <c r="Q887" s="325"/>
      <c r="R887" s="325"/>
      <c r="S887" s="285"/>
      <c r="T887" s="285"/>
      <c r="U887" s="285"/>
      <c r="V887" s="285"/>
      <c r="W887" s="285"/>
      <c r="X887" s="285"/>
      <c r="Y887" s="285"/>
      <c r="Z887" s="285"/>
    </row>
    <row r="888" ht="12.75" customHeight="1">
      <c r="A888" s="285"/>
      <c r="B888" s="75"/>
      <c r="C888" s="75"/>
      <c r="D888" s="321"/>
      <c r="E888" s="321"/>
      <c r="F888" s="322"/>
      <c r="G888" s="75"/>
      <c r="H888" s="321"/>
      <c r="I888" s="321"/>
      <c r="J888" s="323"/>
      <c r="K888" s="324"/>
      <c r="L888" s="285"/>
      <c r="M888" s="285"/>
      <c r="N888" s="285"/>
      <c r="O888" s="325"/>
      <c r="P888" s="285"/>
      <c r="Q888" s="325"/>
      <c r="R888" s="325"/>
      <c r="S888" s="285"/>
      <c r="T888" s="285"/>
      <c r="U888" s="285"/>
      <c r="V888" s="285"/>
      <c r="W888" s="285"/>
      <c r="X888" s="285"/>
      <c r="Y888" s="285"/>
      <c r="Z888" s="285"/>
    </row>
    <row r="889" ht="12.75" customHeight="1">
      <c r="A889" s="285"/>
      <c r="B889" s="75"/>
      <c r="C889" s="75"/>
      <c r="D889" s="321"/>
      <c r="E889" s="321"/>
      <c r="F889" s="322"/>
      <c r="G889" s="75"/>
      <c r="H889" s="321"/>
      <c r="I889" s="321"/>
      <c r="J889" s="323"/>
      <c r="K889" s="324"/>
      <c r="L889" s="285"/>
      <c r="M889" s="285"/>
      <c r="N889" s="285"/>
      <c r="O889" s="325"/>
      <c r="P889" s="285"/>
      <c r="Q889" s="325"/>
      <c r="R889" s="325"/>
      <c r="S889" s="285"/>
      <c r="T889" s="285"/>
      <c r="U889" s="285"/>
      <c r="V889" s="285"/>
      <c r="W889" s="285"/>
      <c r="X889" s="285"/>
      <c r="Y889" s="285"/>
      <c r="Z889" s="285"/>
    </row>
    <row r="890" ht="12.75" customHeight="1">
      <c r="A890" s="285"/>
      <c r="B890" s="75"/>
      <c r="C890" s="75"/>
      <c r="D890" s="321"/>
      <c r="E890" s="321"/>
      <c r="F890" s="322"/>
      <c r="G890" s="75"/>
      <c r="H890" s="321"/>
      <c r="I890" s="321"/>
      <c r="J890" s="323"/>
      <c r="K890" s="324"/>
      <c r="L890" s="285"/>
      <c r="M890" s="285"/>
      <c r="N890" s="285"/>
      <c r="O890" s="325"/>
      <c r="P890" s="285"/>
      <c r="Q890" s="325"/>
      <c r="R890" s="325"/>
      <c r="S890" s="285"/>
      <c r="T890" s="285"/>
      <c r="U890" s="285"/>
      <c r="V890" s="285"/>
      <c r="W890" s="285"/>
      <c r="X890" s="285"/>
      <c r="Y890" s="285"/>
      <c r="Z890" s="285"/>
    </row>
    <row r="891" ht="12.75" customHeight="1">
      <c r="A891" s="285"/>
      <c r="B891" s="75"/>
      <c r="C891" s="75"/>
      <c r="D891" s="321"/>
      <c r="E891" s="321"/>
      <c r="F891" s="322"/>
      <c r="G891" s="75"/>
      <c r="H891" s="321"/>
      <c r="I891" s="321"/>
      <c r="J891" s="323"/>
      <c r="K891" s="324"/>
      <c r="L891" s="285"/>
      <c r="M891" s="285"/>
      <c r="N891" s="285"/>
      <c r="O891" s="325"/>
      <c r="P891" s="285"/>
      <c r="Q891" s="325"/>
      <c r="R891" s="325"/>
      <c r="S891" s="285"/>
      <c r="T891" s="285"/>
      <c r="U891" s="285"/>
      <c r="V891" s="285"/>
      <c r="W891" s="285"/>
      <c r="X891" s="285"/>
      <c r="Y891" s="285"/>
      <c r="Z891" s="285"/>
    </row>
    <row r="892" ht="12.75" customHeight="1">
      <c r="A892" s="285"/>
      <c r="B892" s="75"/>
      <c r="C892" s="75"/>
      <c r="D892" s="321"/>
      <c r="E892" s="321"/>
      <c r="F892" s="322"/>
      <c r="G892" s="75"/>
      <c r="H892" s="321"/>
      <c r="I892" s="321"/>
      <c r="J892" s="323"/>
      <c r="K892" s="324"/>
      <c r="L892" s="285"/>
      <c r="M892" s="285"/>
      <c r="N892" s="285"/>
      <c r="O892" s="325"/>
      <c r="P892" s="285"/>
      <c r="Q892" s="325"/>
      <c r="R892" s="325"/>
      <c r="S892" s="285"/>
      <c r="T892" s="285"/>
      <c r="U892" s="285"/>
      <c r="V892" s="285"/>
      <c r="W892" s="285"/>
      <c r="X892" s="285"/>
      <c r="Y892" s="285"/>
      <c r="Z892" s="285"/>
    </row>
    <row r="893" ht="12.75" customHeight="1">
      <c r="A893" s="285"/>
      <c r="B893" s="75"/>
      <c r="C893" s="75"/>
      <c r="D893" s="321"/>
      <c r="E893" s="321"/>
      <c r="F893" s="322"/>
      <c r="G893" s="75"/>
      <c r="H893" s="321"/>
      <c r="I893" s="321"/>
      <c r="J893" s="323"/>
      <c r="K893" s="324"/>
      <c r="L893" s="285"/>
      <c r="M893" s="285"/>
      <c r="N893" s="285"/>
      <c r="O893" s="325"/>
      <c r="P893" s="285"/>
      <c r="Q893" s="325"/>
      <c r="R893" s="325"/>
      <c r="S893" s="285"/>
      <c r="T893" s="285"/>
      <c r="U893" s="285"/>
      <c r="V893" s="285"/>
      <c r="W893" s="285"/>
      <c r="X893" s="285"/>
      <c r="Y893" s="285"/>
      <c r="Z893" s="285"/>
    </row>
    <row r="894" ht="12.75" customHeight="1">
      <c r="A894" s="285"/>
      <c r="B894" s="75"/>
      <c r="C894" s="75"/>
      <c r="D894" s="321"/>
      <c r="E894" s="321"/>
      <c r="F894" s="322"/>
      <c r="G894" s="75"/>
      <c r="H894" s="321"/>
      <c r="I894" s="321"/>
      <c r="J894" s="323"/>
      <c r="K894" s="324"/>
      <c r="L894" s="285"/>
      <c r="M894" s="285"/>
      <c r="N894" s="285"/>
      <c r="O894" s="325"/>
      <c r="P894" s="285"/>
      <c r="Q894" s="325"/>
      <c r="R894" s="325"/>
      <c r="S894" s="285"/>
      <c r="T894" s="285"/>
      <c r="U894" s="285"/>
      <c r="V894" s="285"/>
      <c r="W894" s="285"/>
      <c r="X894" s="285"/>
      <c r="Y894" s="285"/>
      <c r="Z894" s="285"/>
    </row>
    <row r="895" ht="12.75" customHeight="1">
      <c r="A895" s="285"/>
      <c r="B895" s="75"/>
      <c r="C895" s="75"/>
      <c r="D895" s="321"/>
      <c r="E895" s="321"/>
      <c r="F895" s="322"/>
      <c r="G895" s="75"/>
      <c r="H895" s="321"/>
      <c r="I895" s="321"/>
      <c r="J895" s="323"/>
      <c r="K895" s="324"/>
      <c r="L895" s="285"/>
      <c r="M895" s="285"/>
      <c r="N895" s="285"/>
      <c r="O895" s="325"/>
      <c r="P895" s="285"/>
      <c r="Q895" s="325"/>
      <c r="R895" s="325"/>
      <c r="S895" s="285"/>
      <c r="T895" s="285"/>
      <c r="U895" s="285"/>
      <c r="V895" s="285"/>
      <c r="W895" s="285"/>
      <c r="X895" s="285"/>
      <c r="Y895" s="285"/>
      <c r="Z895" s="285"/>
    </row>
    <row r="896" ht="12.75" customHeight="1">
      <c r="A896" s="285"/>
      <c r="B896" s="75"/>
      <c r="C896" s="75"/>
      <c r="D896" s="321"/>
      <c r="E896" s="321"/>
      <c r="F896" s="322"/>
      <c r="G896" s="75"/>
      <c r="H896" s="321"/>
      <c r="I896" s="321"/>
      <c r="J896" s="323"/>
      <c r="K896" s="324"/>
      <c r="L896" s="285"/>
      <c r="M896" s="285"/>
      <c r="N896" s="285"/>
      <c r="O896" s="325"/>
      <c r="P896" s="285"/>
      <c r="Q896" s="325"/>
      <c r="R896" s="325"/>
      <c r="S896" s="285"/>
      <c r="T896" s="285"/>
      <c r="U896" s="285"/>
      <c r="V896" s="285"/>
      <c r="W896" s="285"/>
      <c r="X896" s="285"/>
      <c r="Y896" s="285"/>
      <c r="Z896" s="285"/>
    </row>
    <row r="897" ht="12.75" customHeight="1">
      <c r="A897" s="285"/>
      <c r="B897" s="75"/>
      <c r="C897" s="75"/>
      <c r="D897" s="321"/>
      <c r="E897" s="321"/>
      <c r="F897" s="322"/>
      <c r="G897" s="75"/>
      <c r="H897" s="321"/>
      <c r="I897" s="321"/>
      <c r="J897" s="323"/>
      <c r="K897" s="324"/>
      <c r="L897" s="285"/>
      <c r="M897" s="285"/>
      <c r="N897" s="285"/>
      <c r="O897" s="325"/>
      <c r="P897" s="285"/>
      <c r="Q897" s="325"/>
      <c r="R897" s="325"/>
      <c r="S897" s="285"/>
      <c r="T897" s="285"/>
      <c r="U897" s="285"/>
      <c r="V897" s="285"/>
      <c r="W897" s="285"/>
      <c r="X897" s="285"/>
      <c r="Y897" s="285"/>
      <c r="Z897" s="285"/>
    </row>
    <row r="898" ht="12.75" customHeight="1">
      <c r="A898" s="285"/>
      <c r="B898" s="75"/>
      <c r="C898" s="75"/>
      <c r="D898" s="321"/>
      <c r="E898" s="321"/>
      <c r="F898" s="322"/>
      <c r="G898" s="75"/>
      <c r="H898" s="321"/>
      <c r="I898" s="321"/>
      <c r="J898" s="323"/>
      <c r="K898" s="324"/>
      <c r="L898" s="285"/>
      <c r="M898" s="285"/>
      <c r="N898" s="285"/>
      <c r="O898" s="325"/>
      <c r="P898" s="285"/>
      <c r="Q898" s="325"/>
      <c r="R898" s="325"/>
      <c r="S898" s="285"/>
      <c r="T898" s="285"/>
      <c r="U898" s="285"/>
      <c r="V898" s="285"/>
      <c r="W898" s="285"/>
      <c r="X898" s="285"/>
      <c r="Y898" s="285"/>
      <c r="Z898" s="285"/>
    </row>
    <row r="899" ht="12.75" customHeight="1">
      <c r="A899" s="285"/>
      <c r="B899" s="75"/>
      <c r="C899" s="75"/>
      <c r="D899" s="321"/>
      <c r="E899" s="321"/>
      <c r="F899" s="322"/>
      <c r="G899" s="75"/>
      <c r="H899" s="321"/>
      <c r="I899" s="321"/>
      <c r="J899" s="323"/>
      <c r="K899" s="324"/>
      <c r="L899" s="285"/>
      <c r="M899" s="285"/>
      <c r="N899" s="285"/>
      <c r="O899" s="325"/>
      <c r="P899" s="285"/>
      <c r="Q899" s="325"/>
      <c r="R899" s="325"/>
      <c r="S899" s="285"/>
      <c r="T899" s="285"/>
      <c r="U899" s="285"/>
      <c r="V899" s="285"/>
      <c r="W899" s="285"/>
      <c r="X899" s="285"/>
      <c r="Y899" s="285"/>
      <c r="Z899" s="285"/>
    </row>
    <row r="900" ht="12.75" customHeight="1">
      <c r="A900" s="285"/>
      <c r="B900" s="75"/>
      <c r="C900" s="75"/>
      <c r="D900" s="321"/>
      <c r="E900" s="321"/>
      <c r="F900" s="322"/>
      <c r="G900" s="75"/>
      <c r="H900" s="321"/>
      <c r="I900" s="321"/>
      <c r="J900" s="323"/>
      <c r="K900" s="324"/>
      <c r="L900" s="285"/>
      <c r="M900" s="285"/>
      <c r="N900" s="285"/>
      <c r="O900" s="325"/>
      <c r="P900" s="285"/>
      <c r="Q900" s="325"/>
      <c r="R900" s="325"/>
      <c r="S900" s="285"/>
      <c r="T900" s="285"/>
      <c r="U900" s="285"/>
      <c r="V900" s="285"/>
      <c r="W900" s="285"/>
      <c r="X900" s="285"/>
      <c r="Y900" s="285"/>
      <c r="Z900" s="285"/>
    </row>
    <row r="901" ht="12.75" customHeight="1">
      <c r="A901" s="285"/>
      <c r="B901" s="75"/>
      <c r="C901" s="75"/>
      <c r="D901" s="321"/>
      <c r="E901" s="321"/>
      <c r="F901" s="322"/>
      <c r="G901" s="75"/>
      <c r="H901" s="321"/>
      <c r="I901" s="321"/>
      <c r="J901" s="323"/>
      <c r="K901" s="324"/>
      <c r="L901" s="285"/>
      <c r="M901" s="285"/>
      <c r="N901" s="285"/>
      <c r="O901" s="325"/>
      <c r="P901" s="285"/>
      <c r="Q901" s="325"/>
      <c r="R901" s="325"/>
      <c r="S901" s="285"/>
      <c r="T901" s="285"/>
      <c r="U901" s="285"/>
      <c r="V901" s="285"/>
      <c r="W901" s="285"/>
      <c r="X901" s="285"/>
      <c r="Y901" s="285"/>
      <c r="Z901" s="285"/>
    </row>
    <row r="902" ht="12.75" customHeight="1">
      <c r="A902" s="285"/>
      <c r="B902" s="75"/>
      <c r="C902" s="75"/>
      <c r="D902" s="321"/>
      <c r="E902" s="321"/>
      <c r="F902" s="322"/>
      <c r="G902" s="75"/>
      <c r="H902" s="321"/>
      <c r="I902" s="321"/>
      <c r="J902" s="323"/>
      <c r="K902" s="324"/>
      <c r="L902" s="285"/>
      <c r="M902" s="285"/>
      <c r="N902" s="285"/>
      <c r="O902" s="325"/>
      <c r="P902" s="285"/>
      <c r="Q902" s="325"/>
      <c r="R902" s="325"/>
      <c r="S902" s="285"/>
      <c r="T902" s="285"/>
      <c r="U902" s="285"/>
      <c r="V902" s="285"/>
      <c r="W902" s="285"/>
      <c r="X902" s="285"/>
      <c r="Y902" s="285"/>
      <c r="Z902" s="285"/>
    </row>
    <row r="903" ht="12.75" customHeight="1">
      <c r="A903" s="285"/>
      <c r="B903" s="75"/>
      <c r="C903" s="75"/>
      <c r="D903" s="321"/>
      <c r="E903" s="321"/>
      <c r="F903" s="322"/>
      <c r="G903" s="75"/>
      <c r="H903" s="321"/>
      <c r="I903" s="321"/>
      <c r="J903" s="323"/>
      <c r="K903" s="324"/>
      <c r="L903" s="285"/>
      <c r="M903" s="285"/>
      <c r="N903" s="285"/>
      <c r="O903" s="325"/>
      <c r="P903" s="285"/>
      <c r="Q903" s="325"/>
      <c r="R903" s="325"/>
      <c r="S903" s="285"/>
      <c r="T903" s="285"/>
      <c r="U903" s="285"/>
      <c r="V903" s="285"/>
      <c r="W903" s="285"/>
      <c r="X903" s="285"/>
      <c r="Y903" s="285"/>
      <c r="Z903" s="285"/>
    </row>
    <row r="904" ht="12.75" customHeight="1">
      <c r="A904" s="285"/>
      <c r="B904" s="75"/>
      <c r="C904" s="75"/>
      <c r="D904" s="321"/>
      <c r="E904" s="321"/>
      <c r="F904" s="322"/>
      <c r="G904" s="75"/>
      <c r="H904" s="321"/>
      <c r="I904" s="321"/>
      <c r="J904" s="323"/>
      <c r="K904" s="324"/>
      <c r="L904" s="285"/>
      <c r="M904" s="285"/>
      <c r="N904" s="285"/>
      <c r="O904" s="325"/>
      <c r="P904" s="285"/>
      <c r="Q904" s="325"/>
      <c r="R904" s="325"/>
      <c r="S904" s="285"/>
      <c r="T904" s="285"/>
      <c r="U904" s="285"/>
      <c r="V904" s="285"/>
      <c r="W904" s="285"/>
      <c r="X904" s="285"/>
      <c r="Y904" s="285"/>
      <c r="Z904" s="285"/>
    </row>
    <row r="905" ht="12.75" customHeight="1">
      <c r="A905" s="285"/>
      <c r="B905" s="75"/>
      <c r="C905" s="75"/>
      <c r="D905" s="321"/>
      <c r="E905" s="321"/>
      <c r="F905" s="322"/>
      <c r="G905" s="75"/>
      <c r="H905" s="321"/>
      <c r="I905" s="321"/>
      <c r="J905" s="323"/>
      <c r="K905" s="324"/>
      <c r="L905" s="285"/>
      <c r="M905" s="285"/>
      <c r="N905" s="285"/>
      <c r="O905" s="325"/>
      <c r="P905" s="285"/>
      <c r="Q905" s="325"/>
      <c r="R905" s="325"/>
      <c r="S905" s="285"/>
      <c r="T905" s="285"/>
      <c r="U905" s="285"/>
      <c r="V905" s="285"/>
      <c r="W905" s="285"/>
      <c r="X905" s="285"/>
      <c r="Y905" s="285"/>
      <c r="Z905" s="285"/>
    </row>
    <row r="906" ht="12.75" customHeight="1">
      <c r="A906" s="285"/>
      <c r="B906" s="75"/>
      <c r="C906" s="75"/>
      <c r="D906" s="321"/>
      <c r="E906" s="321"/>
      <c r="F906" s="322"/>
      <c r="G906" s="75"/>
      <c r="H906" s="321"/>
      <c r="I906" s="321"/>
      <c r="J906" s="323"/>
      <c r="K906" s="324"/>
      <c r="L906" s="285"/>
      <c r="M906" s="285"/>
      <c r="N906" s="285"/>
      <c r="O906" s="325"/>
      <c r="P906" s="285"/>
      <c r="Q906" s="325"/>
      <c r="R906" s="325"/>
      <c r="S906" s="285"/>
      <c r="T906" s="285"/>
      <c r="U906" s="285"/>
      <c r="V906" s="285"/>
      <c r="W906" s="285"/>
      <c r="X906" s="285"/>
      <c r="Y906" s="285"/>
      <c r="Z906" s="285"/>
    </row>
    <row r="907" ht="12.75" customHeight="1">
      <c r="A907" s="285"/>
      <c r="B907" s="75"/>
      <c r="C907" s="75"/>
      <c r="D907" s="321"/>
      <c r="E907" s="321"/>
      <c r="F907" s="322"/>
      <c r="G907" s="75"/>
      <c r="H907" s="321"/>
      <c r="I907" s="321"/>
      <c r="J907" s="323"/>
      <c r="K907" s="324"/>
      <c r="L907" s="285"/>
      <c r="M907" s="285"/>
      <c r="N907" s="285"/>
      <c r="O907" s="325"/>
      <c r="P907" s="285"/>
      <c r="Q907" s="325"/>
      <c r="R907" s="325"/>
      <c r="S907" s="285"/>
      <c r="T907" s="285"/>
      <c r="U907" s="285"/>
      <c r="V907" s="285"/>
      <c r="W907" s="285"/>
      <c r="X907" s="285"/>
      <c r="Y907" s="285"/>
      <c r="Z907" s="285"/>
    </row>
    <row r="908" ht="12.75" customHeight="1">
      <c r="A908" s="285"/>
      <c r="B908" s="75"/>
      <c r="C908" s="75"/>
      <c r="D908" s="321"/>
      <c r="E908" s="321"/>
      <c r="F908" s="322"/>
      <c r="G908" s="75"/>
      <c r="H908" s="321"/>
      <c r="I908" s="321"/>
      <c r="J908" s="323"/>
      <c r="K908" s="324"/>
      <c r="L908" s="285"/>
      <c r="M908" s="285"/>
      <c r="N908" s="285"/>
      <c r="O908" s="325"/>
      <c r="P908" s="285"/>
      <c r="Q908" s="325"/>
      <c r="R908" s="325"/>
      <c r="S908" s="285"/>
      <c r="T908" s="285"/>
      <c r="U908" s="285"/>
      <c r="V908" s="285"/>
      <c r="W908" s="285"/>
      <c r="X908" s="285"/>
      <c r="Y908" s="285"/>
      <c r="Z908" s="285"/>
    </row>
    <row r="909" ht="12.75" customHeight="1">
      <c r="A909" s="285"/>
      <c r="B909" s="75"/>
      <c r="C909" s="75"/>
      <c r="D909" s="321"/>
      <c r="E909" s="321"/>
      <c r="F909" s="322"/>
      <c r="G909" s="75"/>
      <c r="H909" s="321"/>
      <c r="I909" s="321"/>
      <c r="J909" s="323"/>
      <c r="K909" s="324"/>
      <c r="L909" s="285"/>
      <c r="M909" s="285"/>
      <c r="N909" s="285"/>
      <c r="O909" s="325"/>
      <c r="P909" s="285"/>
      <c r="Q909" s="325"/>
      <c r="R909" s="325"/>
      <c r="S909" s="285"/>
      <c r="T909" s="285"/>
      <c r="U909" s="285"/>
      <c r="V909" s="285"/>
      <c r="W909" s="285"/>
      <c r="X909" s="285"/>
      <c r="Y909" s="285"/>
      <c r="Z909" s="285"/>
    </row>
    <row r="910" ht="12.75" customHeight="1">
      <c r="A910" s="285"/>
      <c r="B910" s="75"/>
      <c r="C910" s="75"/>
      <c r="D910" s="321"/>
      <c r="E910" s="321"/>
      <c r="F910" s="322"/>
      <c r="G910" s="75"/>
      <c r="H910" s="321"/>
      <c r="I910" s="321"/>
      <c r="J910" s="323"/>
      <c r="K910" s="324"/>
      <c r="L910" s="285"/>
      <c r="M910" s="285"/>
      <c r="N910" s="285"/>
      <c r="O910" s="325"/>
      <c r="P910" s="285"/>
      <c r="Q910" s="325"/>
      <c r="R910" s="325"/>
      <c r="S910" s="285"/>
      <c r="T910" s="285"/>
      <c r="U910" s="285"/>
      <c r="V910" s="285"/>
      <c r="W910" s="285"/>
      <c r="X910" s="285"/>
      <c r="Y910" s="285"/>
      <c r="Z910" s="285"/>
    </row>
    <row r="911" ht="12.75" customHeight="1">
      <c r="A911" s="285"/>
      <c r="B911" s="75"/>
      <c r="C911" s="75"/>
      <c r="D911" s="321"/>
      <c r="E911" s="321"/>
      <c r="F911" s="322"/>
      <c r="G911" s="75"/>
      <c r="H911" s="321"/>
      <c r="I911" s="321"/>
      <c r="J911" s="323"/>
      <c r="K911" s="324"/>
      <c r="L911" s="285"/>
      <c r="M911" s="285"/>
      <c r="N911" s="285"/>
      <c r="O911" s="325"/>
      <c r="P911" s="285"/>
      <c r="Q911" s="325"/>
      <c r="R911" s="325"/>
      <c r="S911" s="285"/>
      <c r="T911" s="285"/>
      <c r="U911" s="285"/>
      <c r="V911" s="285"/>
      <c r="W911" s="285"/>
      <c r="X911" s="285"/>
      <c r="Y911" s="285"/>
      <c r="Z911" s="285"/>
    </row>
    <row r="912" ht="12.75" customHeight="1">
      <c r="A912" s="285"/>
      <c r="B912" s="75"/>
      <c r="C912" s="75"/>
      <c r="D912" s="321"/>
      <c r="E912" s="321"/>
      <c r="F912" s="322"/>
      <c r="G912" s="75"/>
      <c r="H912" s="321"/>
      <c r="I912" s="321"/>
      <c r="J912" s="323"/>
      <c r="K912" s="324"/>
      <c r="L912" s="285"/>
      <c r="M912" s="285"/>
      <c r="N912" s="285"/>
      <c r="O912" s="325"/>
      <c r="P912" s="285"/>
      <c r="Q912" s="325"/>
      <c r="R912" s="325"/>
      <c r="S912" s="285"/>
      <c r="T912" s="285"/>
      <c r="U912" s="285"/>
      <c r="V912" s="285"/>
      <c r="W912" s="285"/>
      <c r="X912" s="285"/>
      <c r="Y912" s="285"/>
      <c r="Z912" s="285"/>
    </row>
    <row r="913" ht="12.75" customHeight="1">
      <c r="A913" s="285"/>
      <c r="B913" s="75"/>
      <c r="C913" s="75"/>
      <c r="D913" s="321"/>
      <c r="E913" s="321"/>
      <c r="F913" s="322"/>
      <c r="G913" s="75"/>
      <c r="H913" s="321"/>
      <c r="I913" s="321"/>
      <c r="J913" s="323"/>
      <c r="K913" s="324"/>
      <c r="L913" s="285"/>
      <c r="M913" s="285"/>
      <c r="N913" s="285"/>
      <c r="O913" s="325"/>
      <c r="P913" s="285"/>
      <c r="Q913" s="325"/>
      <c r="R913" s="325"/>
      <c r="S913" s="285"/>
      <c r="T913" s="285"/>
      <c r="U913" s="285"/>
      <c r="V913" s="285"/>
      <c r="W913" s="285"/>
      <c r="X913" s="285"/>
      <c r="Y913" s="285"/>
      <c r="Z913" s="285"/>
    </row>
    <row r="914" ht="12.75" customHeight="1">
      <c r="A914" s="285"/>
      <c r="B914" s="75"/>
      <c r="C914" s="75"/>
      <c r="D914" s="321"/>
      <c r="E914" s="321"/>
      <c r="F914" s="322"/>
      <c r="G914" s="75"/>
      <c r="H914" s="321"/>
      <c r="I914" s="321"/>
      <c r="J914" s="323"/>
      <c r="K914" s="324"/>
      <c r="L914" s="285"/>
      <c r="M914" s="285"/>
      <c r="N914" s="285"/>
      <c r="O914" s="325"/>
      <c r="P914" s="285"/>
      <c r="Q914" s="325"/>
      <c r="R914" s="325"/>
      <c r="S914" s="285"/>
      <c r="T914" s="285"/>
      <c r="U914" s="285"/>
      <c r="V914" s="285"/>
      <c r="W914" s="285"/>
      <c r="X914" s="285"/>
      <c r="Y914" s="285"/>
      <c r="Z914" s="285"/>
    </row>
    <row r="915" ht="12.75" customHeight="1">
      <c r="A915" s="285"/>
      <c r="B915" s="75"/>
      <c r="C915" s="75"/>
      <c r="D915" s="321"/>
      <c r="E915" s="321"/>
      <c r="F915" s="322"/>
      <c r="G915" s="75"/>
      <c r="H915" s="321"/>
      <c r="I915" s="321"/>
      <c r="J915" s="323"/>
      <c r="K915" s="324"/>
      <c r="L915" s="285"/>
      <c r="M915" s="285"/>
      <c r="N915" s="285"/>
      <c r="O915" s="325"/>
      <c r="P915" s="285"/>
      <c r="Q915" s="325"/>
      <c r="R915" s="325"/>
      <c r="S915" s="285"/>
      <c r="T915" s="285"/>
      <c r="U915" s="285"/>
      <c r="V915" s="285"/>
      <c r="W915" s="285"/>
      <c r="X915" s="285"/>
      <c r="Y915" s="285"/>
      <c r="Z915" s="285"/>
    </row>
    <row r="916" ht="12.75" customHeight="1">
      <c r="A916" s="285"/>
      <c r="B916" s="75"/>
      <c r="C916" s="75"/>
      <c r="D916" s="321"/>
      <c r="E916" s="321"/>
      <c r="F916" s="322"/>
      <c r="G916" s="75"/>
      <c r="H916" s="321"/>
      <c r="I916" s="321"/>
      <c r="J916" s="323"/>
      <c r="K916" s="324"/>
      <c r="L916" s="285"/>
      <c r="M916" s="285"/>
      <c r="N916" s="285"/>
      <c r="O916" s="325"/>
      <c r="P916" s="285"/>
      <c r="Q916" s="325"/>
      <c r="R916" s="325"/>
      <c r="S916" s="285"/>
      <c r="T916" s="285"/>
      <c r="U916" s="285"/>
      <c r="V916" s="285"/>
      <c r="W916" s="285"/>
      <c r="X916" s="285"/>
      <c r="Y916" s="285"/>
      <c r="Z916" s="285"/>
    </row>
    <row r="917" ht="12.75" customHeight="1">
      <c r="A917" s="285"/>
      <c r="B917" s="75"/>
      <c r="C917" s="75"/>
      <c r="D917" s="321"/>
      <c r="E917" s="321"/>
      <c r="F917" s="322"/>
      <c r="G917" s="75"/>
      <c r="H917" s="321"/>
      <c r="I917" s="321"/>
      <c r="J917" s="323"/>
      <c r="K917" s="324"/>
      <c r="L917" s="285"/>
      <c r="M917" s="285"/>
      <c r="N917" s="285"/>
      <c r="O917" s="325"/>
      <c r="P917" s="285"/>
      <c r="Q917" s="325"/>
      <c r="R917" s="325"/>
      <c r="S917" s="285"/>
      <c r="T917" s="285"/>
      <c r="U917" s="285"/>
      <c r="V917" s="285"/>
      <c r="W917" s="285"/>
      <c r="X917" s="285"/>
      <c r="Y917" s="285"/>
      <c r="Z917" s="285"/>
    </row>
    <row r="918" ht="12.75" customHeight="1">
      <c r="A918" s="285"/>
      <c r="B918" s="75"/>
      <c r="C918" s="75"/>
      <c r="D918" s="321"/>
      <c r="E918" s="321"/>
      <c r="F918" s="322"/>
      <c r="G918" s="75"/>
      <c r="H918" s="321"/>
      <c r="I918" s="321"/>
      <c r="J918" s="323"/>
      <c r="K918" s="324"/>
      <c r="L918" s="285"/>
      <c r="M918" s="285"/>
      <c r="N918" s="285"/>
      <c r="O918" s="325"/>
      <c r="P918" s="285"/>
      <c r="Q918" s="325"/>
      <c r="R918" s="325"/>
      <c r="S918" s="285"/>
      <c r="T918" s="285"/>
      <c r="U918" s="285"/>
      <c r="V918" s="285"/>
      <c r="W918" s="285"/>
      <c r="X918" s="285"/>
      <c r="Y918" s="285"/>
      <c r="Z918" s="285"/>
    </row>
    <row r="919" ht="12.75" customHeight="1">
      <c r="A919" s="285"/>
      <c r="B919" s="75"/>
      <c r="C919" s="75"/>
      <c r="D919" s="321"/>
      <c r="E919" s="321"/>
      <c r="F919" s="322"/>
      <c r="G919" s="75"/>
      <c r="H919" s="321"/>
      <c r="I919" s="321"/>
      <c r="J919" s="323"/>
      <c r="K919" s="324"/>
      <c r="L919" s="285"/>
      <c r="M919" s="285"/>
      <c r="N919" s="285"/>
      <c r="O919" s="325"/>
      <c r="P919" s="285"/>
      <c r="Q919" s="325"/>
      <c r="R919" s="325"/>
      <c r="S919" s="285"/>
      <c r="T919" s="285"/>
      <c r="U919" s="285"/>
      <c r="V919" s="285"/>
      <c r="W919" s="285"/>
      <c r="X919" s="285"/>
      <c r="Y919" s="285"/>
      <c r="Z919" s="285"/>
    </row>
    <row r="920" ht="12.75" customHeight="1">
      <c r="A920" s="285"/>
      <c r="B920" s="75"/>
      <c r="C920" s="75"/>
      <c r="D920" s="321"/>
      <c r="E920" s="321"/>
      <c r="F920" s="322"/>
      <c r="G920" s="75"/>
      <c r="H920" s="321"/>
      <c r="I920" s="321"/>
      <c r="J920" s="323"/>
      <c r="K920" s="324"/>
      <c r="L920" s="285"/>
      <c r="M920" s="285"/>
      <c r="N920" s="285"/>
      <c r="O920" s="325"/>
      <c r="P920" s="285"/>
      <c r="Q920" s="325"/>
      <c r="R920" s="325"/>
      <c r="S920" s="285"/>
      <c r="T920" s="285"/>
      <c r="U920" s="285"/>
      <c r="V920" s="285"/>
      <c r="W920" s="285"/>
      <c r="X920" s="285"/>
      <c r="Y920" s="285"/>
      <c r="Z920" s="285"/>
    </row>
    <row r="921" ht="12.75" customHeight="1">
      <c r="A921" s="285"/>
      <c r="B921" s="75"/>
      <c r="C921" s="75"/>
      <c r="D921" s="321"/>
      <c r="E921" s="321"/>
      <c r="F921" s="322"/>
      <c r="G921" s="75"/>
      <c r="H921" s="321"/>
      <c r="I921" s="321"/>
      <c r="J921" s="323"/>
      <c r="K921" s="324"/>
      <c r="L921" s="285"/>
      <c r="M921" s="285"/>
      <c r="N921" s="285"/>
      <c r="O921" s="325"/>
      <c r="P921" s="285"/>
      <c r="Q921" s="325"/>
      <c r="R921" s="325"/>
      <c r="S921" s="285"/>
      <c r="T921" s="285"/>
      <c r="U921" s="285"/>
      <c r="V921" s="285"/>
      <c r="W921" s="285"/>
      <c r="X921" s="285"/>
      <c r="Y921" s="285"/>
      <c r="Z921" s="285"/>
    </row>
    <row r="922" ht="12.75" customHeight="1">
      <c r="A922" s="285"/>
      <c r="B922" s="75"/>
      <c r="C922" s="75"/>
      <c r="D922" s="321"/>
      <c r="E922" s="321"/>
      <c r="F922" s="322"/>
      <c r="G922" s="75"/>
      <c r="H922" s="321"/>
      <c r="I922" s="321"/>
      <c r="J922" s="323"/>
      <c r="K922" s="324"/>
      <c r="L922" s="285"/>
      <c r="M922" s="285"/>
      <c r="N922" s="285"/>
      <c r="O922" s="325"/>
      <c r="P922" s="285"/>
      <c r="Q922" s="325"/>
      <c r="R922" s="325"/>
      <c r="S922" s="285"/>
      <c r="T922" s="285"/>
      <c r="U922" s="285"/>
      <c r="V922" s="285"/>
      <c r="W922" s="285"/>
      <c r="X922" s="285"/>
      <c r="Y922" s="285"/>
      <c r="Z922" s="285"/>
    </row>
    <row r="923" ht="12.75" customHeight="1">
      <c r="A923" s="285"/>
      <c r="B923" s="75"/>
      <c r="C923" s="75"/>
      <c r="D923" s="321"/>
      <c r="E923" s="321"/>
      <c r="F923" s="322"/>
      <c r="G923" s="75"/>
      <c r="H923" s="321"/>
      <c r="I923" s="321"/>
      <c r="J923" s="323"/>
      <c r="K923" s="324"/>
      <c r="L923" s="285"/>
      <c r="M923" s="285"/>
      <c r="N923" s="285"/>
      <c r="O923" s="325"/>
      <c r="P923" s="285"/>
      <c r="Q923" s="325"/>
      <c r="R923" s="325"/>
      <c r="S923" s="285"/>
      <c r="T923" s="285"/>
      <c r="U923" s="285"/>
      <c r="V923" s="285"/>
      <c r="W923" s="285"/>
      <c r="X923" s="285"/>
      <c r="Y923" s="285"/>
      <c r="Z923" s="285"/>
    </row>
    <row r="924" ht="12.75" customHeight="1">
      <c r="A924" s="285"/>
      <c r="B924" s="75"/>
      <c r="C924" s="75"/>
      <c r="D924" s="321"/>
      <c r="E924" s="321"/>
      <c r="F924" s="322"/>
      <c r="G924" s="75"/>
      <c r="H924" s="321"/>
      <c r="I924" s="321"/>
      <c r="J924" s="323"/>
      <c r="K924" s="324"/>
      <c r="L924" s="285"/>
      <c r="M924" s="285"/>
      <c r="N924" s="285"/>
      <c r="O924" s="325"/>
      <c r="P924" s="285"/>
      <c r="Q924" s="325"/>
      <c r="R924" s="325"/>
      <c r="S924" s="285"/>
      <c r="T924" s="285"/>
      <c r="U924" s="285"/>
      <c r="V924" s="285"/>
      <c r="W924" s="285"/>
      <c r="X924" s="285"/>
      <c r="Y924" s="285"/>
      <c r="Z924" s="285"/>
    </row>
    <row r="925" ht="12.75" customHeight="1">
      <c r="A925" s="285"/>
      <c r="B925" s="75"/>
      <c r="C925" s="75"/>
      <c r="D925" s="321"/>
      <c r="E925" s="321"/>
      <c r="F925" s="322"/>
      <c r="G925" s="75"/>
      <c r="H925" s="321"/>
      <c r="I925" s="321"/>
      <c r="J925" s="323"/>
      <c r="K925" s="324"/>
      <c r="L925" s="285"/>
      <c r="M925" s="285"/>
      <c r="N925" s="285"/>
      <c r="O925" s="325"/>
      <c r="P925" s="285"/>
      <c r="Q925" s="325"/>
      <c r="R925" s="325"/>
      <c r="S925" s="285"/>
      <c r="T925" s="285"/>
      <c r="U925" s="285"/>
      <c r="V925" s="285"/>
      <c r="W925" s="285"/>
      <c r="X925" s="285"/>
      <c r="Y925" s="285"/>
      <c r="Z925" s="285"/>
    </row>
    <row r="926" ht="12.75" customHeight="1">
      <c r="A926" s="285"/>
      <c r="B926" s="75"/>
      <c r="C926" s="75"/>
      <c r="D926" s="321"/>
      <c r="E926" s="321"/>
      <c r="F926" s="322"/>
      <c r="G926" s="75"/>
      <c r="H926" s="321"/>
      <c r="I926" s="321"/>
      <c r="J926" s="323"/>
      <c r="K926" s="324"/>
      <c r="L926" s="285"/>
      <c r="M926" s="285"/>
      <c r="N926" s="285"/>
      <c r="O926" s="325"/>
      <c r="P926" s="285"/>
      <c r="Q926" s="325"/>
      <c r="R926" s="325"/>
      <c r="S926" s="285"/>
      <c r="T926" s="285"/>
      <c r="U926" s="285"/>
      <c r="V926" s="285"/>
      <c r="W926" s="285"/>
      <c r="X926" s="285"/>
      <c r="Y926" s="285"/>
      <c r="Z926" s="285"/>
    </row>
    <row r="927" ht="12.75" customHeight="1">
      <c r="A927" s="285"/>
      <c r="B927" s="75"/>
      <c r="C927" s="75"/>
      <c r="D927" s="321"/>
      <c r="E927" s="321"/>
      <c r="F927" s="322"/>
      <c r="G927" s="75"/>
      <c r="H927" s="321"/>
      <c r="I927" s="321"/>
      <c r="J927" s="323"/>
      <c r="K927" s="324"/>
      <c r="L927" s="285"/>
      <c r="M927" s="285"/>
      <c r="N927" s="285"/>
      <c r="O927" s="325"/>
      <c r="P927" s="285"/>
      <c r="Q927" s="325"/>
      <c r="R927" s="325"/>
      <c r="S927" s="285"/>
      <c r="T927" s="285"/>
      <c r="U927" s="285"/>
      <c r="V927" s="285"/>
      <c r="W927" s="285"/>
      <c r="X927" s="285"/>
      <c r="Y927" s="285"/>
      <c r="Z927" s="285"/>
    </row>
    <row r="928" ht="12.75" customHeight="1">
      <c r="A928" s="285"/>
      <c r="B928" s="75"/>
      <c r="C928" s="75"/>
      <c r="D928" s="321"/>
      <c r="E928" s="321"/>
      <c r="F928" s="322"/>
      <c r="G928" s="75"/>
      <c r="H928" s="321"/>
      <c r="I928" s="321"/>
      <c r="J928" s="323"/>
      <c r="K928" s="324"/>
      <c r="L928" s="285"/>
      <c r="M928" s="285"/>
      <c r="N928" s="285"/>
      <c r="O928" s="325"/>
      <c r="P928" s="285"/>
      <c r="Q928" s="325"/>
      <c r="R928" s="325"/>
      <c r="S928" s="285"/>
      <c r="T928" s="285"/>
      <c r="U928" s="285"/>
      <c r="V928" s="285"/>
      <c r="W928" s="285"/>
      <c r="X928" s="285"/>
      <c r="Y928" s="285"/>
      <c r="Z928" s="285"/>
    </row>
    <row r="929" ht="12.75" customHeight="1">
      <c r="A929" s="285"/>
      <c r="B929" s="75"/>
      <c r="C929" s="75"/>
      <c r="D929" s="321"/>
      <c r="E929" s="321"/>
      <c r="F929" s="322"/>
      <c r="G929" s="75"/>
      <c r="H929" s="321"/>
      <c r="I929" s="321"/>
      <c r="J929" s="323"/>
      <c r="K929" s="324"/>
      <c r="L929" s="285"/>
      <c r="M929" s="285"/>
      <c r="N929" s="285"/>
      <c r="O929" s="325"/>
      <c r="P929" s="285"/>
      <c r="Q929" s="325"/>
      <c r="R929" s="325"/>
      <c r="S929" s="285"/>
      <c r="T929" s="285"/>
      <c r="U929" s="285"/>
      <c r="V929" s="285"/>
      <c r="W929" s="285"/>
      <c r="X929" s="285"/>
      <c r="Y929" s="285"/>
      <c r="Z929" s="285"/>
    </row>
    <row r="930" ht="12.75" customHeight="1">
      <c r="A930" s="285"/>
      <c r="B930" s="75"/>
      <c r="C930" s="75"/>
      <c r="D930" s="321"/>
      <c r="E930" s="321"/>
      <c r="F930" s="322"/>
      <c r="G930" s="75"/>
      <c r="H930" s="321"/>
      <c r="I930" s="321"/>
      <c r="J930" s="323"/>
      <c r="K930" s="324"/>
      <c r="L930" s="285"/>
      <c r="M930" s="285"/>
      <c r="N930" s="285"/>
      <c r="O930" s="325"/>
      <c r="P930" s="285"/>
      <c r="Q930" s="325"/>
      <c r="R930" s="325"/>
      <c r="S930" s="285"/>
      <c r="T930" s="285"/>
      <c r="U930" s="285"/>
      <c r="V930" s="285"/>
      <c r="W930" s="285"/>
      <c r="X930" s="285"/>
      <c r="Y930" s="285"/>
      <c r="Z930" s="285"/>
    </row>
    <row r="931" ht="12.75" customHeight="1">
      <c r="A931" s="285"/>
      <c r="B931" s="75"/>
      <c r="C931" s="75"/>
      <c r="D931" s="321"/>
      <c r="E931" s="321"/>
      <c r="F931" s="322"/>
      <c r="G931" s="75"/>
      <c r="H931" s="321"/>
      <c r="I931" s="321"/>
      <c r="J931" s="323"/>
      <c r="K931" s="324"/>
      <c r="L931" s="285"/>
      <c r="M931" s="285"/>
      <c r="N931" s="285"/>
      <c r="O931" s="325"/>
      <c r="P931" s="285"/>
      <c r="Q931" s="325"/>
      <c r="R931" s="325"/>
      <c r="S931" s="285"/>
      <c r="T931" s="285"/>
      <c r="U931" s="285"/>
      <c r="V931" s="285"/>
      <c r="W931" s="285"/>
      <c r="X931" s="285"/>
      <c r="Y931" s="285"/>
      <c r="Z931" s="285"/>
    </row>
    <row r="932" ht="12.75" customHeight="1">
      <c r="A932" s="285"/>
      <c r="B932" s="75"/>
      <c r="C932" s="75"/>
      <c r="D932" s="321"/>
      <c r="E932" s="321"/>
      <c r="F932" s="322"/>
      <c r="G932" s="75"/>
      <c r="H932" s="321"/>
      <c r="I932" s="321"/>
      <c r="J932" s="323"/>
      <c r="K932" s="324"/>
      <c r="L932" s="285"/>
      <c r="M932" s="285"/>
      <c r="N932" s="285"/>
      <c r="O932" s="325"/>
      <c r="P932" s="285"/>
      <c r="Q932" s="325"/>
      <c r="R932" s="325"/>
      <c r="S932" s="285"/>
      <c r="T932" s="285"/>
      <c r="U932" s="285"/>
      <c r="V932" s="285"/>
      <c r="W932" s="285"/>
      <c r="X932" s="285"/>
      <c r="Y932" s="285"/>
      <c r="Z932" s="285"/>
    </row>
    <row r="933" ht="12.75" customHeight="1">
      <c r="A933" s="285"/>
      <c r="B933" s="75"/>
      <c r="C933" s="75"/>
      <c r="D933" s="321"/>
      <c r="E933" s="321"/>
      <c r="F933" s="322"/>
      <c r="G933" s="75"/>
      <c r="H933" s="321"/>
      <c r="I933" s="321"/>
      <c r="J933" s="323"/>
      <c r="K933" s="324"/>
      <c r="L933" s="285"/>
      <c r="M933" s="285"/>
      <c r="N933" s="285"/>
      <c r="O933" s="325"/>
      <c r="P933" s="285"/>
      <c r="Q933" s="325"/>
      <c r="R933" s="325"/>
      <c r="S933" s="285"/>
      <c r="T933" s="285"/>
      <c r="U933" s="285"/>
      <c r="V933" s="285"/>
      <c r="W933" s="285"/>
      <c r="X933" s="285"/>
      <c r="Y933" s="285"/>
      <c r="Z933" s="285"/>
    </row>
    <row r="934" ht="12.75" customHeight="1">
      <c r="A934" s="285"/>
      <c r="B934" s="75"/>
      <c r="C934" s="75"/>
      <c r="D934" s="321"/>
      <c r="E934" s="321"/>
      <c r="F934" s="322"/>
      <c r="G934" s="75"/>
      <c r="H934" s="321"/>
      <c r="I934" s="321"/>
      <c r="J934" s="323"/>
      <c r="K934" s="324"/>
      <c r="L934" s="285"/>
      <c r="M934" s="285"/>
      <c r="N934" s="285"/>
      <c r="O934" s="325"/>
      <c r="P934" s="285"/>
      <c r="Q934" s="325"/>
      <c r="R934" s="325"/>
      <c r="S934" s="285"/>
      <c r="T934" s="285"/>
      <c r="U934" s="285"/>
      <c r="V934" s="285"/>
      <c r="W934" s="285"/>
      <c r="X934" s="285"/>
      <c r="Y934" s="285"/>
      <c r="Z934" s="285"/>
    </row>
    <row r="935" ht="12.75" customHeight="1">
      <c r="A935" s="285"/>
      <c r="B935" s="75"/>
      <c r="C935" s="75"/>
      <c r="D935" s="321"/>
      <c r="E935" s="321"/>
      <c r="F935" s="322"/>
      <c r="G935" s="75"/>
      <c r="H935" s="321"/>
      <c r="I935" s="321"/>
      <c r="J935" s="323"/>
      <c r="K935" s="324"/>
      <c r="L935" s="285"/>
      <c r="M935" s="285"/>
      <c r="N935" s="285"/>
      <c r="O935" s="325"/>
      <c r="P935" s="285"/>
      <c r="Q935" s="325"/>
      <c r="R935" s="325"/>
      <c r="S935" s="285"/>
      <c r="T935" s="285"/>
      <c r="U935" s="285"/>
      <c r="V935" s="285"/>
      <c r="W935" s="285"/>
      <c r="X935" s="285"/>
      <c r="Y935" s="285"/>
      <c r="Z935" s="285"/>
    </row>
    <row r="936" ht="12.75" customHeight="1">
      <c r="A936" s="285"/>
      <c r="B936" s="75"/>
      <c r="C936" s="75"/>
      <c r="D936" s="321"/>
      <c r="E936" s="321"/>
      <c r="F936" s="322"/>
      <c r="G936" s="75"/>
      <c r="H936" s="321"/>
      <c r="I936" s="321"/>
      <c r="J936" s="323"/>
      <c r="K936" s="324"/>
      <c r="L936" s="285"/>
      <c r="M936" s="285"/>
      <c r="N936" s="285"/>
      <c r="O936" s="325"/>
      <c r="P936" s="285"/>
      <c r="Q936" s="325"/>
      <c r="R936" s="325"/>
      <c r="S936" s="285"/>
      <c r="T936" s="285"/>
      <c r="U936" s="285"/>
      <c r="V936" s="285"/>
      <c r="W936" s="285"/>
      <c r="X936" s="285"/>
      <c r="Y936" s="285"/>
      <c r="Z936" s="285"/>
    </row>
    <row r="937" ht="12.75" customHeight="1">
      <c r="A937" s="285"/>
      <c r="B937" s="75"/>
      <c r="C937" s="75"/>
      <c r="D937" s="321"/>
      <c r="E937" s="321"/>
      <c r="F937" s="322"/>
      <c r="G937" s="75"/>
      <c r="H937" s="321"/>
      <c r="I937" s="321"/>
      <c r="J937" s="323"/>
      <c r="K937" s="324"/>
      <c r="L937" s="285"/>
      <c r="M937" s="285"/>
      <c r="N937" s="285"/>
      <c r="O937" s="325"/>
      <c r="P937" s="285"/>
      <c r="Q937" s="325"/>
      <c r="R937" s="325"/>
      <c r="S937" s="285"/>
      <c r="T937" s="285"/>
      <c r="U937" s="285"/>
      <c r="V937" s="285"/>
      <c r="W937" s="285"/>
      <c r="X937" s="285"/>
      <c r="Y937" s="285"/>
      <c r="Z937" s="285"/>
    </row>
    <row r="938" ht="12.75" customHeight="1">
      <c r="A938" s="285"/>
      <c r="B938" s="75"/>
      <c r="C938" s="75"/>
      <c r="D938" s="321"/>
      <c r="E938" s="321"/>
      <c r="F938" s="322"/>
      <c r="G938" s="75"/>
      <c r="H938" s="321"/>
      <c r="I938" s="321"/>
      <c r="J938" s="323"/>
      <c r="K938" s="324"/>
      <c r="L938" s="285"/>
      <c r="M938" s="285"/>
      <c r="N938" s="285"/>
      <c r="O938" s="325"/>
      <c r="P938" s="285"/>
      <c r="Q938" s="325"/>
      <c r="R938" s="325"/>
      <c r="S938" s="285"/>
      <c r="T938" s="285"/>
      <c r="U938" s="285"/>
      <c r="V938" s="285"/>
      <c r="W938" s="285"/>
      <c r="X938" s="285"/>
      <c r="Y938" s="285"/>
      <c r="Z938" s="285"/>
    </row>
    <row r="939" ht="12.75" customHeight="1">
      <c r="A939" s="285"/>
      <c r="B939" s="75"/>
      <c r="C939" s="75"/>
      <c r="D939" s="321"/>
      <c r="E939" s="321"/>
      <c r="F939" s="322"/>
      <c r="G939" s="75"/>
      <c r="H939" s="321"/>
      <c r="I939" s="321"/>
      <c r="J939" s="323"/>
      <c r="K939" s="324"/>
      <c r="L939" s="285"/>
      <c r="M939" s="285"/>
      <c r="N939" s="285"/>
      <c r="O939" s="325"/>
      <c r="P939" s="285"/>
      <c r="Q939" s="325"/>
      <c r="R939" s="325"/>
      <c r="S939" s="285"/>
      <c r="T939" s="285"/>
      <c r="U939" s="285"/>
      <c r="V939" s="285"/>
      <c r="W939" s="285"/>
      <c r="X939" s="285"/>
      <c r="Y939" s="285"/>
      <c r="Z939" s="285"/>
    </row>
    <row r="940" ht="12.75" customHeight="1">
      <c r="A940" s="285"/>
      <c r="B940" s="75"/>
      <c r="C940" s="75"/>
      <c r="D940" s="321"/>
      <c r="E940" s="321"/>
      <c r="F940" s="322"/>
      <c r="G940" s="75"/>
      <c r="H940" s="321"/>
      <c r="I940" s="321"/>
      <c r="J940" s="323"/>
      <c r="K940" s="324"/>
      <c r="L940" s="285"/>
      <c r="M940" s="285"/>
      <c r="N940" s="285"/>
      <c r="O940" s="325"/>
      <c r="P940" s="285"/>
      <c r="Q940" s="325"/>
      <c r="R940" s="325"/>
      <c r="S940" s="285"/>
      <c r="T940" s="285"/>
      <c r="U940" s="285"/>
      <c r="V940" s="285"/>
      <c r="W940" s="285"/>
      <c r="X940" s="285"/>
      <c r="Y940" s="285"/>
      <c r="Z940" s="285"/>
    </row>
    <row r="941" ht="12.75" customHeight="1">
      <c r="A941" s="285"/>
      <c r="B941" s="75"/>
      <c r="C941" s="75"/>
      <c r="D941" s="321"/>
      <c r="E941" s="321"/>
      <c r="F941" s="322"/>
      <c r="G941" s="75"/>
      <c r="H941" s="321"/>
      <c r="I941" s="321"/>
      <c r="J941" s="323"/>
      <c r="K941" s="324"/>
      <c r="L941" s="285"/>
      <c r="M941" s="285"/>
      <c r="N941" s="285"/>
      <c r="O941" s="325"/>
      <c r="P941" s="285"/>
      <c r="Q941" s="325"/>
      <c r="R941" s="325"/>
      <c r="S941" s="285"/>
      <c r="T941" s="285"/>
      <c r="U941" s="285"/>
      <c r="V941" s="285"/>
      <c r="W941" s="285"/>
      <c r="X941" s="285"/>
      <c r="Y941" s="285"/>
      <c r="Z941" s="285"/>
    </row>
    <row r="942" ht="12.75" customHeight="1">
      <c r="A942" s="285"/>
      <c r="B942" s="75"/>
      <c r="C942" s="75"/>
      <c r="D942" s="321"/>
      <c r="E942" s="321"/>
      <c r="F942" s="322"/>
      <c r="G942" s="75"/>
      <c r="H942" s="321"/>
      <c r="I942" s="321"/>
      <c r="J942" s="323"/>
      <c r="K942" s="324"/>
      <c r="L942" s="285"/>
      <c r="M942" s="285"/>
      <c r="N942" s="285"/>
      <c r="O942" s="325"/>
      <c r="P942" s="285"/>
      <c r="Q942" s="325"/>
      <c r="R942" s="325"/>
      <c r="S942" s="285"/>
      <c r="T942" s="285"/>
      <c r="U942" s="285"/>
      <c r="V942" s="285"/>
      <c r="W942" s="285"/>
      <c r="X942" s="285"/>
      <c r="Y942" s="285"/>
      <c r="Z942" s="285"/>
    </row>
    <row r="943" ht="12.75" customHeight="1">
      <c r="A943" s="285"/>
      <c r="B943" s="75"/>
      <c r="C943" s="75"/>
      <c r="D943" s="321"/>
      <c r="E943" s="321"/>
      <c r="F943" s="322"/>
      <c r="G943" s="75"/>
      <c r="H943" s="321"/>
      <c r="I943" s="321"/>
      <c r="J943" s="323"/>
      <c r="K943" s="324"/>
      <c r="L943" s="285"/>
      <c r="M943" s="285"/>
      <c r="N943" s="285"/>
      <c r="O943" s="325"/>
      <c r="P943" s="285"/>
      <c r="Q943" s="325"/>
      <c r="R943" s="325"/>
      <c r="S943" s="285"/>
      <c r="T943" s="285"/>
      <c r="U943" s="285"/>
      <c r="V943" s="285"/>
      <c r="W943" s="285"/>
      <c r="X943" s="285"/>
      <c r="Y943" s="285"/>
      <c r="Z943" s="285"/>
    </row>
    <row r="944" ht="12.75" customHeight="1">
      <c r="A944" s="285"/>
      <c r="B944" s="75"/>
      <c r="C944" s="75"/>
      <c r="D944" s="321"/>
      <c r="E944" s="321"/>
      <c r="F944" s="322"/>
      <c r="G944" s="75"/>
      <c r="H944" s="321"/>
      <c r="I944" s="321"/>
      <c r="J944" s="323"/>
      <c r="K944" s="324"/>
      <c r="L944" s="285"/>
      <c r="M944" s="285"/>
      <c r="N944" s="285"/>
      <c r="O944" s="325"/>
      <c r="P944" s="285"/>
      <c r="Q944" s="325"/>
      <c r="R944" s="325"/>
      <c r="S944" s="285"/>
      <c r="T944" s="285"/>
      <c r="U944" s="285"/>
      <c r="V944" s="285"/>
      <c r="W944" s="285"/>
      <c r="X944" s="285"/>
      <c r="Y944" s="285"/>
      <c r="Z944" s="285"/>
    </row>
    <row r="945" ht="12.75" customHeight="1">
      <c r="A945" s="285"/>
      <c r="B945" s="75"/>
      <c r="C945" s="75"/>
      <c r="D945" s="321"/>
      <c r="E945" s="321"/>
      <c r="F945" s="322"/>
      <c r="G945" s="75"/>
      <c r="H945" s="321"/>
      <c r="I945" s="321"/>
      <c r="J945" s="323"/>
      <c r="K945" s="324"/>
      <c r="L945" s="285"/>
      <c r="M945" s="285"/>
      <c r="N945" s="285"/>
      <c r="O945" s="325"/>
      <c r="P945" s="285"/>
      <c r="Q945" s="325"/>
      <c r="R945" s="325"/>
      <c r="S945" s="285"/>
      <c r="T945" s="285"/>
      <c r="U945" s="285"/>
      <c r="V945" s="285"/>
      <c r="W945" s="285"/>
      <c r="X945" s="285"/>
      <c r="Y945" s="285"/>
      <c r="Z945" s="285"/>
    </row>
    <row r="946" ht="12.75" customHeight="1">
      <c r="A946" s="285"/>
      <c r="B946" s="75"/>
      <c r="C946" s="75"/>
      <c r="D946" s="321"/>
      <c r="E946" s="321"/>
      <c r="F946" s="322"/>
      <c r="G946" s="75"/>
      <c r="H946" s="321"/>
      <c r="I946" s="321"/>
      <c r="J946" s="323"/>
      <c r="K946" s="324"/>
      <c r="L946" s="285"/>
      <c r="M946" s="285"/>
      <c r="N946" s="285"/>
      <c r="O946" s="325"/>
      <c r="P946" s="285"/>
      <c r="Q946" s="325"/>
      <c r="R946" s="325"/>
      <c r="S946" s="285"/>
      <c r="T946" s="285"/>
      <c r="U946" s="285"/>
      <c r="V946" s="285"/>
      <c r="W946" s="285"/>
      <c r="X946" s="285"/>
      <c r="Y946" s="285"/>
      <c r="Z946" s="285"/>
    </row>
    <row r="947" ht="12.75" customHeight="1">
      <c r="A947" s="285"/>
      <c r="B947" s="75"/>
      <c r="C947" s="75"/>
      <c r="D947" s="321"/>
      <c r="E947" s="321"/>
      <c r="F947" s="322"/>
      <c r="G947" s="75"/>
      <c r="H947" s="321"/>
      <c r="I947" s="321"/>
      <c r="J947" s="323"/>
      <c r="K947" s="324"/>
      <c r="L947" s="285"/>
      <c r="M947" s="285"/>
      <c r="N947" s="285"/>
      <c r="O947" s="325"/>
      <c r="P947" s="285"/>
      <c r="Q947" s="325"/>
      <c r="R947" s="325"/>
      <c r="S947" s="285"/>
      <c r="T947" s="285"/>
      <c r="U947" s="285"/>
      <c r="V947" s="285"/>
      <c r="W947" s="285"/>
      <c r="X947" s="285"/>
      <c r="Y947" s="285"/>
      <c r="Z947" s="285"/>
    </row>
    <row r="948" ht="12.75" customHeight="1">
      <c r="A948" s="285"/>
      <c r="B948" s="75"/>
      <c r="C948" s="75"/>
      <c r="D948" s="321"/>
      <c r="E948" s="321"/>
      <c r="F948" s="322"/>
      <c r="G948" s="75"/>
      <c r="H948" s="321"/>
      <c r="I948" s="321"/>
      <c r="J948" s="323"/>
      <c r="K948" s="324"/>
      <c r="L948" s="285"/>
      <c r="M948" s="285"/>
      <c r="N948" s="285"/>
      <c r="O948" s="325"/>
      <c r="P948" s="285"/>
      <c r="Q948" s="325"/>
      <c r="R948" s="325"/>
      <c r="S948" s="285"/>
      <c r="T948" s="285"/>
      <c r="U948" s="285"/>
      <c r="V948" s="285"/>
      <c r="W948" s="285"/>
      <c r="X948" s="285"/>
      <c r="Y948" s="285"/>
      <c r="Z948" s="285"/>
    </row>
    <row r="949" ht="12.75" customHeight="1">
      <c r="A949" s="285"/>
      <c r="B949" s="75"/>
      <c r="C949" s="75"/>
      <c r="D949" s="321"/>
      <c r="E949" s="321"/>
      <c r="F949" s="322"/>
      <c r="G949" s="75"/>
      <c r="H949" s="321"/>
      <c r="I949" s="321"/>
      <c r="J949" s="323"/>
      <c r="K949" s="324"/>
      <c r="L949" s="285"/>
      <c r="M949" s="285"/>
      <c r="N949" s="285"/>
      <c r="O949" s="325"/>
      <c r="P949" s="285"/>
      <c r="Q949" s="325"/>
      <c r="R949" s="325"/>
      <c r="S949" s="285"/>
      <c r="T949" s="285"/>
      <c r="U949" s="285"/>
      <c r="V949" s="285"/>
      <c r="W949" s="285"/>
      <c r="X949" s="285"/>
      <c r="Y949" s="285"/>
      <c r="Z949" s="285"/>
    </row>
    <row r="950" ht="12.75" customHeight="1">
      <c r="A950" s="285"/>
      <c r="B950" s="75"/>
      <c r="C950" s="75"/>
      <c r="D950" s="321"/>
      <c r="E950" s="321"/>
      <c r="F950" s="322"/>
      <c r="G950" s="75"/>
      <c r="H950" s="321"/>
      <c r="I950" s="321"/>
      <c r="J950" s="323"/>
      <c r="K950" s="324"/>
      <c r="L950" s="285"/>
      <c r="M950" s="285"/>
      <c r="N950" s="285"/>
      <c r="O950" s="325"/>
      <c r="P950" s="285"/>
      <c r="Q950" s="325"/>
      <c r="R950" s="325"/>
      <c r="S950" s="285"/>
      <c r="T950" s="285"/>
      <c r="U950" s="285"/>
      <c r="V950" s="285"/>
      <c r="W950" s="285"/>
      <c r="X950" s="285"/>
      <c r="Y950" s="285"/>
      <c r="Z950" s="285"/>
    </row>
    <row r="951" ht="12.75" customHeight="1">
      <c r="A951" s="285"/>
      <c r="B951" s="75"/>
      <c r="C951" s="75"/>
      <c r="D951" s="321"/>
      <c r="E951" s="321"/>
      <c r="F951" s="322"/>
      <c r="G951" s="75"/>
      <c r="H951" s="321"/>
      <c r="I951" s="321"/>
      <c r="J951" s="323"/>
      <c r="K951" s="324"/>
      <c r="L951" s="285"/>
      <c r="M951" s="285"/>
      <c r="N951" s="285"/>
      <c r="O951" s="325"/>
      <c r="P951" s="285"/>
      <c r="Q951" s="325"/>
      <c r="R951" s="325"/>
      <c r="S951" s="285"/>
      <c r="T951" s="285"/>
      <c r="U951" s="285"/>
      <c r="V951" s="285"/>
      <c r="W951" s="285"/>
      <c r="X951" s="285"/>
      <c r="Y951" s="285"/>
      <c r="Z951" s="285"/>
    </row>
    <row r="952" ht="12.75" customHeight="1">
      <c r="A952" s="285"/>
      <c r="B952" s="75"/>
      <c r="C952" s="75"/>
      <c r="D952" s="321"/>
      <c r="E952" s="321"/>
      <c r="F952" s="322"/>
      <c r="G952" s="75"/>
      <c r="H952" s="321"/>
      <c r="I952" s="321"/>
      <c r="J952" s="323"/>
      <c r="K952" s="324"/>
      <c r="L952" s="285"/>
      <c r="M952" s="285"/>
      <c r="N952" s="285"/>
      <c r="O952" s="325"/>
      <c r="P952" s="285"/>
      <c r="Q952" s="325"/>
      <c r="R952" s="325"/>
      <c r="S952" s="285"/>
      <c r="T952" s="285"/>
      <c r="U952" s="285"/>
      <c r="V952" s="285"/>
      <c r="W952" s="285"/>
      <c r="X952" s="285"/>
      <c r="Y952" s="285"/>
      <c r="Z952" s="285"/>
    </row>
    <row r="953" ht="12.75" customHeight="1">
      <c r="A953" s="285"/>
      <c r="B953" s="75"/>
      <c r="C953" s="75"/>
      <c r="D953" s="321"/>
      <c r="E953" s="321"/>
      <c r="F953" s="322"/>
      <c r="G953" s="75"/>
      <c r="H953" s="321"/>
      <c r="I953" s="321"/>
      <c r="J953" s="323"/>
      <c r="K953" s="324"/>
      <c r="L953" s="285"/>
      <c r="M953" s="285"/>
      <c r="N953" s="285"/>
      <c r="O953" s="325"/>
      <c r="P953" s="285"/>
      <c r="Q953" s="325"/>
      <c r="R953" s="325"/>
      <c r="S953" s="285"/>
      <c r="T953" s="285"/>
      <c r="U953" s="285"/>
      <c r="V953" s="285"/>
      <c r="W953" s="285"/>
      <c r="X953" s="285"/>
      <c r="Y953" s="285"/>
      <c r="Z953" s="285"/>
    </row>
    <row r="954" ht="12.75" customHeight="1">
      <c r="A954" s="285"/>
      <c r="B954" s="75"/>
      <c r="C954" s="75"/>
      <c r="D954" s="321"/>
      <c r="E954" s="321"/>
      <c r="F954" s="322"/>
      <c r="G954" s="75"/>
      <c r="H954" s="321"/>
      <c r="I954" s="321"/>
      <c r="J954" s="323"/>
      <c r="K954" s="324"/>
      <c r="L954" s="285"/>
      <c r="M954" s="285"/>
      <c r="N954" s="285"/>
      <c r="O954" s="325"/>
      <c r="P954" s="285"/>
      <c r="Q954" s="325"/>
      <c r="R954" s="325"/>
      <c r="S954" s="285"/>
      <c r="T954" s="285"/>
      <c r="U954" s="285"/>
      <c r="V954" s="285"/>
      <c r="W954" s="285"/>
      <c r="X954" s="285"/>
      <c r="Y954" s="285"/>
      <c r="Z954" s="285"/>
    </row>
    <row r="955" ht="12.75" customHeight="1">
      <c r="A955" s="285"/>
      <c r="B955" s="75"/>
      <c r="C955" s="75"/>
      <c r="D955" s="321"/>
      <c r="E955" s="321"/>
      <c r="F955" s="322"/>
      <c r="G955" s="75"/>
      <c r="H955" s="321"/>
      <c r="I955" s="321"/>
      <c r="J955" s="323"/>
      <c r="K955" s="324"/>
      <c r="L955" s="285"/>
      <c r="M955" s="285"/>
      <c r="N955" s="285"/>
      <c r="O955" s="325"/>
      <c r="P955" s="285"/>
      <c r="Q955" s="325"/>
      <c r="R955" s="325"/>
      <c r="S955" s="285"/>
      <c r="T955" s="285"/>
      <c r="U955" s="285"/>
      <c r="V955" s="285"/>
      <c r="W955" s="285"/>
      <c r="X955" s="285"/>
      <c r="Y955" s="285"/>
      <c r="Z955" s="285"/>
    </row>
    <row r="956" ht="12.75" customHeight="1">
      <c r="A956" s="285"/>
      <c r="B956" s="75"/>
      <c r="C956" s="75"/>
      <c r="D956" s="321"/>
      <c r="E956" s="321"/>
      <c r="F956" s="322"/>
      <c r="G956" s="75"/>
      <c r="H956" s="321"/>
      <c r="I956" s="321"/>
      <c r="J956" s="323"/>
      <c r="K956" s="324"/>
      <c r="L956" s="285"/>
      <c r="M956" s="285"/>
      <c r="N956" s="285"/>
      <c r="O956" s="325"/>
      <c r="P956" s="285"/>
      <c r="Q956" s="325"/>
      <c r="R956" s="325"/>
      <c r="S956" s="285"/>
      <c r="T956" s="285"/>
      <c r="U956" s="285"/>
      <c r="V956" s="285"/>
      <c r="W956" s="285"/>
      <c r="X956" s="285"/>
      <c r="Y956" s="285"/>
      <c r="Z956" s="285"/>
    </row>
    <row r="957" ht="12.75" customHeight="1">
      <c r="A957" s="285"/>
      <c r="B957" s="75"/>
      <c r="C957" s="75"/>
      <c r="D957" s="321"/>
      <c r="E957" s="321"/>
      <c r="F957" s="322"/>
      <c r="G957" s="75"/>
      <c r="H957" s="321"/>
      <c r="I957" s="321"/>
      <c r="J957" s="323"/>
      <c r="K957" s="324"/>
      <c r="L957" s="285"/>
      <c r="M957" s="285"/>
      <c r="N957" s="285"/>
      <c r="O957" s="325"/>
      <c r="P957" s="285"/>
      <c r="Q957" s="325"/>
      <c r="R957" s="325"/>
      <c r="S957" s="285"/>
      <c r="T957" s="285"/>
      <c r="U957" s="285"/>
      <c r="V957" s="285"/>
      <c r="W957" s="285"/>
      <c r="X957" s="285"/>
      <c r="Y957" s="285"/>
      <c r="Z957" s="285"/>
    </row>
    <row r="958" ht="12.75" customHeight="1">
      <c r="A958" s="285"/>
      <c r="B958" s="75"/>
      <c r="C958" s="75"/>
      <c r="D958" s="321"/>
      <c r="E958" s="321"/>
      <c r="F958" s="322"/>
      <c r="G958" s="75"/>
      <c r="H958" s="321"/>
      <c r="I958" s="321"/>
      <c r="J958" s="323"/>
      <c r="K958" s="324"/>
      <c r="L958" s="285"/>
      <c r="M958" s="285"/>
      <c r="N958" s="285"/>
      <c r="O958" s="325"/>
      <c r="P958" s="285"/>
      <c r="Q958" s="325"/>
      <c r="R958" s="325"/>
      <c r="S958" s="285"/>
      <c r="T958" s="285"/>
      <c r="U958" s="285"/>
      <c r="V958" s="285"/>
      <c r="W958" s="285"/>
      <c r="X958" s="285"/>
      <c r="Y958" s="285"/>
      <c r="Z958" s="285"/>
    </row>
    <row r="959" ht="12.75" customHeight="1">
      <c r="A959" s="285"/>
      <c r="B959" s="75"/>
      <c r="C959" s="75"/>
      <c r="D959" s="321"/>
      <c r="E959" s="321"/>
      <c r="F959" s="322"/>
      <c r="G959" s="75"/>
      <c r="H959" s="321"/>
      <c r="I959" s="321"/>
      <c r="J959" s="323"/>
      <c r="K959" s="324"/>
      <c r="L959" s="285"/>
      <c r="M959" s="285"/>
      <c r="N959" s="285"/>
      <c r="O959" s="325"/>
      <c r="P959" s="285"/>
      <c r="Q959" s="325"/>
      <c r="R959" s="325"/>
      <c r="S959" s="285"/>
      <c r="T959" s="285"/>
      <c r="U959" s="285"/>
      <c r="V959" s="285"/>
      <c r="W959" s="285"/>
      <c r="X959" s="285"/>
      <c r="Y959" s="285"/>
      <c r="Z959" s="285"/>
    </row>
    <row r="960" ht="12.75" customHeight="1">
      <c r="A960" s="285"/>
      <c r="B960" s="75"/>
      <c r="C960" s="75"/>
      <c r="D960" s="321"/>
      <c r="E960" s="321"/>
      <c r="F960" s="322"/>
      <c r="G960" s="75"/>
      <c r="H960" s="321"/>
      <c r="I960" s="321"/>
      <c r="J960" s="323"/>
      <c r="K960" s="324"/>
      <c r="L960" s="285"/>
      <c r="M960" s="285"/>
      <c r="N960" s="285"/>
      <c r="O960" s="325"/>
      <c r="P960" s="285"/>
      <c r="Q960" s="325"/>
      <c r="R960" s="325"/>
      <c r="S960" s="285"/>
      <c r="T960" s="285"/>
      <c r="U960" s="285"/>
      <c r="V960" s="285"/>
      <c r="W960" s="285"/>
      <c r="X960" s="285"/>
      <c r="Y960" s="285"/>
      <c r="Z960" s="285"/>
    </row>
    <row r="961" ht="12.75" customHeight="1">
      <c r="A961" s="285"/>
      <c r="B961" s="75"/>
      <c r="C961" s="75"/>
      <c r="D961" s="321"/>
      <c r="E961" s="321"/>
      <c r="F961" s="322"/>
      <c r="G961" s="75"/>
      <c r="H961" s="321"/>
      <c r="I961" s="321"/>
      <c r="J961" s="323"/>
      <c r="K961" s="324"/>
      <c r="L961" s="285"/>
      <c r="M961" s="285"/>
      <c r="N961" s="285"/>
      <c r="O961" s="325"/>
      <c r="P961" s="285"/>
      <c r="Q961" s="325"/>
      <c r="R961" s="325"/>
      <c r="S961" s="285"/>
      <c r="T961" s="285"/>
      <c r="U961" s="285"/>
      <c r="V961" s="285"/>
      <c r="W961" s="285"/>
      <c r="X961" s="285"/>
      <c r="Y961" s="285"/>
      <c r="Z961" s="285"/>
    </row>
    <row r="962" ht="12.75" customHeight="1">
      <c r="A962" s="285"/>
      <c r="B962" s="75"/>
      <c r="C962" s="75"/>
      <c r="D962" s="321"/>
      <c r="E962" s="321"/>
      <c r="F962" s="322"/>
      <c r="G962" s="75"/>
      <c r="H962" s="321"/>
      <c r="I962" s="321"/>
      <c r="J962" s="323"/>
      <c r="K962" s="324"/>
      <c r="L962" s="285"/>
      <c r="M962" s="285"/>
      <c r="N962" s="285"/>
      <c r="O962" s="325"/>
      <c r="P962" s="285"/>
      <c r="Q962" s="325"/>
      <c r="R962" s="325"/>
      <c r="S962" s="285"/>
      <c r="T962" s="285"/>
      <c r="U962" s="285"/>
      <c r="V962" s="285"/>
      <c r="W962" s="285"/>
      <c r="X962" s="285"/>
      <c r="Y962" s="285"/>
      <c r="Z962" s="285"/>
    </row>
    <row r="963" ht="12.75" customHeight="1">
      <c r="A963" s="285"/>
      <c r="B963" s="75"/>
      <c r="C963" s="75"/>
      <c r="D963" s="321"/>
      <c r="E963" s="321"/>
      <c r="F963" s="322"/>
      <c r="G963" s="75"/>
      <c r="H963" s="321"/>
      <c r="I963" s="321"/>
      <c r="J963" s="323"/>
      <c r="K963" s="324"/>
      <c r="L963" s="285"/>
      <c r="M963" s="285"/>
      <c r="N963" s="285"/>
      <c r="O963" s="325"/>
      <c r="P963" s="285"/>
      <c r="Q963" s="325"/>
      <c r="R963" s="325"/>
      <c r="S963" s="285"/>
      <c r="T963" s="285"/>
      <c r="U963" s="285"/>
      <c r="V963" s="285"/>
      <c r="W963" s="285"/>
      <c r="X963" s="285"/>
      <c r="Y963" s="285"/>
      <c r="Z963" s="285"/>
    </row>
    <row r="964" ht="12.75" customHeight="1">
      <c r="A964" s="285"/>
      <c r="B964" s="75"/>
      <c r="C964" s="75"/>
      <c r="D964" s="321"/>
      <c r="E964" s="321"/>
      <c r="F964" s="322"/>
      <c r="G964" s="75"/>
      <c r="H964" s="321"/>
      <c r="I964" s="321"/>
      <c r="J964" s="323"/>
      <c r="K964" s="324"/>
      <c r="L964" s="285"/>
      <c r="M964" s="285"/>
      <c r="N964" s="285"/>
      <c r="O964" s="325"/>
      <c r="P964" s="285"/>
      <c r="Q964" s="325"/>
      <c r="R964" s="325"/>
      <c r="S964" s="285"/>
      <c r="T964" s="285"/>
      <c r="U964" s="285"/>
      <c r="V964" s="285"/>
      <c r="W964" s="285"/>
      <c r="X964" s="285"/>
      <c r="Y964" s="285"/>
      <c r="Z964" s="285"/>
    </row>
    <row r="965" ht="12.75" customHeight="1">
      <c r="A965" s="285"/>
      <c r="B965" s="75"/>
      <c r="C965" s="75"/>
      <c r="D965" s="321"/>
      <c r="E965" s="321"/>
      <c r="F965" s="322"/>
      <c r="G965" s="75"/>
      <c r="H965" s="321"/>
      <c r="I965" s="321"/>
      <c r="J965" s="323"/>
      <c r="K965" s="324"/>
      <c r="L965" s="285"/>
      <c r="M965" s="285"/>
      <c r="N965" s="285"/>
      <c r="O965" s="325"/>
      <c r="P965" s="285"/>
      <c r="Q965" s="325"/>
      <c r="R965" s="325"/>
      <c r="S965" s="285"/>
      <c r="T965" s="285"/>
      <c r="U965" s="285"/>
      <c r="V965" s="285"/>
      <c r="W965" s="285"/>
      <c r="X965" s="285"/>
      <c r="Y965" s="285"/>
      <c r="Z965" s="285"/>
    </row>
    <row r="966" ht="12.75" customHeight="1">
      <c r="A966" s="285"/>
      <c r="B966" s="75"/>
      <c r="C966" s="75"/>
      <c r="D966" s="321"/>
      <c r="E966" s="321"/>
      <c r="F966" s="322"/>
      <c r="G966" s="75"/>
      <c r="H966" s="321"/>
      <c r="I966" s="321"/>
      <c r="J966" s="323"/>
      <c r="K966" s="324"/>
      <c r="L966" s="285"/>
      <c r="M966" s="285"/>
      <c r="N966" s="285"/>
      <c r="O966" s="325"/>
      <c r="P966" s="285"/>
      <c r="Q966" s="325"/>
      <c r="R966" s="325"/>
      <c r="S966" s="285"/>
      <c r="T966" s="285"/>
      <c r="U966" s="285"/>
      <c r="V966" s="285"/>
      <c r="W966" s="285"/>
      <c r="X966" s="285"/>
      <c r="Y966" s="285"/>
      <c r="Z966" s="285"/>
    </row>
    <row r="967" ht="12.75" customHeight="1">
      <c r="A967" s="285"/>
      <c r="B967" s="75"/>
      <c r="C967" s="75"/>
      <c r="D967" s="321"/>
      <c r="E967" s="321"/>
      <c r="F967" s="322"/>
      <c r="G967" s="75"/>
      <c r="H967" s="321"/>
      <c r="I967" s="321"/>
      <c r="J967" s="323"/>
      <c r="K967" s="324"/>
      <c r="L967" s="285"/>
      <c r="M967" s="285"/>
      <c r="N967" s="285"/>
      <c r="O967" s="325"/>
      <c r="P967" s="285"/>
      <c r="Q967" s="325"/>
      <c r="R967" s="325"/>
      <c r="S967" s="285"/>
      <c r="T967" s="285"/>
      <c r="U967" s="285"/>
      <c r="V967" s="285"/>
      <c r="W967" s="285"/>
      <c r="X967" s="285"/>
      <c r="Y967" s="285"/>
      <c r="Z967" s="285"/>
    </row>
    <row r="968" ht="12.75" customHeight="1">
      <c r="A968" s="285"/>
      <c r="B968" s="75"/>
      <c r="C968" s="75"/>
      <c r="D968" s="321"/>
      <c r="E968" s="321"/>
      <c r="F968" s="322"/>
      <c r="G968" s="75"/>
      <c r="H968" s="321"/>
      <c r="I968" s="321"/>
      <c r="J968" s="323"/>
      <c r="K968" s="324"/>
      <c r="L968" s="285"/>
      <c r="M968" s="285"/>
      <c r="N968" s="285"/>
      <c r="O968" s="325"/>
      <c r="P968" s="285"/>
      <c r="Q968" s="325"/>
      <c r="R968" s="325"/>
      <c r="S968" s="285"/>
      <c r="T968" s="285"/>
      <c r="U968" s="285"/>
      <c r="V968" s="285"/>
      <c r="W968" s="285"/>
      <c r="X968" s="285"/>
      <c r="Y968" s="285"/>
      <c r="Z968" s="285"/>
    </row>
    <row r="969" ht="12.75" customHeight="1">
      <c r="A969" s="285"/>
      <c r="B969" s="75"/>
      <c r="C969" s="75"/>
      <c r="D969" s="321"/>
      <c r="E969" s="321"/>
      <c r="F969" s="322"/>
      <c r="G969" s="75"/>
      <c r="H969" s="321"/>
      <c r="I969" s="321"/>
      <c r="J969" s="323"/>
      <c r="K969" s="324"/>
      <c r="L969" s="285"/>
      <c r="M969" s="285"/>
      <c r="N969" s="285"/>
      <c r="O969" s="325"/>
      <c r="P969" s="285"/>
      <c r="Q969" s="325"/>
      <c r="R969" s="325"/>
      <c r="S969" s="285"/>
      <c r="T969" s="285"/>
      <c r="U969" s="285"/>
      <c r="V969" s="285"/>
      <c r="W969" s="285"/>
      <c r="X969" s="285"/>
      <c r="Y969" s="285"/>
      <c r="Z969" s="285"/>
    </row>
    <row r="970" ht="12.75" customHeight="1">
      <c r="A970" s="285"/>
      <c r="B970" s="75"/>
      <c r="C970" s="75"/>
      <c r="D970" s="321"/>
      <c r="E970" s="321"/>
      <c r="F970" s="322"/>
      <c r="G970" s="75"/>
      <c r="H970" s="321"/>
      <c r="I970" s="321"/>
      <c r="J970" s="323"/>
      <c r="K970" s="324"/>
      <c r="L970" s="285"/>
      <c r="M970" s="285"/>
      <c r="N970" s="285"/>
      <c r="O970" s="325"/>
      <c r="P970" s="285"/>
      <c r="Q970" s="325"/>
      <c r="R970" s="325"/>
      <c r="S970" s="285"/>
      <c r="T970" s="285"/>
      <c r="U970" s="285"/>
      <c r="V970" s="285"/>
      <c r="W970" s="285"/>
      <c r="X970" s="285"/>
      <c r="Y970" s="285"/>
      <c r="Z970" s="285"/>
    </row>
    <row r="971" ht="12.75" customHeight="1">
      <c r="A971" s="285"/>
      <c r="B971" s="75"/>
      <c r="C971" s="75"/>
      <c r="D971" s="321"/>
      <c r="E971" s="321"/>
      <c r="F971" s="322"/>
      <c r="G971" s="75"/>
      <c r="H971" s="321"/>
      <c r="I971" s="321"/>
      <c r="J971" s="323"/>
      <c r="K971" s="324"/>
      <c r="L971" s="285"/>
      <c r="M971" s="285"/>
      <c r="N971" s="285"/>
      <c r="O971" s="325"/>
      <c r="P971" s="285"/>
      <c r="Q971" s="325"/>
      <c r="R971" s="325"/>
      <c r="S971" s="285"/>
      <c r="T971" s="285"/>
      <c r="U971" s="285"/>
      <c r="V971" s="285"/>
      <c r="W971" s="285"/>
      <c r="X971" s="285"/>
      <c r="Y971" s="285"/>
      <c r="Z971" s="285"/>
    </row>
    <row r="972" ht="12.75" customHeight="1">
      <c r="A972" s="285"/>
      <c r="B972" s="75"/>
      <c r="C972" s="75"/>
      <c r="D972" s="321"/>
      <c r="E972" s="321"/>
      <c r="F972" s="322"/>
      <c r="G972" s="75"/>
      <c r="H972" s="321"/>
      <c r="I972" s="321"/>
      <c r="J972" s="323"/>
      <c r="K972" s="324"/>
      <c r="L972" s="285"/>
      <c r="M972" s="285"/>
      <c r="N972" s="285"/>
      <c r="O972" s="325"/>
      <c r="P972" s="285"/>
      <c r="Q972" s="325"/>
      <c r="R972" s="325"/>
      <c r="S972" s="285"/>
      <c r="T972" s="285"/>
      <c r="U972" s="285"/>
      <c r="V972" s="285"/>
      <c r="W972" s="285"/>
      <c r="X972" s="285"/>
      <c r="Y972" s="285"/>
      <c r="Z972" s="285"/>
    </row>
    <row r="973" ht="12.75" customHeight="1">
      <c r="A973" s="285"/>
      <c r="B973" s="75"/>
      <c r="C973" s="75"/>
      <c r="D973" s="321"/>
      <c r="E973" s="321"/>
      <c r="F973" s="322"/>
      <c r="G973" s="75"/>
      <c r="H973" s="321"/>
      <c r="I973" s="321"/>
      <c r="J973" s="323"/>
      <c r="K973" s="324"/>
      <c r="L973" s="285"/>
      <c r="M973" s="285"/>
      <c r="N973" s="285"/>
      <c r="O973" s="325"/>
      <c r="P973" s="285"/>
      <c r="Q973" s="325"/>
      <c r="R973" s="325"/>
      <c r="S973" s="285"/>
      <c r="T973" s="285"/>
      <c r="U973" s="285"/>
      <c r="V973" s="285"/>
      <c r="W973" s="285"/>
      <c r="X973" s="285"/>
      <c r="Y973" s="285"/>
      <c r="Z973" s="285"/>
    </row>
    <row r="974" ht="12.75" customHeight="1">
      <c r="A974" s="285"/>
      <c r="B974" s="75"/>
      <c r="C974" s="75"/>
      <c r="D974" s="321"/>
      <c r="E974" s="321"/>
      <c r="F974" s="322"/>
      <c r="G974" s="75"/>
      <c r="H974" s="321"/>
      <c r="I974" s="321"/>
      <c r="J974" s="323"/>
      <c r="K974" s="324"/>
      <c r="L974" s="285"/>
      <c r="M974" s="285"/>
      <c r="N974" s="285"/>
      <c r="O974" s="325"/>
      <c r="P974" s="285"/>
      <c r="Q974" s="325"/>
      <c r="R974" s="325"/>
      <c r="S974" s="285"/>
      <c r="T974" s="285"/>
      <c r="U974" s="285"/>
      <c r="V974" s="285"/>
      <c r="W974" s="285"/>
      <c r="X974" s="285"/>
      <c r="Y974" s="285"/>
      <c r="Z974" s="285"/>
    </row>
    <row r="975" ht="12.75" customHeight="1">
      <c r="A975" s="285"/>
      <c r="B975" s="75"/>
      <c r="C975" s="75"/>
      <c r="D975" s="321"/>
      <c r="E975" s="321"/>
      <c r="F975" s="322"/>
      <c r="G975" s="75"/>
      <c r="H975" s="321"/>
      <c r="I975" s="321"/>
      <c r="J975" s="323"/>
      <c r="K975" s="324"/>
      <c r="L975" s="285"/>
      <c r="M975" s="285"/>
      <c r="N975" s="285"/>
      <c r="O975" s="325"/>
      <c r="P975" s="285"/>
      <c r="Q975" s="325"/>
      <c r="R975" s="325"/>
      <c r="S975" s="285"/>
      <c r="T975" s="285"/>
      <c r="U975" s="285"/>
      <c r="V975" s="285"/>
      <c r="W975" s="285"/>
      <c r="X975" s="285"/>
      <c r="Y975" s="285"/>
      <c r="Z975" s="285"/>
    </row>
    <row r="976" ht="12.75" customHeight="1">
      <c r="A976" s="285"/>
      <c r="B976" s="75"/>
      <c r="C976" s="75"/>
      <c r="D976" s="321"/>
      <c r="E976" s="321"/>
      <c r="F976" s="322"/>
      <c r="G976" s="75"/>
      <c r="H976" s="321"/>
      <c r="I976" s="321"/>
      <c r="J976" s="323"/>
      <c r="K976" s="324"/>
      <c r="L976" s="285"/>
      <c r="M976" s="285"/>
      <c r="N976" s="285"/>
      <c r="O976" s="325"/>
      <c r="P976" s="285"/>
      <c r="Q976" s="325"/>
      <c r="R976" s="325"/>
      <c r="S976" s="285"/>
      <c r="T976" s="285"/>
      <c r="U976" s="285"/>
      <c r="V976" s="285"/>
      <c r="W976" s="285"/>
      <c r="X976" s="285"/>
      <c r="Y976" s="285"/>
      <c r="Z976" s="285"/>
    </row>
    <row r="977" ht="12.75" customHeight="1">
      <c r="A977" s="285"/>
      <c r="B977" s="75"/>
      <c r="C977" s="75"/>
      <c r="D977" s="321"/>
      <c r="E977" s="321"/>
      <c r="F977" s="322"/>
      <c r="G977" s="75"/>
      <c r="H977" s="321"/>
      <c r="I977" s="321"/>
      <c r="J977" s="323"/>
      <c r="K977" s="324"/>
      <c r="L977" s="285"/>
      <c r="M977" s="285"/>
      <c r="N977" s="285"/>
      <c r="O977" s="325"/>
      <c r="P977" s="285"/>
      <c r="Q977" s="325"/>
      <c r="R977" s="325"/>
      <c r="S977" s="285"/>
      <c r="T977" s="285"/>
      <c r="U977" s="285"/>
      <c r="V977" s="285"/>
      <c r="W977" s="285"/>
      <c r="X977" s="285"/>
      <c r="Y977" s="285"/>
      <c r="Z977" s="285"/>
    </row>
    <row r="978" ht="12.75" customHeight="1">
      <c r="A978" s="285"/>
      <c r="B978" s="75"/>
      <c r="C978" s="75"/>
      <c r="D978" s="321"/>
      <c r="E978" s="321"/>
      <c r="F978" s="322"/>
      <c r="G978" s="75"/>
      <c r="H978" s="321"/>
      <c r="I978" s="321"/>
      <c r="J978" s="323"/>
      <c r="K978" s="324"/>
      <c r="L978" s="285"/>
      <c r="M978" s="285"/>
      <c r="N978" s="285"/>
      <c r="O978" s="325"/>
      <c r="P978" s="285"/>
      <c r="Q978" s="325"/>
      <c r="R978" s="325"/>
      <c r="S978" s="285"/>
      <c r="T978" s="285"/>
      <c r="U978" s="285"/>
      <c r="V978" s="285"/>
      <c r="W978" s="285"/>
      <c r="X978" s="285"/>
      <c r="Y978" s="285"/>
      <c r="Z978" s="285"/>
    </row>
    <row r="979" ht="12.75" customHeight="1">
      <c r="A979" s="285"/>
      <c r="B979" s="75"/>
      <c r="C979" s="75"/>
      <c r="D979" s="321"/>
      <c r="E979" s="321"/>
      <c r="F979" s="322"/>
      <c r="G979" s="75"/>
      <c r="H979" s="321"/>
      <c r="I979" s="321"/>
      <c r="J979" s="323"/>
      <c r="K979" s="324"/>
      <c r="L979" s="285"/>
      <c r="M979" s="285"/>
      <c r="N979" s="285"/>
      <c r="O979" s="325"/>
      <c r="P979" s="285"/>
      <c r="Q979" s="325"/>
      <c r="R979" s="325"/>
      <c r="S979" s="285"/>
      <c r="T979" s="285"/>
      <c r="U979" s="285"/>
      <c r="V979" s="285"/>
      <c r="W979" s="285"/>
      <c r="X979" s="285"/>
      <c r="Y979" s="285"/>
      <c r="Z979" s="285"/>
    </row>
    <row r="980" ht="12.75" customHeight="1">
      <c r="A980" s="285"/>
      <c r="B980" s="75"/>
      <c r="C980" s="75"/>
      <c r="D980" s="321"/>
      <c r="E980" s="321"/>
      <c r="F980" s="322"/>
      <c r="G980" s="75"/>
      <c r="H980" s="321"/>
      <c r="I980" s="321"/>
      <c r="J980" s="323"/>
      <c r="K980" s="324"/>
      <c r="L980" s="285"/>
      <c r="M980" s="285"/>
      <c r="N980" s="285"/>
      <c r="O980" s="325"/>
      <c r="P980" s="285"/>
      <c r="Q980" s="325"/>
      <c r="R980" s="325"/>
      <c r="S980" s="285"/>
      <c r="T980" s="285"/>
      <c r="U980" s="285"/>
      <c r="V980" s="285"/>
      <c r="W980" s="285"/>
      <c r="X980" s="285"/>
      <c r="Y980" s="285"/>
      <c r="Z980" s="285"/>
    </row>
    <row r="981" ht="12.75" customHeight="1">
      <c r="A981" s="285"/>
      <c r="B981" s="75"/>
      <c r="C981" s="75"/>
      <c r="D981" s="321"/>
      <c r="E981" s="321"/>
      <c r="F981" s="322"/>
      <c r="G981" s="75"/>
      <c r="H981" s="321"/>
      <c r="I981" s="321"/>
      <c r="J981" s="323"/>
      <c r="K981" s="324"/>
      <c r="L981" s="285"/>
      <c r="M981" s="285"/>
      <c r="N981" s="285"/>
      <c r="O981" s="325"/>
      <c r="P981" s="285"/>
      <c r="Q981" s="325"/>
      <c r="R981" s="325"/>
      <c r="S981" s="285"/>
      <c r="T981" s="285"/>
      <c r="U981" s="285"/>
      <c r="V981" s="285"/>
      <c r="W981" s="285"/>
      <c r="X981" s="285"/>
      <c r="Y981" s="285"/>
      <c r="Z981" s="285"/>
    </row>
    <row r="982" ht="12.75" customHeight="1">
      <c r="A982" s="285"/>
      <c r="B982" s="75"/>
      <c r="C982" s="75"/>
      <c r="D982" s="321"/>
      <c r="E982" s="321"/>
      <c r="F982" s="322"/>
      <c r="G982" s="75"/>
      <c r="H982" s="321"/>
      <c r="I982" s="321"/>
      <c r="J982" s="323"/>
      <c r="K982" s="324"/>
      <c r="L982" s="285"/>
      <c r="M982" s="285"/>
      <c r="N982" s="285"/>
      <c r="O982" s="325"/>
      <c r="P982" s="285"/>
      <c r="Q982" s="325"/>
      <c r="R982" s="325"/>
      <c r="S982" s="285"/>
      <c r="T982" s="285"/>
      <c r="U982" s="285"/>
      <c r="V982" s="285"/>
      <c r="W982" s="285"/>
      <c r="X982" s="285"/>
      <c r="Y982" s="285"/>
      <c r="Z982" s="285"/>
    </row>
    <row r="983" ht="12.75" customHeight="1">
      <c r="A983" s="285"/>
      <c r="B983" s="75"/>
      <c r="C983" s="75"/>
      <c r="D983" s="321"/>
      <c r="E983" s="321"/>
      <c r="F983" s="322"/>
      <c r="G983" s="75"/>
      <c r="H983" s="321"/>
      <c r="I983" s="321"/>
      <c r="J983" s="323"/>
      <c r="K983" s="324"/>
      <c r="L983" s="285"/>
      <c r="M983" s="285"/>
      <c r="N983" s="285"/>
      <c r="O983" s="325"/>
      <c r="P983" s="285"/>
      <c r="Q983" s="325"/>
      <c r="R983" s="325"/>
      <c r="S983" s="285"/>
      <c r="T983" s="285"/>
      <c r="U983" s="285"/>
      <c r="V983" s="285"/>
      <c r="W983" s="285"/>
      <c r="X983" s="285"/>
      <c r="Y983" s="285"/>
      <c r="Z983" s="285"/>
    </row>
    <row r="984" ht="12.75" customHeight="1">
      <c r="A984" s="285"/>
      <c r="B984" s="75"/>
      <c r="C984" s="75"/>
      <c r="D984" s="321"/>
      <c r="E984" s="321"/>
      <c r="F984" s="322"/>
      <c r="G984" s="75"/>
      <c r="H984" s="321"/>
      <c r="I984" s="321"/>
      <c r="J984" s="323"/>
      <c r="K984" s="324"/>
      <c r="L984" s="285"/>
      <c r="M984" s="285"/>
      <c r="N984" s="285"/>
      <c r="O984" s="325"/>
      <c r="P984" s="285"/>
      <c r="Q984" s="325"/>
      <c r="R984" s="325"/>
      <c r="S984" s="285"/>
      <c r="T984" s="285"/>
      <c r="U984" s="285"/>
      <c r="V984" s="285"/>
      <c r="W984" s="285"/>
      <c r="X984" s="285"/>
      <c r="Y984" s="285"/>
      <c r="Z984" s="285"/>
    </row>
    <row r="985" ht="12.75" customHeight="1">
      <c r="A985" s="285"/>
      <c r="B985" s="75"/>
      <c r="C985" s="75"/>
      <c r="D985" s="321"/>
      <c r="E985" s="321"/>
      <c r="F985" s="322"/>
      <c r="G985" s="75"/>
      <c r="H985" s="321"/>
      <c r="I985" s="321"/>
      <c r="J985" s="323"/>
      <c r="K985" s="324"/>
      <c r="L985" s="285"/>
      <c r="M985" s="285"/>
      <c r="N985" s="285"/>
      <c r="O985" s="325"/>
      <c r="P985" s="285"/>
      <c r="Q985" s="325"/>
      <c r="R985" s="325"/>
      <c r="S985" s="285"/>
      <c r="T985" s="285"/>
      <c r="U985" s="285"/>
      <c r="V985" s="285"/>
      <c r="W985" s="285"/>
      <c r="X985" s="285"/>
      <c r="Y985" s="285"/>
      <c r="Z985" s="285"/>
    </row>
    <row r="986" ht="12.75" customHeight="1">
      <c r="A986" s="285"/>
      <c r="B986" s="75"/>
      <c r="C986" s="75"/>
      <c r="D986" s="321"/>
      <c r="E986" s="321"/>
      <c r="F986" s="322"/>
      <c r="G986" s="75"/>
      <c r="H986" s="321"/>
      <c r="I986" s="321"/>
      <c r="J986" s="323"/>
      <c r="K986" s="324"/>
      <c r="L986" s="285"/>
      <c r="M986" s="285"/>
      <c r="N986" s="285"/>
      <c r="O986" s="325"/>
      <c r="P986" s="285"/>
      <c r="Q986" s="325"/>
      <c r="R986" s="325"/>
      <c r="S986" s="285"/>
      <c r="T986" s="285"/>
      <c r="U986" s="285"/>
      <c r="V986" s="285"/>
      <c r="W986" s="285"/>
      <c r="X986" s="285"/>
      <c r="Y986" s="285"/>
      <c r="Z986" s="285"/>
    </row>
    <row r="987" ht="12.75" customHeight="1">
      <c r="A987" s="285"/>
      <c r="B987" s="75"/>
      <c r="C987" s="75"/>
      <c r="D987" s="321"/>
      <c r="E987" s="321"/>
      <c r="F987" s="322"/>
      <c r="G987" s="75"/>
      <c r="H987" s="321"/>
      <c r="I987" s="321"/>
      <c r="J987" s="323"/>
      <c r="K987" s="324"/>
      <c r="L987" s="285"/>
      <c r="M987" s="285"/>
      <c r="N987" s="285"/>
      <c r="O987" s="325"/>
      <c r="P987" s="285"/>
      <c r="Q987" s="325"/>
      <c r="R987" s="325"/>
      <c r="S987" s="285"/>
      <c r="T987" s="285"/>
      <c r="U987" s="285"/>
      <c r="V987" s="285"/>
      <c r="W987" s="285"/>
      <c r="X987" s="285"/>
      <c r="Y987" s="285"/>
      <c r="Z987" s="285"/>
    </row>
    <row r="988" ht="12.75" customHeight="1">
      <c r="A988" s="285"/>
      <c r="B988" s="75"/>
      <c r="C988" s="75"/>
      <c r="D988" s="321"/>
      <c r="E988" s="321"/>
      <c r="F988" s="322"/>
      <c r="G988" s="75"/>
      <c r="H988" s="321"/>
      <c r="I988" s="321"/>
      <c r="J988" s="323"/>
      <c r="K988" s="324"/>
      <c r="L988" s="285"/>
      <c r="M988" s="285"/>
      <c r="N988" s="285"/>
      <c r="O988" s="325"/>
      <c r="P988" s="285"/>
      <c r="Q988" s="325"/>
      <c r="R988" s="325"/>
      <c r="S988" s="285"/>
      <c r="T988" s="285"/>
      <c r="U988" s="285"/>
      <c r="V988" s="285"/>
      <c r="W988" s="285"/>
      <c r="X988" s="285"/>
      <c r="Y988" s="285"/>
      <c r="Z988" s="285"/>
    </row>
    <row r="989" ht="12.75" customHeight="1">
      <c r="A989" s="285"/>
      <c r="B989" s="75"/>
      <c r="C989" s="75"/>
      <c r="D989" s="321"/>
      <c r="E989" s="321"/>
      <c r="F989" s="322"/>
      <c r="G989" s="75"/>
      <c r="H989" s="321"/>
      <c r="I989" s="321"/>
      <c r="J989" s="323"/>
      <c r="K989" s="324"/>
      <c r="L989" s="285"/>
      <c r="M989" s="285"/>
      <c r="N989" s="285"/>
      <c r="O989" s="325"/>
      <c r="P989" s="285"/>
      <c r="Q989" s="325"/>
      <c r="R989" s="325"/>
      <c r="S989" s="285"/>
      <c r="T989" s="285"/>
      <c r="U989" s="285"/>
      <c r="V989" s="285"/>
      <c r="W989" s="285"/>
      <c r="X989" s="285"/>
      <c r="Y989" s="285"/>
      <c r="Z989" s="285"/>
    </row>
    <row r="990" ht="12.75" customHeight="1">
      <c r="A990" s="285"/>
      <c r="B990" s="75"/>
      <c r="C990" s="75"/>
      <c r="D990" s="321"/>
      <c r="E990" s="321"/>
      <c r="F990" s="322"/>
      <c r="G990" s="75"/>
      <c r="H990" s="321"/>
      <c r="I990" s="321"/>
      <c r="J990" s="323"/>
      <c r="K990" s="324"/>
      <c r="L990" s="285"/>
      <c r="M990" s="285"/>
      <c r="N990" s="285"/>
      <c r="O990" s="325"/>
      <c r="P990" s="285"/>
      <c r="Q990" s="325"/>
      <c r="R990" s="325"/>
      <c r="S990" s="285"/>
      <c r="T990" s="285"/>
      <c r="U990" s="285"/>
      <c r="V990" s="285"/>
      <c r="W990" s="285"/>
      <c r="X990" s="285"/>
      <c r="Y990" s="285"/>
      <c r="Z990" s="285"/>
    </row>
    <row r="991" ht="12.75" customHeight="1">
      <c r="A991" s="285"/>
      <c r="B991" s="75"/>
      <c r="C991" s="75"/>
      <c r="D991" s="321"/>
      <c r="E991" s="321"/>
      <c r="F991" s="322"/>
      <c r="G991" s="75"/>
      <c r="H991" s="321"/>
      <c r="I991" s="321"/>
      <c r="J991" s="323"/>
      <c r="K991" s="324"/>
      <c r="L991" s="285"/>
      <c r="M991" s="285"/>
      <c r="N991" s="285"/>
      <c r="O991" s="325"/>
      <c r="P991" s="285"/>
      <c r="Q991" s="325"/>
      <c r="R991" s="325"/>
      <c r="S991" s="285"/>
      <c r="T991" s="285"/>
      <c r="U991" s="285"/>
      <c r="V991" s="285"/>
      <c r="W991" s="285"/>
      <c r="X991" s="285"/>
      <c r="Y991" s="285"/>
      <c r="Z991" s="285"/>
    </row>
    <row r="992" ht="12.75" customHeight="1">
      <c r="A992" s="285"/>
      <c r="B992" s="75"/>
      <c r="C992" s="75"/>
      <c r="D992" s="321"/>
      <c r="E992" s="321"/>
      <c r="F992" s="322"/>
      <c r="G992" s="75"/>
      <c r="H992" s="321"/>
      <c r="I992" s="321"/>
      <c r="J992" s="323"/>
      <c r="K992" s="324"/>
      <c r="L992" s="285"/>
      <c r="M992" s="285"/>
      <c r="N992" s="285"/>
      <c r="O992" s="325"/>
      <c r="P992" s="285"/>
      <c r="Q992" s="325"/>
      <c r="R992" s="325"/>
      <c r="S992" s="285"/>
      <c r="T992" s="285"/>
      <c r="U992" s="285"/>
      <c r="V992" s="285"/>
      <c r="W992" s="285"/>
      <c r="X992" s="285"/>
      <c r="Y992" s="285"/>
      <c r="Z992" s="285"/>
    </row>
    <row r="993" ht="12.75" customHeight="1">
      <c r="A993" s="285"/>
      <c r="B993" s="75"/>
      <c r="C993" s="75"/>
      <c r="D993" s="321"/>
      <c r="E993" s="321"/>
      <c r="F993" s="322"/>
      <c r="G993" s="75"/>
      <c r="H993" s="321"/>
      <c r="I993" s="321"/>
      <c r="J993" s="323"/>
      <c r="K993" s="324"/>
      <c r="L993" s="285"/>
      <c r="M993" s="285"/>
      <c r="N993" s="285"/>
      <c r="O993" s="325"/>
      <c r="P993" s="285"/>
      <c r="Q993" s="325"/>
      <c r="R993" s="325"/>
      <c r="S993" s="285"/>
      <c r="T993" s="285"/>
      <c r="U993" s="285"/>
      <c r="V993" s="285"/>
      <c r="W993" s="285"/>
      <c r="X993" s="285"/>
      <c r="Y993" s="285"/>
      <c r="Z993" s="285"/>
    </row>
    <row r="994" ht="12.75" customHeight="1">
      <c r="A994" s="285"/>
      <c r="B994" s="75"/>
      <c r="C994" s="75"/>
      <c r="D994" s="321"/>
      <c r="E994" s="321"/>
      <c r="F994" s="322"/>
      <c r="G994" s="75"/>
      <c r="H994" s="321"/>
      <c r="I994" s="321"/>
      <c r="J994" s="323"/>
      <c r="K994" s="324"/>
      <c r="L994" s="285"/>
      <c r="M994" s="285"/>
      <c r="N994" s="285"/>
      <c r="O994" s="325"/>
      <c r="P994" s="285"/>
      <c r="Q994" s="325"/>
      <c r="R994" s="325"/>
      <c r="S994" s="285"/>
      <c r="T994" s="285"/>
      <c r="U994" s="285"/>
      <c r="V994" s="285"/>
      <c r="W994" s="285"/>
      <c r="X994" s="285"/>
      <c r="Y994" s="285"/>
      <c r="Z994" s="285"/>
    </row>
    <row r="995" ht="12.75" customHeight="1">
      <c r="A995" s="285"/>
      <c r="B995" s="75"/>
      <c r="C995" s="75"/>
      <c r="D995" s="321"/>
      <c r="E995" s="321"/>
      <c r="F995" s="322"/>
      <c r="G995" s="75"/>
      <c r="H995" s="321"/>
      <c r="I995" s="321"/>
      <c r="J995" s="323"/>
      <c r="K995" s="324"/>
      <c r="L995" s="285"/>
      <c r="M995" s="285"/>
      <c r="N995" s="285"/>
      <c r="O995" s="325"/>
      <c r="P995" s="285"/>
      <c r="Q995" s="325"/>
      <c r="R995" s="325"/>
      <c r="S995" s="285"/>
      <c r="T995" s="285"/>
      <c r="U995" s="285"/>
      <c r="V995" s="285"/>
      <c r="W995" s="285"/>
      <c r="X995" s="285"/>
      <c r="Y995" s="285"/>
      <c r="Z995" s="285"/>
    </row>
    <row r="996" ht="12.75" customHeight="1">
      <c r="A996" s="285"/>
      <c r="B996" s="75"/>
      <c r="C996" s="75"/>
      <c r="D996" s="321"/>
      <c r="E996" s="321"/>
      <c r="F996" s="322"/>
      <c r="G996" s="75"/>
      <c r="H996" s="321"/>
      <c r="I996" s="321"/>
      <c r="J996" s="323"/>
      <c r="K996" s="324"/>
      <c r="L996" s="285"/>
      <c r="M996" s="285"/>
      <c r="N996" s="285"/>
      <c r="O996" s="325"/>
      <c r="P996" s="285"/>
      <c r="Q996" s="325"/>
      <c r="R996" s="325"/>
      <c r="S996" s="285"/>
      <c r="T996" s="285"/>
      <c r="U996" s="285"/>
      <c r="V996" s="285"/>
      <c r="W996" s="285"/>
      <c r="X996" s="285"/>
      <c r="Y996" s="285"/>
      <c r="Z996" s="285"/>
    </row>
    <row r="997" ht="12.75" customHeight="1">
      <c r="A997" s="285"/>
      <c r="B997" s="75"/>
      <c r="C997" s="75"/>
      <c r="D997" s="321"/>
      <c r="E997" s="321"/>
      <c r="F997" s="322"/>
      <c r="G997" s="75"/>
      <c r="H997" s="321"/>
      <c r="I997" s="321"/>
      <c r="J997" s="323"/>
      <c r="K997" s="324"/>
      <c r="L997" s="285"/>
      <c r="M997" s="285"/>
      <c r="N997" s="285"/>
      <c r="O997" s="325"/>
      <c r="P997" s="285"/>
      <c r="Q997" s="325"/>
      <c r="R997" s="325"/>
      <c r="S997" s="285"/>
      <c r="T997" s="285"/>
      <c r="U997" s="285"/>
      <c r="V997" s="285"/>
      <c r="W997" s="285"/>
      <c r="X997" s="285"/>
      <c r="Y997" s="285"/>
      <c r="Z997" s="285"/>
    </row>
    <row r="998" ht="12.75" customHeight="1">
      <c r="A998" s="285"/>
      <c r="B998" s="75"/>
      <c r="C998" s="75"/>
      <c r="D998" s="321"/>
      <c r="E998" s="321"/>
      <c r="F998" s="322"/>
      <c r="G998" s="75"/>
      <c r="H998" s="321"/>
      <c r="I998" s="321"/>
      <c r="J998" s="323"/>
      <c r="K998" s="324"/>
      <c r="L998" s="285"/>
      <c r="M998" s="285"/>
      <c r="N998" s="285"/>
      <c r="O998" s="325"/>
      <c r="P998" s="285"/>
      <c r="Q998" s="325"/>
      <c r="R998" s="325"/>
      <c r="S998" s="285"/>
      <c r="T998" s="285"/>
      <c r="U998" s="285"/>
      <c r="V998" s="285"/>
      <c r="W998" s="285"/>
      <c r="X998" s="285"/>
      <c r="Y998" s="285"/>
      <c r="Z998" s="285"/>
    </row>
    <row r="999" ht="12.75" customHeight="1">
      <c r="A999" s="285"/>
      <c r="B999" s="75"/>
      <c r="C999" s="75"/>
      <c r="D999" s="321"/>
      <c r="E999" s="321"/>
      <c r="F999" s="322"/>
      <c r="G999" s="75"/>
      <c r="H999" s="321"/>
      <c r="I999" s="321"/>
      <c r="J999" s="323"/>
      <c r="K999" s="324"/>
      <c r="L999" s="285"/>
      <c r="M999" s="285"/>
      <c r="N999" s="285"/>
      <c r="O999" s="325"/>
      <c r="P999" s="285"/>
      <c r="Q999" s="325"/>
      <c r="R999" s="325"/>
      <c r="S999" s="285"/>
      <c r="T999" s="285"/>
      <c r="U999" s="285"/>
      <c r="V999" s="285"/>
      <c r="W999" s="285"/>
      <c r="X999" s="285"/>
      <c r="Y999" s="285"/>
      <c r="Z999" s="285"/>
    </row>
    <row r="1000" ht="12.75" customHeight="1">
      <c r="A1000" s="285"/>
      <c r="B1000" s="75"/>
      <c r="C1000" s="75"/>
      <c r="D1000" s="321"/>
      <c r="E1000" s="321"/>
      <c r="F1000" s="322"/>
      <c r="G1000" s="75"/>
      <c r="H1000" s="321"/>
      <c r="I1000" s="321"/>
      <c r="J1000" s="323"/>
      <c r="K1000" s="324"/>
      <c r="L1000" s="285"/>
      <c r="M1000" s="285"/>
      <c r="N1000" s="285"/>
      <c r="O1000" s="325"/>
      <c r="P1000" s="285"/>
      <c r="Q1000" s="325"/>
      <c r="R1000" s="325"/>
      <c r="S1000" s="285"/>
      <c r="T1000" s="285"/>
      <c r="U1000" s="285"/>
      <c r="V1000" s="285"/>
      <c r="W1000" s="285"/>
      <c r="X1000" s="285"/>
      <c r="Y1000" s="285"/>
      <c r="Z1000" s="285"/>
    </row>
  </sheetData>
  <autoFilter ref="$B$2:$U$2"/>
  <mergeCells count="155">
    <mergeCell ref="E15:E16"/>
    <mergeCell ref="F15:F16"/>
    <mergeCell ref="A15:A16"/>
    <mergeCell ref="B15:B16"/>
    <mergeCell ref="A20:A21"/>
    <mergeCell ref="B20:B21"/>
    <mergeCell ref="C20:C21"/>
    <mergeCell ref="D20:D21"/>
    <mergeCell ref="E20:E21"/>
    <mergeCell ref="F20:F21"/>
    <mergeCell ref="G20:G23"/>
    <mergeCell ref="B22:B23"/>
    <mergeCell ref="C22:C23"/>
    <mergeCell ref="D22:D23"/>
    <mergeCell ref="E22:E23"/>
    <mergeCell ref="F22:F23"/>
    <mergeCell ref="C27:C28"/>
    <mergeCell ref="D27:D28"/>
    <mergeCell ref="E27:E28"/>
    <mergeCell ref="F27:F28"/>
    <mergeCell ref="A22:A23"/>
    <mergeCell ref="A25:A26"/>
    <mergeCell ref="C25:C26"/>
    <mergeCell ref="D25:D26"/>
    <mergeCell ref="E25:E26"/>
    <mergeCell ref="F25:F26"/>
    <mergeCell ref="G25:G28"/>
    <mergeCell ref="C5:C6"/>
    <mergeCell ref="D5:D6"/>
    <mergeCell ref="E5:E6"/>
    <mergeCell ref="F5:F6"/>
    <mergeCell ref="G8:G11"/>
    <mergeCell ref="E10:E11"/>
    <mergeCell ref="F10:F11"/>
    <mergeCell ref="A3:A4"/>
    <mergeCell ref="B3:B4"/>
    <mergeCell ref="C3:C4"/>
    <mergeCell ref="D3:D4"/>
    <mergeCell ref="E3:E4"/>
    <mergeCell ref="F3:F4"/>
    <mergeCell ref="G3:G6"/>
    <mergeCell ref="A5:A6"/>
    <mergeCell ref="B5:B6"/>
    <mergeCell ref="B8:B9"/>
    <mergeCell ref="C8:C9"/>
    <mergeCell ref="D8:D9"/>
    <mergeCell ref="E8:E9"/>
    <mergeCell ref="F8:F9"/>
    <mergeCell ref="A8:A9"/>
    <mergeCell ref="A10:A11"/>
    <mergeCell ref="B10:B11"/>
    <mergeCell ref="C10:C11"/>
    <mergeCell ref="D10:D11"/>
    <mergeCell ref="A13:A14"/>
    <mergeCell ref="B13:B14"/>
    <mergeCell ref="C13:C14"/>
    <mergeCell ref="D13:D14"/>
    <mergeCell ref="E13:E14"/>
    <mergeCell ref="F13:F14"/>
    <mergeCell ref="G13:G16"/>
    <mergeCell ref="C15:C16"/>
    <mergeCell ref="D15:D16"/>
    <mergeCell ref="F30:F31"/>
    <mergeCell ref="G30:G33"/>
    <mergeCell ref="F32:F33"/>
    <mergeCell ref="A38:A39"/>
    <mergeCell ref="B41:B42"/>
    <mergeCell ref="C41:C42"/>
    <mergeCell ref="D41:D42"/>
    <mergeCell ref="E41:E42"/>
    <mergeCell ref="F41:F42"/>
    <mergeCell ref="G41:G44"/>
    <mergeCell ref="F43:F44"/>
    <mergeCell ref="C48:C49"/>
    <mergeCell ref="D48:D49"/>
    <mergeCell ref="E48:E49"/>
    <mergeCell ref="F48:F49"/>
    <mergeCell ref="B43:B44"/>
    <mergeCell ref="C43:C44"/>
    <mergeCell ref="C46:C47"/>
    <mergeCell ref="D46:D47"/>
    <mergeCell ref="E46:E47"/>
    <mergeCell ref="F46:F47"/>
    <mergeCell ref="G46:G49"/>
    <mergeCell ref="C55:C56"/>
    <mergeCell ref="D55:D56"/>
    <mergeCell ref="E55:E56"/>
    <mergeCell ref="F55:F56"/>
    <mergeCell ref="B46:B47"/>
    <mergeCell ref="B48:B49"/>
    <mergeCell ref="C53:C54"/>
    <mergeCell ref="D53:D54"/>
    <mergeCell ref="E53:E54"/>
    <mergeCell ref="F53:F54"/>
    <mergeCell ref="G53:G56"/>
    <mergeCell ref="C60:C61"/>
    <mergeCell ref="D60:D61"/>
    <mergeCell ref="E60:E61"/>
    <mergeCell ref="F60:F61"/>
    <mergeCell ref="B53:B54"/>
    <mergeCell ref="B55:B56"/>
    <mergeCell ref="C58:C59"/>
    <mergeCell ref="D58:D59"/>
    <mergeCell ref="E58:E59"/>
    <mergeCell ref="F58:F59"/>
    <mergeCell ref="G58:G61"/>
    <mergeCell ref="B63:B64"/>
    <mergeCell ref="B65:B66"/>
    <mergeCell ref="C65:C66"/>
    <mergeCell ref="D65:D66"/>
    <mergeCell ref="E65:E66"/>
    <mergeCell ref="F65:F66"/>
    <mergeCell ref="B58:B59"/>
    <mergeCell ref="B60:B61"/>
    <mergeCell ref="C63:C64"/>
    <mergeCell ref="D63:D64"/>
    <mergeCell ref="E63:E64"/>
    <mergeCell ref="F63:F64"/>
    <mergeCell ref="G63:G66"/>
    <mergeCell ref="B25:B26"/>
    <mergeCell ref="B27:B28"/>
    <mergeCell ref="A30:A31"/>
    <mergeCell ref="B30:B31"/>
    <mergeCell ref="C30:C31"/>
    <mergeCell ref="D30:D31"/>
    <mergeCell ref="E30:E31"/>
    <mergeCell ref="A32:A33"/>
    <mergeCell ref="B32:B33"/>
    <mergeCell ref="C32:C33"/>
    <mergeCell ref="D32:D33"/>
    <mergeCell ref="E32:E33"/>
    <mergeCell ref="A36:A37"/>
    <mergeCell ref="B36:B37"/>
    <mergeCell ref="E36:E37"/>
    <mergeCell ref="D38:D39"/>
    <mergeCell ref="E38:E39"/>
    <mergeCell ref="C36:C37"/>
    <mergeCell ref="D36:D37"/>
    <mergeCell ref="F36:F37"/>
    <mergeCell ref="G36:G39"/>
    <mergeCell ref="B38:B39"/>
    <mergeCell ref="C38:C39"/>
    <mergeCell ref="F38:F39"/>
    <mergeCell ref="D43:D44"/>
    <mergeCell ref="E43:E44"/>
    <mergeCell ref="A60:A61"/>
    <mergeCell ref="A63:A64"/>
    <mergeCell ref="A65:A66"/>
    <mergeCell ref="A41:A42"/>
    <mergeCell ref="A43:A44"/>
    <mergeCell ref="A46:A47"/>
    <mergeCell ref="A48:A49"/>
    <mergeCell ref="A53:A54"/>
    <mergeCell ref="A55:A56"/>
    <mergeCell ref="A58:A5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2024-05-17T17:36:33Z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0x0101008EF72BE37C08C94EA3E96CB2D5C4A4E5</vt:lpwstr>
  </property>
</Properties>
</file>